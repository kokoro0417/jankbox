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90" windowWidth="7380" windowHeight="7425" tabRatio="673"/>
  </bookViews>
  <sheets>
    <sheet name="セット枚数" sheetId="33" r:id="rId1"/>
    <sheet name="キーワード" sheetId="34" r:id="rId2"/>
    <sheet name="スリヴァ" sheetId="36" r:id="rId3"/>
    <sheet name="samurai" sheetId="43" r:id="rId4"/>
    <sheet name="SoulShift" sheetId="50" r:id="rId5"/>
    <sheet name="Infect" sheetId="47" r:id="rId6"/>
    <sheet name="コモン" sheetId="53" r:id="rId7"/>
    <sheet name="アンコモン" sheetId="55" r:id="rId8"/>
    <sheet name="R MR" sheetId="56" r:id="rId9"/>
    <sheet name="H式CS+ORM" sheetId="45" r:id="rId10"/>
    <sheet name="ORM" sheetId="10" r:id="rId11"/>
    <sheet name="対抗C" sheetId="51" r:id="rId12"/>
    <sheet name="Sheet5" sheetId="41" r:id="rId13"/>
    <sheet name="Arcane" sheetId="52" r:id="rId14"/>
    <sheet name="Sheet3" sheetId="59" r:id="rId15"/>
    <sheet name="Sheet1" sheetId="64" r:id="rId16"/>
    <sheet name="Sheet2" sheetId="65" r:id="rId17"/>
  </sheets>
  <definedNames>
    <definedName name="_xlnm._FilterDatabase" localSheetId="3" hidden="1">samurai!$B$1:$K$40</definedName>
    <definedName name="_xlnm._FilterDatabase" localSheetId="14" hidden="1">Sheet3!$A$1:$P$300</definedName>
    <definedName name="_xlnm._FilterDatabase" localSheetId="1" hidden="1">キーワード!$A$299:$B$404</definedName>
    <definedName name="_xlnm._FilterDatabase" localSheetId="2" hidden="1">スリヴァ!$A$170:$G$218</definedName>
    <definedName name="CoBCMC">コモン!$G$42:$G$61</definedName>
    <definedName name="CoBT">コモン!$I$42:$I$61</definedName>
    <definedName name="CoCMC">コモン!$G$2:$G$148</definedName>
    <definedName name="CoFCMC">コモン!$G$132:$G$139</definedName>
    <definedName name="CoFT">コモン!$I$132:$I$139</definedName>
    <definedName name="CoGCMC">コモン!$G$82:$G$101</definedName>
    <definedName name="CoGT">コモン!$I$82:$I$101</definedName>
    <definedName name="CoMCMC">コモン!$G$102:$G$131</definedName>
    <definedName name="CoMT">コモン!$I$102:$I$131</definedName>
    <definedName name="CoRCMC">コモン!$G$62:$G$81</definedName>
    <definedName name="CoRT">コモン!$I$62:$I$81</definedName>
    <definedName name="CoT">コモン!$I$2:$I$148</definedName>
    <definedName name="CoUCMC">コモン!$G$22:$G$41</definedName>
    <definedName name="CoUT">コモン!$I$22:$I$41</definedName>
    <definedName name="CoWCMC">コモン!$G$2:$G$21</definedName>
    <definedName name="CoWT">コモン!$I$2:$I$21</definedName>
    <definedName name="MRCMC">コモン!$G$318:$G$337</definedName>
    <definedName name="MRT">コモン!$I$319:$I$337</definedName>
    <definedName name="ReBCMC">コモン!$G$265:$G$273</definedName>
    <definedName name="ReBT">コモン!$I$265:$I$273</definedName>
    <definedName name="ReCMC">コモン!$G$247:$G$316</definedName>
    <definedName name="ReFCMC">コモン!$G$308:$G$311</definedName>
    <definedName name="ReFT">コモン!$I$308:$I$311</definedName>
    <definedName name="ReGCMC">コモン!$G$283:$G$291</definedName>
    <definedName name="ReGT">コモン!$I$283:$I$291</definedName>
    <definedName name="ReMCMC">コモン!$G$292:$G$307</definedName>
    <definedName name="ReMT">コモン!$I$292:$I$307</definedName>
    <definedName name="ReRCMC">コモン!$G$274:$G$282</definedName>
    <definedName name="ReRT">コモン!$I$274:$I$282</definedName>
    <definedName name="ReT">コモン!$I$247:$I$316</definedName>
    <definedName name="ReUCMC">コモン!$G$256:$G$264</definedName>
    <definedName name="ReUT">コモン!$I$256:$I$264</definedName>
    <definedName name="ReWCMC">コモン!$G$247:$G$255</definedName>
    <definedName name="ReWT">コモン!$I$247:$I$255</definedName>
    <definedName name="RMRCMC">コモン!$G$247:$G$337</definedName>
    <definedName name="RMRT">コモン!$I$247:$I$337</definedName>
    <definedName name="UCBCMC">コモン!$G$175:$G$185</definedName>
    <definedName name="UCBT">コモン!$I$175:$I$185</definedName>
    <definedName name="UCCMC">コモン!$G$153:$G$242</definedName>
    <definedName name="UCFCMC">コモン!$G$233:$G$237</definedName>
    <definedName name="UCFT">コモン!$I$233:$I$237</definedName>
    <definedName name="UCGCMC">コモン!$G$197:$G$207</definedName>
    <definedName name="UCGT">コモン!$I$197:$I$207</definedName>
    <definedName name="UCMCMC">コモン!$G$208:$G$232</definedName>
    <definedName name="UCMT">コモン!$I$208:$I$232</definedName>
    <definedName name="UCRCMC">コモン!$G$186:$G$196</definedName>
    <definedName name="UCRT">コモン!$I$186:$I$196</definedName>
    <definedName name="UCT">コモン!$I$153:$I$242</definedName>
    <definedName name="UCUCMC">コモン!$G$164:$G$174</definedName>
    <definedName name="UCUT">コモン!$I$164:$I$174</definedName>
    <definedName name="UCWCMC">コモン!$G$153:$G$163</definedName>
    <definedName name="UCWT">コモン!$I$153:$I$163</definedName>
  </definedNames>
  <calcPr calcId="145621" refMode="R1C1"/>
</workbook>
</file>

<file path=xl/calcChain.xml><?xml version="1.0" encoding="utf-8"?>
<calcChain xmlns="http://schemas.openxmlformats.org/spreadsheetml/2006/main">
  <c r="O90" i="33" l="1"/>
  <c r="O268" i="33" l="1"/>
  <c r="M268" i="33"/>
  <c r="N268" i="33"/>
  <c r="M267" i="33"/>
  <c r="O267" i="33"/>
  <c r="N267" i="33"/>
  <c r="O266" i="33"/>
  <c r="E271" i="33"/>
  <c r="F271" i="33"/>
  <c r="G271" i="33"/>
  <c r="H271" i="33"/>
  <c r="I262" i="33"/>
  <c r="I263" i="33"/>
  <c r="I264" i="33"/>
  <c r="I265" i="33"/>
  <c r="I266" i="33"/>
  <c r="I267" i="33"/>
  <c r="I268" i="33"/>
  <c r="I269" i="33"/>
  <c r="I270" i="33"/>
  <c r="C264" i="33"/>
  <c r="I271" i="33" l="1"/>
  <c r="B101" i="33"/>
  <c r="AU17" i="53" l="1"/>
  <c r="AT3" i="53"/>
  <c r="AT10" i="53"/>
  <c r="BA19" i="53" l="1"/>
  <c r="AV17" i="53"/>
  <c r="AW17" i="53"/>
  <c r="AX17" i="53"/>
  <c r="AY17" i="53"/>
  <c r="AZ17" i="53"/>
  <c r="BA17" i="53"/>
  <c r="AU18" i="53"/>
  <c r="AV18" i="53"/>
  <c r="AW18" i="53"/>
  <c r="AX18" i="53"/>
  <c r="AY18" i="53"/>
  <c r="AZ18" i="53"/>
  <c r="BA18" i="53"/>
  <c r="AU19" i="53"/>
  <c r="AV19" i="53"/>
  <c r="AW19" i="53"/>
  <c r="AX19" i="53"/>
  <c r="AY19" i="53"/>
  <c r="AZ19" i="53"/>
  <c r="AU20" i="53"/>
  <c r="AV20" i="53"/>
  <c r="AW20" i="53"/>
  <c r="AX20" i="53"/>
  <c r="AY20" i="53"/>
  <c r="AZ20" i="53"/>
  <c r="BA20" i="53"/>
  <c r="AU21" i="53"/>
  <c r="AV21" i="53"/>
  <c r="AW21" i="53"/>
  <c r="AX21" i="53"/>
  <c r="AY21" i="53"/>
  <c r="AZ21" i="53"/>
  <c r="BA21" i="53"/>
  <c r="AU22" i="53"/>
  <c r="AV22" i="53"/>
  <c r="AW22" i="53"/>
  <c r="AX22" i="53"/>
  <c r="AY22" i="53"/>
  <c r="AZ22" i="53"/>
  <c r="BA22" i="53"/>
  <c r="AU23" i="53"/>
  <c r="AV23" i="53"/>
  <c r="AW23" i="53"/>
  <c r="AX23" i="53"/>
  <c r="AY23" i="53"/>
  <c r="AZ23" i="53"/>
  <c r="BA23" i="53"/>
  <c r="AT18" i="53"/>
  <c r="AT19" i="53"/>
  <c r="AT20" i="53"/>
  <c r="AT21" i="53"/>
  <c r="AT22" i="53"/>
  <c r="AT23" i="53"/>
  <c r="AT17" i="53"/>
  <c r="AV12" i="53"/>
  <c r="AW12" i="53"/>
  <c r="AX12" i="53"/>
  <c r="AY12" i="53"/>
  <c r="AZ12" i="53"/>
  <c r="BA12" i="53"/>
  <c r="AV13" i="53"/>
  <c r="AW13" i="53"/>
  <c r="AX13" i="53"/>
  <c r="AY13" i="53"/>
  <c r="AZ13" i="53"/>
  <c r="BA13" i="53"/>
  <c r="AV14" i="53"/>
  <c r="AW14" i="53"/>
  <c r="AX14" i="53"/>
  <c r="AY14" i="53"/>
  <c r="AZ14" i="53"/>
  <c r="BA14" i="53"/>
  <c r="AV15" i="53"/>
  <c r="AW15" i="53"/>
  <c r="AX15" i="53"/>
  <c r="AY15" i="53"/>
  <c r="AZ15" i="53"/>
  <c r="BA15" i="53"/>
  <c r="AU13" i="53"/>
  <c r="AU14" i="53"/>
  <c r="AU15" i="53"/>
  <c r="AU12" i="53"/>
  <c r="AT5" i="53"/>
  <c r="AT6" i="53"/>
  <c r="AT7" i="53"/>
  <c r="AT8" i="53"/>
  <c r="AT9" i="53"/>
  <c r="AT4" i="53"/>
  <c r="AR23" i="53"/>
  <c r="AQ23" i="53"/>
  <c r="AP23" i="53"/>
  <c r="AO23" i="53"/>
  <c r="AN23" i="53"/>
  <c r="AM23" i="53"/>
  <c r="AL23" i="53"/>
  <c r="AL18" i="53"/>
  <c r="AL19" i="53"/>
  <c r="AL20" i="53"/>
  <c r="AL21" i="53"/>
  <c r="AL22" i="53"/>
  <c r="AL17" i="53"/>
  <c r="AK23" i="53"/>
  <c r="AK18" i="53"/>
  <c r="AK19" i="53"/>
  <c r="AK20" i="53"/>
  <c r="AK21" i="53"/>
  <c r="AK22" i="53"/>
  <c r="AK17" i="53"/>
  <c r="AR12" i="53"/>
  <c r="AQ13" i="53"/>
  <c r="AQ14" i="53"/>
  <c r="AQ15" i="53"/>
  <c r="AQ12" i="53"/>
  <c r="AP13" i="53"/>
  <c r="AP14" i="53"/>
  <c r="AP15" i="53"/>
  <c r="AP12" i="53"/>
  <c r="AO13" i="53"/>
  <c r="AO14" i="53"/>
  <c r="AO15" i="53"/>
  <c r="AO12" i="53"/>
  <c r="AN12" i="53"/>
  <c r="AM12" i="53"/>
  <c r="AN13" i="53"/>
  <c r="AN14" i="53"/>
  <c r="AN15" i="53"/>
  <c r="AM13" i="53"/>
  <c r="AM14" i="53"/>
  <c r="AM15" i="53"/>
  <c r="AL14" i="53"/>
  <c r="AL15" i="53"/>
  <c r="AL13" i="53"/>
  <c r="AL12" i="53"/>
  <c r="AK5" i="53"/>
  <c r="AK6" i="53"/>
  <c r="AK7" i="53"/>
  <c r="AK8" i="53"/>
  <c r="AK4" i="53"/>
  <c r="AK3" i="53"/>
  <c r="X23" i="53"/>
  <c r="S23" i="53"/>
  <c r="AI18" i="53"/>
  <c r="AI19" i="53"/>
  <c r="AI20" i="53"/>
  <c r="AI21" i="53"/>
  <c r="AI22" i="53"/>
  <c r="AI17" i="53"/>
  <c r="AI23" i="53"/>
  <c r="AH23" i="53"/>
  <c r="AG23" i="53"/>
  <c r="AF23" i="53"/>
  <c r="AE23" i="53"/>
  <c r="AD23" i="53"/>
  <c r="AC23" i="53"/>
  <c r="AB23" i="53"/>
  <c r="AH18" i="53"/>
  <c r="AH19" i="53"/>
  <c r="AH20" i="53"/>
  <c r="AH21" i="53"/>
  <c r="AH22" i="53"/>
  <c r="AH17" i="53"/>
  <c r="AG18" i="53"/>
  <c r="AG19" i="53"/>
  <c r="AG20" i="53"/>
  <c r="AG21" i="53"/>
  <c r="AG22" i="53"/>
  <c r="AG17" i="53"/>
  <c r="AF18" i="53"/>
  <c r="AF19" i="53"/>
  <c r="AF20" i="53"/>
  <c r="AF21" i="53"/>
  <c r="AF22" i="53"/>
  <c r="AF17" i="53"/>
  <c r="AE18" i="53"/>
  <c r="AE19" i="53"/>
  <c r="AE20" i="53"/>
  <c r="AE21" i="53"/>
  <c r="AE22" i="53"/>
  <c r="AE17" i="53"/>
  <c r="AD18" i="53"/>
  <c r="AD19" i="53"/>
  <c r="AD20" i="53"/>
  <c r="AD21" i="53"/>
  <c r="AD22" i="53"/>
  <c r="AD17" i="53"/>
  <c r="AC18" i="53"/>
  <c r="AC19" i="53"/>
  <c r="AC20" i="53"/>
  <c r="AC21" i="53"/>
  <c r="AC22" i="53"/>
  <c r="AC17" i="53"/>
  <c r="AB18" i="53"/>
  <c r="AB19" i="53"/>
  <c r="AB20" i="53"/>
  <c r="AB21" i="53"/>
  <c r="AB22" i="53"/>
  <c r="AB17" i="53"/>
  <c r="AI13" i="53"/>
  <c r="AI14" i="53"/>
  <c r="AI15" i="53"/>
  <c r="AI12" i="53"/>
  <c r="AH13" i="53"/>
  <c r="AH14" i="53"/>
  <c r="AH15" i="53"/>
  <c r="AH12" i="53"/>
  <c r="AG13" i="53"/>
  <c r="AG14" i="53"/>
  <c r="AG15" i="53"/>
  <c r="AG12" i="53"/>
  <c r="AE12" i="53"/>
  <c r="AF12" i="53"/>
  <c r="AF13" i="53"/>
  <c r="AF14" i="53"/>
  <c r="AF15" i="53"/>
  <c r="AE13" i="53"/>
  <c r="AE14" i="53"/>
  <c r="AE15" i="53"/>
  <c r="AD13" i="53"/>
  <c r="AD14" i="53"/>
  <c r="AD15" i="53"/>
  <c r="AD12" i="53"/>
  <c r="AC13" i="53"/>
  <c r="AC14" i="53"/>
  <c r="AC15" i="53"/>
  <c r="AC12" i="53"/>
  <c r="AR22" i="53"/>
  <c r="AQ22" i="53"/>
  <c r="AP22" i="53"/>
  <c r="AO22" i="53"/>
  <c r="AN22" i="53"/>
  <c r="AM22" i="53"/>
  <c r="AR21" i="53"/>
  <c r="AQ21" i="53"/>
  <c r="AP21" i="53"/>
  <c r="AO21" i="53"/>
  <c r="AN21" i="53"/>
  <c r="AM21" i="53"/>
  <c r="AR20" i="53"/>
  <c r="AQ20" i="53"/>
  <c r="AP20" i="53"/>
  <c r="AO20" i="53"/>
  <c r="AN20" i="53"/>
  <c r="AM20" i="53"/>
  <c r="AR19" i="53"/>
  <c r="AQ19" i="53"/>
  <c r="AP19" i="53"/>
  <c r="AO19" i="53"/>
  <c r="AN19" i="53"/>
  <c r="AM19" i="53"/>
  <c r="AR18" i="53"/>
  <c r="AQ18" i="53"/>
  <c r="AP18" i="53"/>
  <c r="AO18" i="53"/>
  <c r="AN18" i="53"/>
  <c r="AM18" i="53"/>
  <c r="AR17" i="53"/>
  <c r="AQ17" i="53"/>
  <c r="AP17" i="53"/>
  <c r="AO17" i="53"/>
  <c r="AN17" i="53"/>
  <c r="AM17" i="53"/>
  <c r="AR15" i="53"/>
  <c r="AR14" i="53"/>
  <c r="AR13" i="53"/>
  <c r="AB5" i="53"/>
  <c r="AB6" i="53"/>
  <c r="AB7" i="53"/>
  <c r="AB8" i="53"/>
  <c r="AB4" i="53"/>
  <c r="AB3" i="53"/>
  <c r="Z18" i="53"/>
  <c r="Z19" i="53"/>
  <c r="Z20" i="53"/>
  <c r="Z21" i="53"/>
  <c r="Z22" i="53"/>
  <c r="Z23" i="53"/>
  <c r="Z17" i="53"/>
  <c r="Y18" i="53"/>
  <c r="Y19" i="53"/>
  <c r="Y20" i="53"/>
  <c r="Y21" i="53"/>
  <c r="Y22" i="53"/>
  <c r="Y23" i="53"/>
  <c r="Y17" i="53"/>
  <c r="X18" i="53"/>
  <c r="X19" i="53"/>
  <c r="X20" i="53"/>
  <c r="X21" i="53"/>
  <c r="X22" i="53"/>
  <c r="X17" i="53"/>
  <c r="W18" i="53"/>
  <c r="W19" i="53"/>
  <c r="W20" i="53"/>
  <c r="W21" i="53"/>
  <c r="W22" i="53"/>
  <c r="W23" i="53"/>
  <c r="W17" i="53"/>
  <c r="V18" i="53"/>
  <c r="V19" i="53"/>
  <c r="V20" i="53"/>
  <c r="V21" i="53"/>
  <c r="V22" i="53"/>
  <c r="V23" i="53"/>
  <c r="V17" i="53"/>
  <c r="U23" i="53"/>
  <c r="U18" i="53"/>
  <c r="U19" i="53"/>
  <c r="U20" i="53"/>
  <c r="U21" i="53"/>
  <c r="U22" i="53"/>
  <c r="U17" i="53"/>
  <c r="T18" i="53"/>
  <c r="T19" i="53"/>
  <c r="T20" i="53"/>
  <c r="T21" i="53"/>
  <c r="T22" i="53"/>
  <c r="T23" i="53"/>
  <c r="T17" i="53"/>
  <c r="S18" i="53"/>
  <c r="S19" i="53"/>
  <c r="S20" i="53"/>
  <c r="S21" i="53"/>
  <c r="S22" i="53"/>
  <c r="S17" i="53"/>
  <c r="Z12" i="53"/>
  <c r="Z13" i="53"/>
  <c r="Z14" i="53"/>
  <c r="Z15" i="53"/>
  <c r="Y13" i="53"/>
  <c r="Y14" i="53"/>
  <c r="Y15" i="53"/>
  <c r="Y12" i="53"/>
  <c r="X13" i="53"/>
  <c r="X14" i="53"/>
  <c r="X15" i="53"/>
  <c r="X12" i="53"/>
  <c r="W13" i="53"/>
  <c r="W14" i="53"/>
  <c r="W15" i="53"/>
  <c r="W12" i="53"/>
  <c r="V13" i="53"/>
  <c r="V14" i="53"/>
  <c r="V15" i="53"/>
  <c r="V12" i="53"/>
  <c r="U13" i="53"/>
  <c r="U14" i="53"/>
  <c r="U15" i="53"/>
  <c r="U12" i="53"/>
  <c r="T13" i="53"/>
  <c r="T14" i="53"/>
  <c r="T15" i="53"/>
  <c r="T12" i="53"/>
  <c r="S8" i="53"/>
  <c r="S7" i="53"/>
  <c r="S6" i="53"/>
  <c r="S5" i="53"/>
  <c r="S4" i="53"/>
  <c r="S3" i="53"/>
  <c r="A148" i="53"/>
  <c r="A147" i="53"/>
  <c r="A146" i="53"/>
  <c r="A145" i="53"/>
  <c r="A144" i="53"/>
  <c r="A143" i="53"/>
  <c r="A142" i="53"/>
  <c r="A141" i="53"/>
  <c r="A140" i="53"/>
  <c r="A139" i="53"/>
  <c r="A138" i="53"/>
  <c r="A137" i="53"/>
  <c r="A136" i="53"/>
  <c r="A135" i="53"/>
  <c r="A134" i="53"/>
  <c r="A133" i="53"/>
  <c r="A132" i="53"/>
  <c r="A131" i="53"/>
  <c r="A130" i="53"/>
  <c r="A129" i="53"/>
  <c r="A128" i="53"/>
  <c r="A127" i="53"/>
  <c r="A126" i="53"/>
  <c r="A125" i="53"/>
  <c r="A124" i="53"/>
  <c r="A123" i="53"/>
  <c r="A122" i="53"/>
  <c r="A121" i="53"/>
  <c r="A120" i="53"/>
  <c r="A119" i="53"/>
  <c r="A118" i="53"/>
  <c r="A117" i="53"/>
  <c r="A116" i="53"/>
  <c r="A115" i="53"/>
  <c r="A114" i="53"/>
  <c r="A113" i="53"/>
  <c r="A112" i="53"/>
  <c r="A111" i="53"/>
  <c r="A110" i="53"/>
  <c r="A109" i="53"/>
  <c r="A108" i="53"/>
  <c r="A107" i="53"/>
  <c r="A106" i="53"/>
  <c r="A105" i="53"/>
  <c r="A104" i="53"/>
  <c r="A103" i="53"/>
  <c r="A102" i="53"/>
  <c r="A101" i="53"/>
  <c r="A100" i="53"/>
  <c r="A99" i="53"/>
  <c r="A98" i="53"/>
  <c r="A97" i="53"/>
  <c r="A96" i="53"/>
  <c r="A95" i="53"/>
  <c r="A94" i="53"/>
  <c r="A93" i="53"/>
  <c r="A92" i="53"/>
  <c r="A91" i="53"/>
  <c r="A90" i="53"/>
  <c r="A89" i="53"/>
  <c r="A88" i="53"/>
  <c r="A87" i="53"/>
  <c r="A86" i="53"/>
  <c r="A85" i="53"/>
  <c r="A84" i="53"/>
  <c r="A83" i="53"/>
  <c r="A82" i="53"/>
  <c r="A81" i="53"/>
  <c r="A80" i="53"/>
  <c r="A79" i="53"/>
  <c r="A78" i="53"/>
  <c r="A77" i="53"/>
  <c r="A76" i="53"/>
  <c r="A75" i="53"/>
  <c r="A74" i="53"/>
  <c r="A73" i="53"/>
  <c r="A72" i="53"/>
  <c r="A71" i="53"/>
  <c r="A70" i="53"/>
  <c r="A69" i="53"/>
  <c r="A68" i="53"/>
  <c r="A67" i="53"/>
  <c r="A66" i="53"/>
  <c r="A65" i="53"/>
  <c r="A64" i="53"/>
  <c r="A63" i="53"/>
  <c r="A62" i="53"/>
  <c r="A61" i="53"/>
  <c r="A60" i="53"/>
  <c r="A59" i="53"/>
  <c r="A58" i="53"/>
  <c r="A57" i="53"/>
  <c r="A56" i="53"/>
  <c r="A55" i="53"/>
  <c r="A54" i="53"/>
  <c r="A53" i="53"/>
  <c r="A52" i="53"/>
  <c r="A51" i="53"/>
  <c r="A50" i="53"/>
  <c r="A49" i="53"/>
  <c r="A48" i="53"/>
  <c r="A47" i="53"/>
  <c r="A46" i="53"/>
  <c r="A45" i="53"/>
  <c r="A44" i="53"/>
  <c r="A43" i="53"/>
  <c r="A42" i="53"/>
  <c r="A41" i="53"/>
  <c r="A40" i="53"/>
  <c r="A39" i="53"/>
  <c r="A38" i="53"/>
  <c r="A37" i="53"/>
  <c r="A36" i="53"/>
  <c r="A35" i="53"/>
  <c r="A34" i="53"/>
  <c r="A33" i="53"/>
  <c r="A32" i="53"/>
  <c r="A31" i="53"/>
  <c r="A30" i="53"/>
  <c r="A29" i="53"/>
  <c r="A28" i="53"/>
  <c r="A27" i="53"/>
  <c r="A26" i="53"/>
  <c r="A25" i="53"/>
  <c r="A24" i="53"/>
  <c r="A23" i="53"/>
  <c r="A22" i="53"/>
  <c r="A21" i="53"/>
  <c r="A20" i="53"/>
  <c r="A19" i="53"/>
  <c r="A18" i="53"/>
  <c r="A17" i="53"/>
  <c r="A16" i="53"/>
  <c r="A15" i="53"/>
  <c r="A14" i="53"/>
  <c r="A13" i="53"/>
  <c r="A12" i="53"/>
  <c r="A11" i="53"/>
  <c r="A10" i="53"/>
  <c r="A9" i="53"/>
  <c r="A8" i="53"/>
  <c r="A7" i="53"/>
  <c r="A6" i="53"/>
  <c r="A5" i="53"/>
  <c r="A4" i="53"/>
  <c r="A3" i="53"/>
  <c r="A2" i="53"/>
  <c r="A1" i="53"/>
  <c r="AU3" i="53" l="1"/>
  <c r="AU6" i="53"/>
  <c r="AU5" i="53"/>
  <c r="AU7" i="53"/>
  <c r="AU4" i="53"/>
  <c r="AU8" i="53"/>
  <c r="AK10" i="53"/>
  <c r="AL3" i="53"/>
  <c r="AL7" i="53"/>
  <c r="AL4" i="53"/>
  <c r="AL8" i="53"/>
  <c r="AL5" i="53"/>
  <c r="AL6" i="53"/>
  <c r="AB10" i="53"/>
  <c r="AC7" i="53"/>
  <c r="AC8" i="53"/>
  <c r="AC6" i="53"/>
  <c r="AC4" i="53"/>
  <c r="AC3" i="53"/>
  <c r="AC5" i="53"/>
  <c r="T5" i="53"/>
  <c r="T4" i="53"/>
  <c r="T3" i="53"/>
  <c r="C1" i="34"/>
  <c r="B165" i="34"/>
  <c r="L98" i="33" l="1"/>
  <c r="G89" i="33"/>
  <c r="Y31" i="45" l="1"/>
  <c r="Y35" i="45"/>
  <c r="C10" i="65" l="1"/>
  <c r="E2" i="64" l="1"/>
  <c r="E3" i="64"/>
  <c r="E4" i="64"/>
  <c r="E5" i="64"/>
  <c r="E6" i="64"/>
  <c r="E7" i="64"/>
  <c r="E8" i="64"/>
  <c r="E9" i="64"/>
  <c r="E10" i="64"/>
  <c r="E11" i="64"/>
  <c r="E12" i="64"/>
  <c r="E13" i="64"/>
  <c r="E14" i="64"/>
  <c r="E15" i="64"/>
  <c r="E16" i="64"/>
  <c r="E17" i="64"/>
  <c r="E18" i="64"/>
  <c r="E19" i="64"/>
  <c r="E20" i="64"/>
  <c r="E21" i="64"/>
  <c r="E22" i="64"/>
  <c r="E23" i="64"/>
  <c r="E24" i="64"/>
  <c r="E25" i="64"/>
  <c r="E26" i="64"/>
  <c r="E27" i="64"/>
  <c r="E28" i="64"/>
  <c r="E29" i="64"/>
  <c r="E30" i="64"/>
  <c r="E31" i="64"/>
  <c r="E32" i="64"/>
  <c r="E33" i="64"/>
  <c r="E34" i="64"/>
  <c r="E35" i="64"/>
  <c r="E36" i="64"/>
  <c r="E37" i="64"/>
  <c r="E38" i="64"/>
  <c r="E39" i="64"/>
  <c r="E40" i="64"/>
  <c r="E41" i="64"/>
  <c r="E42" i="64"/>
  <c r="E43" i="64"/>
  <c r="E44" i="64"/>
  <c r="E45" i="64"/>
  <c r="E46" i="64"/>
  <c r="E47" i="64"/>
  <c r="E48" i="64"/>
  <c r="E49" i="64"/>
  <c r="E50" i="64"/>
  <c r="E51" i="64"/>
  <c r="E52" i="64"/>
  <c r="E53" i="64"/>
  <c r="E54" i="64"/>
  <c r="E55" i="64"/>
  <c r="E56" i="64"/>
  <c r="E57" i="64"/>
  <c r="E58" i="64"/>
  <c r="E59" i="64"/>
  <c r="E60" i="64"/>
  <c r="E61" i="64"/>
  <c r="E62" i="64"/>
  <c r="E63" i="64"/>
  <c r="E64" i="64"/>
  <c r="E65" i="64"/>
  <c r="E66" i="64"/>
  <c r="E67" i="64"/>
  <c r="E68" i="64"/>
  <c r="E69" i="64"/>
  <c r="E70" i="64"/>
  <c r="E71" i="64"/>
  <c r="E72" i="64"/>
  <c r="E73" i="64"/>
  <c r="E74" i="64"/>
  <c r="E75" i="64"/>
  <c r="E76" i="64"/>
  <c r="E77" i="64"/>
  <c r="E78" i="64"/>
  <c r="E79" i="64"/>
  <c r="E80" i="64"/>
  <c r="E81" i="64"/>
  <c r="E82" i="64"/>
  <c r="E83" i="64"/>
  <c r="E84" i="64"/>
  <c r="E85" i="64"/>
  <c r="E86" i="64"/>
  <c r="E87" i="64"/>
  <c r="E88" i="64"/>
  <c r="E89" i="64"/>
  <c r="E90" i="64"/>
  <c r="E91" i="64"/>
  <c r="E92" i="64"/>
  <c r="E93" i="64"/>
  <c r="E94" i="64"/>
  <c r="E95" i="64"/>
  <c r="E96" i="64"/>
  <c r="E97" i="64"/>
  <c r="E98" i="64"/>
  <c r="E99" i="64"/>
  <c r="E100" i="64"/>
  <c r="E101" i="64"/>
  <c r="E102" i="64"/>
  <c r="E103" i="64"/>
  <c r="E104" i="64"/>
  <c r="E105" i="64"/>
  <c r="E106" i="64"/>
  <c r="E107" i="64"/>
  <c r="E108" i="64"/>
  <c r="E109" i="64"/>
  <c r="E110" i="64"/>
  <c r="E111" i="64"/>
  <c r="E112" i="64"/>
  <c r="E113" i="64"/>
  <c r="E114" i="64"/>
  <c r="E115" i="64"/>
  <c r="E116" i="64"/>
  <c r="E117" i="64"/>
  <c r="E118" i="64"/>
  <c r="E119" i="64"/>
  <c r="E120" i="64"/>
  <c r="E121" i="64"/>
  <c r="E122" i="64"/>
  <c r="E123" i="64"/>
  <c r="E124" i="64"/>
  <c r="E125" i="64"/>
  <c r="E126" i="64"/>
  <c r="E127" i="64"/>
  <c r="E128" i="64"/>
  <c r="E129" i="64"/>
  <c r="E130" i="64"/>
  <c r="E131" i="64"/>
  <c r="E132" i="64"/>
  <c r="E133" i="64"/>
  <c r="E134" i="64"/>
  <c r="E135" i="64"/>
  <c r="E136" i="64"/>
  <c r="E137" i="64"/>
  <c r="E138" i="64"/>
  <c r="E139" i="64"/>
  <c r="E140" i="64"/>
  <c r="E141" i="64"/>
  <c r="E142" i="64"/>
  <c r="E143" i="64"/>
  <c r="E144" i="64"/>
  <c r="E145" i="64"/>
  <c r="E146" i="64"/>
  <c r="E147" i="64"/>
  <c r="E148" i="64"/>
  <c r="E149" i="64"/>
  <c r="E150" i="64"/>
  <c r="E151" i="64"/>
  <c r="E152" i="64"/>
  <c r="E153" i="64"/>
  <c r="E154" i="64"/>
  <c r="E155" i="64"/>
  <c r="E156" i="64"/>
  <c r="E157" i="64"/>
  <c r="E158" i="64"/>
  <c r="E159" i="64"/>
  <c r="E160" i="64"/>
  <c r="E161" i="64"/>
  <c r="E162" i="64"/>
  <c r="E163" i="64"/>
  <c r="E164" i="64"/>
  <c r="E165" i="64"/>
  <c r="E1" i="64"/>
  <c r="G26" i="64" l="1"/>
  <c r="G2" i="64"/>
  <c r="G3" i="64"/>
  <c r="G4" i="64"/>
  <c r="G5" i="64"/>
  <c r="G6" i="64"/>
  <c r="G7" i="64"/>
  <c r="G8" i="64"/>
  <c r="G9" i="64"/>
  <c r="G10" i="64"/>
  <c r="G11" i="64"/>
  <c r="G12" i="64"/>
  <c r="G13" i="64"/>
  <c r="G14" i="64"/>
  <c r="G15" i="64"/>
  <c r="G16" i="64"/>
  <c r="G17" i="64"/>
  <c r="G18" i="64"/>
  <c r="G19" i="64"/>
  <c r="G20" i="64"/>
  <c r="G21" i="64"/>
  <c r="G22" i="64"/>
  <c r="G23" i="64"/>
  <c r="G24" i="64"/>
  <c r="G25" i="64"/>
  <c r="G27" i="64"/>
  <c r="G28" i="64"/>
  <c r="G29" i="64"/>
  <c r="G30" i="64"/>
  <c r="G31" i="64"/>
  <c r="G32" i="64"/>
  <c r="G33" i="64"/>
  <c r="G34" i="64"/>
  <c r="G35" i="64"/>
  <c r="G36" i="64"/>
  <c r="G37" i="64"/>
  <c r="G38" i="64"/>
  <c r="G39" i="64"/>
  <c r="G40" i="64"/>
  <c r="G41" i="64"/>
  <c r="G42" i="64"/>
  <c r="G43" i="64"/>
  <c r="G44" i="64"/>
  <c r="G45" i="64"/>
  <c r="G46" i="64"/>
  <c r="G47" i="64"/>
  <c r="G48" i="64"/>
  <c r="G49" i="64"/>
  <c r="G50" i="64"/>
  <c r="G51" i="64"/>
  <c r="G52" i="64"/>
  <c r="G53" i="64"/>
  <c r="G54" i="64"/>
  <c r="G55" i="64"/>
  <c r="G56" i="64"/>
  <c r="G57" i="64"/>
  <c r="G58" i="64"/>
  <c r="G59" i="64"/>
  <c r="G60" i="64"/>
  <c r="G61" i="64"/>
  <c r="G62" i="64"/>
  <c r="G63" i="64"/>
  <c r="G64" i="64"/>
  <c r="G65" i="64"/>
  <c r="G66" i="64"/>
  <c r="G67" i="64"/>
  <c r="G68" i="64"/>
  <c r="G69" i="64"/>
  <c r="G70" i="64"/>
  <c r="G71" i="64"/>
  <c r="G72" i="64"/>
  <c r="G73" i="64"/>
  <c r="G74" i="64"/>
  <c r="G75" i="64"/>
  <c r="G76" i="64"/>
  <c r="G77" i="64"/>
  <c r="G78" i="64"/>
  <c r="G79" i="64"/>
  <c r="G80" i="64"/>
  <c r="G81" i="64"/>
  <c r="G82" i="64"/>
  <c r="G83" i="64"/>
  <c r="G84" i="64"/>
  <c r="G85" i="64"/>
  <c r="G86" i="64"/>
  <c r="G87" i="64"/>
  <c r="G88" i="64"/>
  <c r="G89" i="64"/>
  <c r="G90" i="64"/>
  <c r="G91" i="64"/>
  <c r="G92" i="64"/>
  <c r="G93" i="64"/>
  <c r="G94" i="64"/>
  <c r="G95" i="64"/>
  <c r="G96" i="64"/>
  <c r="G97" i="64"/>
  <c r="G98" i="64"/>
  <c r="G99" i="64"/>
  <c r="G100" i="64"/>
  <c r="G101" i="64"/>
  <c r="G102" i="64"/>
  <c r="G103" i="64"/>
  <c r="G104" i="64"/>
  <c r="G105" i="64"/>
  <c r="G106" i="64"/>
  <c r="G107" i="64"/>
  <c r="G108" i="64"/>
  <c r="G109" i="64"/>
  <c r="G110" i="64"/>
  <c r="G111" i="64"/>
  <c r="G112" i="64"/>
  <c r="G113" i="64"/>
  <c r="G114" i="64"/>
  <c r="G115" i="64"/>
  <c r="G116" i="64"/>
  <c r="G117" i="64"/>
  <c r="G118" i="64"/>
  <c r="G119" i="64"/>
  <c r="G120" i="64"/>
  <c r="G121" i="64"/>
  <c r="G122" i="64"/>
  <c r="G123" i="64"/>
  <c r="G124" i="64"/>
  <c r="G125" i="64"/>
  <c r="G126" i="64"/>
  <c r="G127" i="64"/>
  <c r="G128" i="64"/>
  <c r="G129" i="64"/>
  <c r="G130" i="64"/>
  <c r="G131" i="64"/>
  <c r="G132" i="64"/>
  <c r="G133" i="64"/>
  <c r="G134" i="64"/>
  <c r="G135" i="64"/>
  <c r="G136" i="64"/>
  <c r="G137" i="64"/>
  <c r="G138" i="64"/>
  <c r="G139" i="64"/>
  <c r="G140" i="64"/>
  <c r="G141" i="64"/>
  <c r="G142" i="64"/>
  <c r="G143" i="64"/>
  <c r="G144" i="64"/>
  <c r="G145" i="64"/>
  <c r="G146" i="64"/>
  <c r="G147" i="64"/>
  <c r="G148" i="64"/>
  <c r="G149" i="64"/>
  <c r="G150" i="64"/>
  <c r="G151" i="64"/>
  <c r="G152" i="64"/>
  <c r="G153" i="64"/>
  <c r="G154" i="64"/>
  <c r="G155" i="64"/>
  <c r="G156" i="64"/>
  <c r="G157" i="64"/>
  <c r="G158" i="64"/>
  <c r="G159" i="64"/>
  <c r="G160" i="64"/>
  <c r="G161" i="64"/>
  <c r="G162" i="64"/>
  <c r="G163" i="64"/>
  <c r="G164" i="64"/>
  <c r="G165" i="64"/>
  <c r="G1" i="64"/>
  <c r="A23" i="56"/>
  <c r="A24" i="56"/>
  <c r="A25" i="56"/>
  <c r="A26" i="56"/>
  <c r="A27" i="56"/>
  <c r="A28" i="56"/>
  <c r="A29" i="56"/>
  <c r="A30" i="56"/>
  <c r="A31" i="56"/>
  <c r="A32" i="56"/>
  <c r="A33" i="56"/>
  <c r="A34" i="56"/>
  <c r="A35" i="56"/>
  <c r="A36" i="56"/>
  <c r="A37" i="56"/>
  <c r="A38" i="56"/>
  <c r="A39" i="56"/>
  <c r="A40" i="56"/>
  <c r="A41" i="56"/>
  <c r="A42" i="56"/>
  <c r="A43" i="56"/>
  <c r="A44" i="56"/>
  <c r="A45" i="56"/>
  <c r="A46" i="56"/>
  <c r="A47" i="56"/>
  <c r="A48" i="56"/>
  <c r="A49" i="56"/>
  <c r="A50" i="56"/>
  <c r="A51" i="56"/>
  <c r="A52" i="56"/>
  <c r="A53" i="56"/>
  <c r="A54" i="56"/>
  <c r="A55" i="56"/>
  <c r="A56" i="56"/>
  <c r="A57" i="56"/>
  <c r="A58" i="56"/>
  <c r="A59" i="56"/>
  <c r="A60" i="56"/>
  <c r="A61" i="56"/>
  <c r="A62" i="56"/>
  <c r="A63" i="56"/>
  <c r="A64" i="56"/>
  <c r="A65" i="56"/>
  <c r="A66" i="56"/>
  <c r="A67" i="56"/>
  <c r="A68" i="56"/>
  <c r="A69" i="56"/>
  <c r="A70" i="56"/>
  <c r="A71" i="56"/>
  <c r="A72" i="56"/>
  <c r="A73" i="56"/>
  <c r="A74" i="56"/>
  <c r="A75" i="56"/>
  <c r="A76" i="56"/>
  <c r="A77" i="56"/>
  <c r="A78" i="56"/>
  <c r="A79" i="56"/>
  <c r="A80" i="56"/>
  <c r="A81" i="56"/>
  <c r="A82" i="56"/>
  <c r="A83" i="56"/>
  <c r="A84" i="56"/>
  <c r="A85" i="56"/>
  <c r="A86" i="56"/>
  <c r="A87" i="56"/>
  <c r="A88" i="56"/>
  <c r="A89" i="56"/>
  <c r="A90" i="56"/>
  <c r="A91" i="56"/>
  <c r="A92" i="56"/>
  <c r="H1" i="64" l="1"/>
  <c r="U3" i="56" l="1"/>
  <c r="U4" i="56"/>
  <c r="U2" i="56"/>
  <c r="U107" i="59" l="1"/>
  <c r="U108" i="59"/>
  <c r="U109" i="59"/>
  <c r="U110" i="59"/>
  <c r="U111" i="59"/>
  <c r="U112" i="59"/>
  <c r="U113" i="59"/>
  <c r="U114" i="59"/>
  <c r="U115" i="59"/>
  <c r="U116" i="59"/>
  <c r="U117" i="59"/>
  <c r="U118" i="59"/>
  <c r="U119" i="59"/>
  <c r="U120" i="59"/>
  <c r="U121" i="59"/>
  <c r="U122" i="59"/>
  <c r="U123" i="59"/>
  <c r="U124" i="59"/>
  <c r="U125" i="59"/>
  <c r="U126" i="59"/>
  <c r="U127" i="59"/>
  <c r="U128" i="59"/>
  <c r="U129" i="59"/>
  <c r="U130" i="59"/>
  <c r="U131" i="59"/>
  <c r="U132" i="59"/>
  <c r="U133" i="59"/>
  <c r="U134" i="59"/>
  <c r="U135" i="59"/>
  <c r="U136" i="59"/>
  <c r="U137" i="59"/>
  <c r="U138" i="59"/>
  <c r="U139" i="59"/>
  <c r="U140" i="59"/>
  <c r="U141" i="59"/>
  <c r="U142" i="59"/>
  <c r="U143" i="59"/>
  <c r="U144" i="59"/>
  <c r="U145" i="59"/>
  <c r="U146" i="59"/>
  <c r="U147" i="59"/>
  <c r="U148" i="59"/>
  <c r="U149" i="59"/>
  <c r="U150" i="59"/>
  <c r="U151" i="59"/>
  <c r="U152" i="59"/>
  <c r="U153" i="59"/>
  <c r="U154" i="59"/>
  <c r="U155" i="59"/>
  <c r="U156" i="59"/>
  <c r="U157" i="59"/>
  <c r="U158" i="59"/>
  <c r="U159" i="59"/>
  <c r="U160" i="59"/>
  <c r="U161" i="59"/>
  <c r="U162" i="59"/>
  <c r="U163" i="59"/>
  <c r="U164" i="59"/>
  <c r="U165" i="59"/>
  <c r="U166" i="59"/>
  <c r="U167" i="59"/>
  <c r="U168" i="59"/>
  <c r="U169" i="59"/>
  <c r="U170" i="59"/>
  <c r="U171" i="59"/>
  <c r="U172" i="59"/>
  <c r="U173" i="59"/>
  <c r="U174" i="59"/>
  <c r="U175" i="59"/>
  <c r="U176" i="59"/>
  <c r="U177" i="59"/>
  <c r="U178" i="59"/>
  <c r="U179" i="59"/>
  <c r="U180" i="59"/>
  <c r="U181" i="59"/>
  <c r="U182" i="59"/>
  <c r="U183" i="59"/>
  <c r="U184" i="59"/>
  <c r="U185" i="59"/>
  <c r="U186" i="59"/>
  <c r="U187" i="59"/>
  <c r="U188" i="59"/>
  <c r="U189" i="59"/>
  <c r="U190" i="59"/>
  <c r="U191" i="59"/>
  <c r="U192" i="59"/>
  <c r="U193" i="59"/>
  <c r="U194" i="59"/>
  <c r="U195" i="59"/>
  <c r="U196" i="59"/>
  <c r="U197" i="59"/>
  <c r="U198" i="59"/>
  <c r="U199" i="59"/>
  <c r="U200" i="59"/>
  <c r="U201" i="59"/>
  <c r="U202" i="59"/>
  <c r="U203" i="59"/>
  <c r="U204" i="59"/>
  <c r="U205" i="59"/>
  <c r="U206" i="59"/>
  <c r="U207" i="59"/>
  <c r="U208" i="59"/>
  <c r="U209" i="59"/>
  <c r="U210" i="59"/>
  <c r="U211" i="59"/>
  <c r="U212" i="59"/>
  <c r="U213" i="59"/>
  <c r="U214" i="59"/>
  <c r="U215" i="59"/>
  <c r="U216" i="59"/>
  <c r="U217" i="59"/>
  <c r="U218" i="59"/>
  <c r="U219" i="59"/>
  <c r="U220" i="59"/>
  <c r="U221" i="59"/>
  <c r="U222" i="59"/>
  <c r="U223" i="59"/>
  <c r="U224" i="59"/>
  <c r="U225" i="59"/>
  <c r="U226" i="59"/>
  <c r="U227" i="59"/>
  <c r="U228" i="59"/>
  <c r="U229" i="59"/>
  <c r="U230" i="59"/>
  <c r="U231" i="59"/>
  <c r="U232" i="59"/>
  <c r="U233" i="59"/>
  <c r="U234" i="59"/>
  <c r="U235" i="59"/>
  <c r="U236" i="59"/>
  <c r="U237" i="59"/>
  <c r="U238" i="59"/>
  <c r="U239" i="59"/>
  <c r="U240" i="59"/>
  <c r="U241" i="59"/>
  <c r="U242" i="59"/>
  <c r="U243" i="59"/>
  <c r="U244" i="59"/>
  <c r="U245" i="59"/>
  <c r="U246" i="59"/>
  <c r="U247" i="59"/>
  <c r="U248" i="59"/>
  <c r="U249" i="59"/>
  <c r="U250" i="59"/>
  <c r="U251" i="59"/>
  <c r="U252" i="59"/>
  <c r="U253" i="59"/>
  <c r="U254" i="59"/>
  <c r="U255" i="59"/>
  <c r="U256" i="59"/>
  <c r="U257" i="59"/>
  <c r="U258" i="59"/>
  <c r="U259" i="59"/>
  <c r="U260" i="59"/>
  <c r="U261" i="59"/>
  <c r="U262" i="59"/>
  <c r="U263" i="59"/>
  <c r="U264" i="59"/>
  <c r="U265" i="59"/>
  <c r="U266" i="59"/>
  <c r="U267" i="59"/>
  <c r="U268" i="59"/>
  <c r="U269" i="59"/>
  <c r="U270" i="59"/>
  <c r="U271" i="59"/>
  <c r="U272" i="59"/>
  <c r="U273" i="59"/>
  <c r="U274" i="59"/>
  <c r="U275" i="59"/>
  <c r="U276" i="59"/>
  <c r="U277" i="59"/>
  <c r="U278" i="59"/>
  <c r="U279" i="59"/>
  <c r="U280" i="59"/>
  <c r="U281" i="59"/>
  <c r="U282" i="59"/>
  <c r="U283" i="59"/>
  <c r="U284" i="59"/>
  <c r="U285" i="59"/>
  <c r="U286" i="59"/>
  <c r="U287" i="59"/>
  <c r="U288" i="59"/>
  <c r="U289" i="59"/>
  <c r="U290" i="59"/>
  <c r="U291" i="59"/>
  <c r="U292" i="59"/>
  <c r="U293" i="59"/>
  <c r="U294" i="59"/>
  <c r="U295" i="59"/>
  <c r="U296" i="59"/>
  <c r="U297" i="59"/>
  <c r="U298" i="59"/>
  <c r="U299" i="59"/>
  <c r="U300" i="59"/>
  <c r="U301" i="59"/>
  <c r="U302" i="59"/>
  <c r="U303" i="59"/>
  <c r="U304" i="59"/>
  <c r="U305" i="59"/>
  <c r="U306" i="59"/>
  <c r="U307" i="59"/>
  <c r="U308" i="59"/>
  <c r="U309" i="59"/>
  <c r="U310" i="59"/>
  <c r="U311" i="59"/>
  <c r="U312" i="59"/>
  <c r="U313" i="59"/>
  <c r="U314" i="59"/>
  <c r="U315" i="59"/>
  <c r="U316" i="59"/>
  <c r="U317" i="59"/>
  <c r="U318" i="59"/>
  <c r="U319" i="59"/>
  <c r="U320" i="59"/>
  <c r="U321" i="59"/>
  <c r="U322" i="59"/>
  <c r="U323" i="59"/>
  <c r="U324" i="59"/>
  <c r="U325" i="59"/>
  <c r="U326" i="59"/>
  <c r="U327" i="59"/>
  <c r="U328" i="59"/>
  <c r="U329" i="59"/>
  <c r="U330" i="59"/>
  <c r="U331" i="59"/>
  <c r="U332" i="59"/>
  <c r="U333" i="59"/>
  <c r="U334" i="59"/>
  <c r="U335" i="59"/>
  <c r="U336" i="59"/>
  <c r="U337" i="59"/>
  <c r="U338" i="59"/>
  <c r="U339" i="59"/>
  <c r="U340" i="59"/>
  <c r="U341" i="59"/>
  <c r="U342" i="59"/>
  <c r="S107" i="59"/>
  <c r="S108" i="59"/>
  <c r="S109" i="59"/>
  <c r="S110" i="59"/>
  <c r="S111" i="59"/>
  <c r="S112" i="59"/>
  <c r="S113" i="59"/>
  <c r="S114" i="59"/>
  <c r="S115" i="59"/>
  <c r="S116" i="59"/>
  <c r="S117" i="59"/>
  <c r="S118" i="59"/>
  <c r="S119" i="59"/>
  <c r="S120" i="59"/>
  <c r="S121" i="59"/>
  <c r="S122" i="59"/>
  <c r="S123" i="59"/>
  <c r="S124" i="59"/>
  <c r="S125" i="59"/>
  <c r="S126" i="59"/>
  <c r="S127" i="59"/>
  <c r="S128" i="59"/>
  <c r="S129" i="59"/>
  <c r="S130" i="59"/>
  <c r="S131" i="59"/>
  <c r="S132" i="59"/>
  <c r="S133" i="59"/>
  <c r="S134" i="59"/>
  <c r="S135" i="59"/>
  <c r="S136" i="59"/>
  <c r="S137" i="59"/>
  <c r="V137" i="59" s="1"/>
  <c r="S138" i="59"/>
  <c r="S139" i="59"/>
  <c r="S140" i="59"/>
  <c r="S141" i="59"/>
  <c r="S142" i="59"/>
  <c r="S143" i="59"/>
  <c r="S144" i="59"/>
  <c r="S145" i="59"/>
  <c r="V145" i="59" s="1"/>
  <c r="S146" i="59"/>
  <c r="S147" i="59"/>
  <c r="S148" i="59"/>
  <c r="S149" i="59"/>
  <c r="S150" i="59"/>
  <c r="S151" i="59"/>
  <c r="S152" i="59"/>
  <c r="S153" i="59"/>
  <c r="S154" i="59"/>
  <c r="S155" i="59"/>
  <c r="S156" i="59"/>
  <c r="S157" i="59"/>
  <c r="S158" i="59"/>
  <c r="S159" i="59"/>
  <c r="S160" i="59"/>
  <c r="S161" i="59"/>
  <c r="S162" i="59"/>
  <c r="S163" i="59"/>
  <c r="S164" i="59"/>
  <c r="S165" i="59"/>
  <c r="S166" i="59"/>
  <c r="S167" i="59"/>
  <c r="S168" i="59"/>
  <c r="S169" i="59"/>
  <c r="S170" i="59"/>
  <c r="S171" i="59"/>
  <c r="S172" i="59"/>
  <c r="S173" i="59"/>
  <c r="S174" i="59"/>
  <c r="V174" i="59" s="1"/>
  <c r="S175" i="59"/>
  <c r="S176" i="59"/>
  <c r="S177" i="59"/>
  <c r="S178" i="59"/>
  <c r="S179" i="59"/>
  <c r="S180" i="59"/>
  <c r="S181" i="59"/>
  <c r="S182" i="59"/>
  <c r="S183" i="59"/>
  <c r="S184" i="59"/>
  <c r="S185" i="59"/>
  <c r="V185" i="59" s="1"/>
  <c r="S186" i="59"/>
  <c r="S187" i="59"/>
  <c r="S188" i="59"/>
  <c r="S189" i="59"/>
  <c r="S190" i="59"/>
  <c r="S191" i="59"/>
  <c r="S192" i="59"/>
  <c r="S193" i="59"/>
  <c r="S194" i="59"/>
  <c r="S195" i="59"/>
  <c r="S196" i="59"/>
  <c r="S197" i="59"/>
  <c r="S198" i="59"/>
  <c r="S199" i="59"/>
  <c r="S200" i="59"/>
  <c r="S201" i="59"/>
  <c r="V201" i="59" s="1"/>
  <c r="S202" i="59"/>
  <c r="S203" i="59"/>
  <c r="S204" i="59"/>
  <c r="S205" i="59"/>
  <c r="S206" i="59"/>
  <c r="S207" i="59"/>
  <c r="S208" i="59"/>
  <c r="S209" i="59"/>
  <c r="S210" i="59"/>
  <c r="S211" i="59"/>
  <c r="S212" i="59"/>
  <c r="S213" i="59"/>
  <c r="S214" i="59"/>
  <c r="S215" i="59"/>
  <c r="S216" i="59"/>
  <c r="S217" i="59"/>
  <c r="S218" i="59"/>
  <c r="S219" i="59"/>
  <c r="S220" i="59"/>
  <c r="S221" i="59"/>
  <c r="V221" i="59" s="1"/>
  <c r="S222" i="59"/>
  <c r="S223" i="59"/>
  <c r="S224" i="59"/>
  <c r="S225" i="59"/>
  <c r="S226" i="59"/>
  <c r="S227" i="59"/>
  <c r="S228" i="59"/>
  <c r="S229" i="59"/>
  <c r="S230" i="59"/>
  <c r="S231" i="59"/>
  <c r="S232" i="59"/>
  <c r="S233" i="59"/>
  <c r="S234" i="59"/>
  <c r="S235" i="59"/>
  <c r="S236" i="59"/>
  <c r="S237" i="59"/>
  <c r="S238" i="59"/>
  <c r="S239" i="59"/>
  <c r="S240" i="59"/>
  <c r="S241" i="59"/>
  <c r="S242" i="59"/>
  <c r="S243" i="59"/>
  <c r="S244" i="59"/>
  <c r="S245" i="59"/>
  <c r="S246" i="59"/>
  <c r="S247" i="59"/>
  <c r="S248" i="59"/>
  <c r="S249" i="59"/>
  <c r="S250" i="59"/>
  <c r="S251" i="59"/>
  <c r="S252" i="59"/>
  <c r="S253" i="59"/>
  <c r="S254" i="59"/>
  <c r="S255" i="59"/>
  <c r="S256" i="59"/>
  <c r="S257" i="59"/>
  <c r="S258" i="59"/>
  <c r="S259" i="59"/>
  <c r="S260" i="59"/>
  <c r="S261" i="59"/>
  <c r="S262" i="59"/>
  <c r="S263" i="59"/>
  <c r="S264" i="59"/>
  <c r="S265" i="59"/>
  <c r="S266" i="59"/>
  <c r="S267" i="59"/>
  <c r="S268" i="59"/>
  <c r="S269" i="59"/>
  <c r="S270" i="59"/>
  <c r="S271" i="59"/>
  <c r="S272" i="59"/>
  <c r="S273" i="59"/>
  <c r="S274" i="59"/>
  <c r="S275" i="59"/>
  <c r="S276" i="59"/>
  <c r="S277" i="59"/>
  <c r="S278" i="59"/>
  <c r="S279" i="59"/>
  <c r="S280" i="59"/>
  <c r="S281" i="59"/>
  <c r="S282" i="59"/>
  <c r="S283" i="59"/>
  <c r="S284" i="59"/>
  <c r="S285" i="59"/>
  <c r="S286" i="59"/>
  <c r="S287" i="59"/>
  <c r="S288" i="59"/>
  <c r="S289" i="59"/>
  <c r="S290" i="59"/>
  <c r="S291" i="59"/>
  <c r="S292" i="59"/>
  <c r="S293" i="59"/>
  <c r="S294" i="59"/>
  <c r="S295" i="59"/>
  <c r="S296" i="59"/>
  <c r="S297" i="59"/>
  <c r="S298" i="59"/>
  <c r="S299" i="59"/>
  <c r="S300" i="59"/>
  <c r="S301" i="59"/>
  <c r="S302" i="59"/>
  <c r="S303" i="59"/>
  <c r="S304" i="59"/>
  <c r="S305" i="59"/>
  <c r="S306" i="59"/>
  <c r="S307" i="59"/>
  <c r="S308" i="59"/>
  <c r="S309" i="59"/>
  <c r="S310" i="59"/>
  <c r="S311" i="59"/>
  <c r="S312" i="59"/>
  <c r="S313" i="59"/>
  <c r="S314" i="59"/>
  <c r="S315" i="59"/>
  <c r="S316" i="59"/>
  <c r="S317" i="59"/>
  <c r="S318" i="59"/>
  <c r="S319" i="59"/>
  <c r="S320" i="59"/>
  <c r="S321" i="59"/>
  <c r="S322" i="59"/>
  <c r="S323" i="59"/>
  <c r="S324" i="59"/>
  <c r="S325" i="59"/>
  <c r="S326" i="59"/>
  <c r="S327" i="59"/>
  <c r="S328" i="59"/>
  <c r="S329" i="59"/>
  <c r="S330" i="59"/>
  <c r="S331" i="59"/>
  <c r="S332" i="59"/>
  <c r="S333" i="59"/>
  <c r="S334" i="59"/>
  <c r="S335" i="59"/>
  <c r="S336" i="59"/>
  <c r="S337" i="59"/>
  <c r="S338" i="59"/>
  <c r="S339" i="59"/>
  <c r="S340" i="59"/>
  <c r="S341" i="59"/>
  <c r="S342" i="59"/>
  <c r="V113" i="59"/>
  <c r="V107" i="59"/>
  <c r="V114" i="59"/>
  <c r="V121" i="59"/>
  <c r="V125" i="59"/>
  <c r="V126" i="59"/>
  <c r="V129" i="59"/>
  <c r="V130" i="59"/>
  <c r="V131" i="59"/>
  <c r="V141" i="59"/>
  <c r="V142" i="59"/>
  <c r="V146" i="59"/>
  <c r="V153" i="59"/>
  <c r="V157" i="59"/>
  <c r="V161" i="59"/>
  <c r="V162" i="59"/>
  <c r="V163" i="59"/>
  <c r="V169" i="59"/>
  <c r="V173" i="59"/>
  <c r="V177" i="59"/>
  <c r="V178" i="59"/>
  <c r="V189" i="59"/>
  <c r="V190" i="59"/>
  <c r="V193" i="59"/>
  <c r="V194" i="59"/>
  <c r="V195" i="59"/>
  <c r="V205" i="59"/>
  <c r="V206" i="59"/>
  <c r="V209" i="59"/>
  <c r="V210" i="59"/>
  <c r="V215" i="59"/>
  <c r="V217" i="59"/>
  <c r="V222" i="59"/>
  <c r="V225" i="59"/>
  <c r="Q107" i="59"/>
  <c r="Q108" i="59"/>
  <c r="V108" i="59" s="1"/>
  <c r="Q109" i="59"/>
  <c r="V109" i="59" s="1"/>
  <c r="Q110" i="59"/>
  <c r="Q111" i="59"/>
  <c r="Q112" i="59"/>
  <c r="V112" i="59" s="1"/>
  <c r="Q113" i="59"/>
  <c r="Q114" i="59"/>
  <c r="Q115" i="59"/>
  <c r="Q116" i="59"/>
  <c r="V116" i="59" s="1"/>
  <c r="Q117" i="59"/>
  <c r="Q118" i="59"/>
  <c r="Q119" i="59"/>
  <c r="Q120" i="59"/>
  <c r="Q121" i="59"/>
  <c r="Q122" i="59"/>
  <c r="Q123" i="59"/>
  <c r="Q124" i="59"/>
  <c r="Q125" i="59"/>
  <c r="Q126" i="59"/>
  <c r="Q127" i="59"/>
  <c r="Q128" i="59"/>
  <c r="Q129" i="59"/>
  <c r="Q130" i="59"/>
  <c r="Q131" i="59"/>
  <c r="Q132" i="59"/>
  <c r="V132" i="59" s="1"/>
  <c r="Q133" i="59"/>
  <c r="Q134" i="59"/>
  <c r="Q135" i="59"/>
  <c r="Q136" i="59"/>
  <c r="Q137" i="59"/>
  <c r="Q138" i="59"/>
  <c r="Q139" i="59"/>
  <c r="Q140" i="59"/>
  <c r="Q141" i="59"/>
  <c r="Q142" i="59"/>
  <c r="Q143" i="59"/>
  <c r="Q144" i="59"/>
  <c r="Q145" i="59"/>
  <c r="Q146" i="59"/>
  <c r="Q147" i="59"/>
  <c r="Q148" i="59"/>
  <c r="Q149" i="59"/>
  <c r="V149" i="59" s="1"/>
  <c r="Q150" i="59"/>
  <c r="Q151" i="59"/>
  <c r="Q152" i="59"/>
  <c r="Q153" i="59"/>
  <c r="Q154" i="59"/>
  <c r="Q155" i="59"/>
  <c r="V155" i="59" s="1"/>
  <c r="Q156" i="59"/>
  <c r="Q157" i="59"/>
  <c r="Q158" i="59"/>
  <c r="V158" i="59" s="1"/>
  <c r="Q159" i="59"/>
  <c r="Q160" i="59"/>
  <c r="Q161" i="59"/>
  <c r="Q162" i="59"/>
  <c r="Q163" i="59"/>
  <c r="Q164" i="59"/>
  <c r="V164" i="59" s="1"/>
  <c r="Q165" i="59"/>
  <c r="V165" i="59" s="1"/>
  <c r="Q166" i="59"/>
  <c r="V166" i="59" s="1"/>
  <c r="Q167" i="59"/>
  <c r="Q168" i="59"/>
  <c r="Q169" i="59"/>
  <c r="Q170" i="59"/>
  <c r="Q171" i="59"/>
  <c r="Q172" i="59"/>
  <c r="V172" i="59" s="1"/>
  <c r="Q173" i="59"/>
  <c r="Q174" i="59"/>
  <c r="Q175" i="59"/>
  <c r="Q176" i="59"/>
  <c r="Q177" i="59"/>
  <c r="Q178" i="59"/>
  <c r="Q179" i="59"/>
  <c r="Q180" i="59"/>
  <c r="Q181" i="59"/>
  <c r="V181" i="59" s="1"/>
  <c r="Q182" i="59"/>
  <c r="V182" i="59" s="1"/>
  <c r="Q183" i="59"/>
  <c r="Q184" i="59"/>
  <c r="V184" i="59" s="1"/>
  <c r="Q185" i="59"/>
  <c r="Q186" i="59"/>
  <c r="Q187" i="59"/>
  <c r="V187" i="59" s="1"/>
  <c r="Q188" i="59"/>
  <c r="Q189" i="59"/>
  <c r="Q190" i="59"/>
  <c r="Q191" i="59"/>
  <c r="Q192" i="59"/>
  <c r="V192" i="59" s="1"/>
  <c r="Q193" i="59"/>
  <c r="Q194" i="59"/>
  <c r="Q195" i="59"/>
  <c r="Q196" i="59"/>
  <c r="V196" i="59" s="1"/>
  <c r="Q197" i="59"/>
  <c r="Q198" i="59"/>
  <c r="Q199" i="59"/>
  <c r="Q200" i="59"/>
  <c r="Q201" i="59"/>
  <c r="Q202" i="59"/>
  <c r="Q203" i="59"/>
  <c r="Q204" i="59"/>
  <c r="Q205" i="59"/>
  <c r="Q206" i="59"/>
  <c r="Q207" i="59"/>
  <c r="Q208" i="59"/>
  <c r="Q209" i="59"/>
  <c r="Q210" i="59"/>
  <c r="Q211" i="59"/>
  <c r="Q212" i="59"/>
  <c r="V212" i="59" s="1"/>
  <c r="Q213" i="59"/>
  <c r="Q214" i="59"/>
  <c r="Q215" i="59"/>
  <c r="Q216" i="59"/>
  <c r="Q217" i="59"/>
  <c r="Q218" i="59"/>
  <c r="Q219" i="59"/>
  <c r="Q220" i="59"/>
  <c r="Q221" i="59"/>
  <c r="Q222" i="59"/>
  <c r="Q223" i="59"/>
  <c r="Q224" i="59"/>
  <c r="Q225" i="59"/>
  <c r="Q226" i="59"/>
  <c r="V226" i="59" s="1"/>
  <c r="Q227" i="59"/>
  <c r="Q228" i="59"/>
  <c r="V228" i="59" s="1"/>
  <c r="Q229" i="59"/>
  <c r="Q230" i="59"/>
  <c r="Q231" i="59"/>
  <c r="Q232" i="59"/>
  <c r="V232" i="59" s="1"/>
  <c r="Q233" i="59"/>
  <c r="V233" i="59" s="1"/>
  <c r="Q234" i="59"/>
  <c r="Q235" i="59"/>
  <c r="Q236" i="59"/>
  <c r="V236" i="59" s="1"/>
  <c r="Q237" i="59"/>
  <c r="V237" i="59" s="1"/>
  <c r="Q238" i="59"/>
  <c r="V238" i="59" s="1"/>
  <c r="Q239" i="59"/>
  <c r="V239" i="59" s="1"/>
  <c r="Q240" i="59"/>
  <c r="Q241" i="59"/>
  <c r="V241" i="59" s="1"/>
  <c r="Q242" i="59"/>
  <c r="V242" i="59" s="1"/>
  <c r="Q243" i="59"/>
  <c r="Q244" i="59"/>
  <c r="Q245" i="59"/>
  <c r="V245" i="59" s="1"/>
  <c r="Q246" i="59"/>
  <c r="Q247" i="59"/>
  <c r="Q248" i="59"/>
  <c r="Q249" i="59"/>
  <c r="Q250" i="59"/>
  <c r="Q251" i="59"/>
  <c r="Q252" i="59"/>
  <c r="Q253" i="59"/>
  <c r="V253" i="59" s="1"/>
  <c r="Q254" i="59"/>
  <c r="Q255" i="59"/>
  <c r="V255" i="59" s="1"/>
  <c r="Q256" i="59"/>
  <c r="V256" i="59" s="1"/>
  <c r="Q257" i="59"/>
  <c r="V257" i="59" s="1"/>
  <c r="Q258" i="59"/>
  <c r="Q259" i="59"/>
  <c r="V259" i="59" s="1"/>
  <c r="Q260" i="59"/>
  <c r="Q261" i="59"/>
  <c r="V261" i="59" s="1"/>
  <c r="Q262" i="59"/>
  <c r="Q263" i="59"/>
  <c r="Q264" i="59"/>
  <c r="Q265" i="59"/>
  <c r="V265" i="59" s="1"/>
  <c r="Q266" i="59"/>
  <c r="V266" i="59" s="1"/>
  <c r="Q267" i="59"/>
  <c r="V267" i="59" s="1"/>
  <c r="Q268" i="59"/>
  <c r="Q269" i="59"/>
  <c r="V269" i="59" s="1"/>
  <c r="Q270" i="59"/>
  <c r="V270" i="59" s="1"/>
  <c r="Q271" i="59"/>
  <c r="Q272" i="59"/>
  <c r="Q273" i="59"/>
  <c r="V273" i="59" s="1"/>
  <c r="Q274" i="59"/>
  <c r="V274" i="59" s="1"/>
  <c r="Q275" i="59"/>
  <c r="Q276" i="59"/>
  <c r="V276" i="59" s="1"/>
  <c r="Q277" i="59"/>
  <c r="V277" i="59" s="1"/>
  <c r="Q278" i="59"/>
  <c r="V278" i="59" s="1"/>
  <c r="Q279" i="59"/>
  <c r="Q280" i="59"/>
  <c r="V280" i="59" s="1"/>
  <c r="Q281" i="59"/>
  <c r="V281" i="59" s="1"/>
  <c r="Q282" i="59"/>
  <c r="Q283" i="59"/>
  <c r="Q284" i="59"/>
  <c r="V284" i="59" s="1"/>
  <c r="Q285" i="59"/>
  <c r="V285" i="59" s="1"/>
  <c r="Q286" i="59"/>
  <c r="Q287" i="59"/>
  <c r="V287" i="59" s="1"/>
  <c r="Q288" i="59"/>
  <c r="Q289" i="59"/>
  <c r="V289" i="59" s="1"/>
  <c r="Q290" i="59"/>
  <c r="V290" i="59" s="1"/>
  <c r="Q291" i="59"/>
  <c r="Q292" i="59"/>
  <c r="V292" i="59" s="1"/>
  <c r="Q293" i="59"/>
  <c r="V293" i="59" s="1"/>
  <c r="Q294" i="59"/>
  <c r="Q295" i="59"/>
  <c r="V295" i="59" s="1"/>
  <c r="Q296" i="59"/>
  <c r="Q297" i="59"/>
  <c r="V297" i="59" s="1"/>
  <c r="Q298" i="59"/>
  <c r="Q299" i="59"/>
  <c r="Q300" i="59"/>
  <c r="V300" i="59" s="1"/>
  <c r="Q301" i="59"/>
  <c r="Q302" i="59"/>
  <c r="Q303" i="59"/>
  <c r="Q304" i="59"/>
  <c r="Q305" i="59"/>
  <c r="V305" i="59" s="1"/>
  <c r="Q306" i="59"/>
  <c r="Q307" i="59"/>
  <c r="Q308" i="59"/>
  <c r="Q309" i="59"/>
  <c r="V309" i="59" s="1"/>
  <c r="Q310" i="59"/>
  <c r="V310" i="59" s="1"/>
  <c r="Q311" i="59"/>
  <c r="Q312" i="59"/>
  <c r="Q313" i="59"/>
  <c r="V313" i="59" s="1"/>
  <c r="Q314" i="59"/>
  <c r="V314" i="59" s="1"/>
  <c r="Q315" i="59"/>
  <c r="Q316" i="59"/>
  <c r="Q317" i="59"/>
  <c r="Q318" i="59"/>
  <c r="Q319" i="59"/>
  <c r="V319" i="59" s="1"/>
  <c r="Q320" i="59"/>
  <c r="Q321" i="59"/>
  <c r="Q322" i="59"/>
  <c r="Q323" i="59"/>
  <c r="Q324" i="59"/>
  <c r="Q325" i="59"/>
  <c r="V325" i="59" s="1"/>
  <c r="Q326" i="59"/>
  <c r="Q327" i="59"/>
  <c r="Q328" i="59"/>
  <c r="Q329" i="59"/>
  <c r="V329" i="59" s="1"/>
  <c r="Q330" i="59"/>
  <c r="Q331" i="59"/>
  <c r="Q332" i="59"/>
  <c r="Q333" i="59"/>
  <c r="V333" i="59" s="1"/>
  <c r="Q334" i="59"/>
  <c r="V334" i="59" s="1"/>
  <c r="Q335" i="59"/>
  <c r="Q336" i="59"/>
  <c r="Q337" i="59"/>
  <c r="Q338" i="59"/>
  <c r="Q339" i="59"/>
  <c r="Q340" i="59"/>
  <c r="V340" i="59" s="1"/>
  <c r="Q341" i="59"/>
  <c r="V341" i="59" s="1"/>
  <c r="Q342" i="59"/>
  <c r="V342" i="59" s="1"/>
  <c r="V224" i="59" l="1"/>
  <c r="V220" i="59"/>
  <c r="V216" i="59"/>
  <c r="V208" i="59"/>
  <c r="V204" i="59"/>
  <c r="V200" i="59"/>
  <c r="V188" i="59"/>
  <c r="V180" i="59"/>
  <c r="V176" i="59"/>
  <c r="V168" i="59"/>
  <c r="V160" i="59"/>
  <c r="V156" i="59"/>
  <c r="V152" i="59"/>
  <c r="V148" i="59"/>
  <c r="V144" i="59"/>
  <c r="V140" i="59"/>
  <c r="V136" i="59"/>
  <c r="V128" i="59"/>
  <c r="V124" i="59"/>
  <c r="V120" i="59"/>
  <c r="V336" i="59"/>
  <c r="V328" i="59"/>
  <c r="V320" i="59"/>
  <c r="V312" i="59"/>
  <c r="V304" i="59"/>
  <c r="V296" i="59"/>
  <c r="V288" i="59"/>
  <c r="V272" i="59"/>
  <c r="V264" i="59"/>
  <c r="V248" i="59"/>
  <c r="V240" i="59"/>
  <c r="V223" i="59"/>
  <c r="V219" i="59"/>
  <c r="V207" i="59"/>
  <c r="V203" i="59"/>
  <c r="V191" i="59"/>
  <c r="V183" i="59"/>
  <c r="V175" i="59"/>
  <c r="V171" i="59"/>
  <c r="V167" i="59"/>
  <c r="V159" i="59"/>
  <c r="V151" i="59"/>
  <c r="V143" i="59"/>
  <c r="V139" i="59"/>
  <c r="V135" i="59"/>
  <c r="V127" i="59"/>
  <c r="V123" i="59"/>
  <c r="V119" i="59"/>
  <c r="V111" i="59"/>
  <c r="V335" i="59"/>
  <c r="V327" i="59"/>
  <c r="V311" i="59"/>
  <c r="V303" i="59"/>
  <c r="V279" i="59"/>
  <c r="V271" i="59"/>
  <c r="V263" i="59"/>
  <c r="V247" i="59"/>
  <c r="V231" i="59"/>
  <c r="V211" i="59"/>
  <c r="V330" i="59"/>
  <c r="V286" i="59"/>
  <c r="V332" i="59"/>
  <c r="V324" i="59"/>
  <c r="V316" i="59"/>
  <c r="V308" i="59"/>
  <c r="V268" i="59"/>
  <c r="V260" i="59"/>
  <c r="V252" i="59"/>
  <c r="V244" i="59"/>
  <c r="V227" i="59"/>
  <c r="V179" i="59"/>
  <c r="V147" i="59"/>
  <c r="V115" i="59"/>
  <c r="V339" i="59"/>
  <c r="V331" i="59"/>
  <c r="V323" i="59"/>
  <c r="V315" i="59"/>
  <c r="V307" i="59"/>
  <c r="V299" i="59"/>
  <c r="V291" i="59"/>
  <c r="V283" i="59"/>
  <c r="V275" i="59"/>
  <c r="V251" i="59"/>
  <c r="V243" i="59"/>
  <c r="V235" i="59"/>
  <c r="V199" i="59"/>
  <c r="V110" i="59"/>
  <c r="V338" i="59"/>
  <c r="V326" i="59"/>
  <c r="V322" i="59"/>
  <c r="V318" i="59"/>
  <c r="V306" i="59"/>
  <c r="V302" i="59"/>
  <c r="V298" i="59"/>
  <c r="V294" i="59"/>
  <c r="V282" i="59"/>
  <c r="V262" i="59"/>
  <c r="V258" i="59"/>
  <c r="V254" i="59"/>
  <c r="V250" i="59"/>
  <c r="V246" i="59"/>
  <c r="V234" i="59"/>
  <c r="V230" i="59"/>
  <c r="V214" i="59"/>
  <c r="V198" i="59"/>
  <c r="V150" i="59"/>
  <c r="V134" i="59"/>
  <c r="V118" i="59"/>
  <c r="V337" i="59"/>
  <c r="V321" i="59"/>
  <c r="V317" i="59"/>
  <c r="V301" i="59"/>
  <c r="V249" i="59"/>
  <c r="V229" i="59"/>
  <c r="V218" i="59"/>
  <c r="V213" i="59"/>
  <c r="V202" i="59"/>
  <c r="V197" i="59"/>
  <c r="V186" i="59"/>
  <c r="V170" i="59"/>
  <c r="V154" i="59"/>
  <c r="V138" i="59"/>
  <c r="V133" i="59"/>
  <c r="V122" i="59"/>
  <c r="V117" i="59"/>
  <c r="Q347" i="59"/>
  <c r="U88" i="59"/>
  <c r="S78" i="59"/>
  <c r="S3" i="59"/>
  <c r="S6" i="59"/>
  <c r="S25" i="59"/>
  <c r="S28" i="59"/>
  <c r="S29" i="59"/>
  <c r="S35" i="59"/>
  <c r="S37" i="59"/>
  <c r="S38" i="59"/>
  <c r="S42" i="59"/>
  <c r="S82" i="59"/>
  <c r="S86" i="59"/>
  <c r="S94" i="59"/>
  <c r="S96" i="59"/>
  <c r="S98" i="59"/>
  <c r="S106" i="59"/>
  <c r="S2" i="59"/>
  <c r="Q3" i="59"/>
  <c r="U3" i="59" s="1"/>
  <c r="Q4" i="59"/>
  <c r="V4" i="59" s="1"/>
  <c r="Q5" i="59"/>
  <c r="Q6" i="59"/>
  <c r="Q7" i="59"/>
  <c r="V7" i="59" s="1"/>
  <c r="Q8" i="59"/>
  <c r="U8" i="59" s="1"/>
  <c r="Q9" i="59"/>
  <c r="Q10" i="59"/>
  <c r="S10" i="59" s="1"/>
  <c r="Q11" i="59"/>
  <c r="S11" i="59" s="1"/>
  <c r="Q12" i="59"/>
  <c r="V12" i="59" s="1"/>
  <c r="Q13" i="59"/>
  <c r="Q14" i="59"/>
  <c r="S14" i="59" s="1"/>
  <c r="Q15" i="59"/>
  <c r="U15" i="59" s="1"/>
  <c r="Q16" i="59"/>
  <c r="U16" i="59" s="1"/>
  <c r="Q17" i="59"/>
  <c r="Q18" i="59"/>
  <c r="S18" i="59" s="1"/>
  <c r="Q19" i="59"/>
  <c r="S19" i="59" s="1"/>
  <c r="Q20" i="59"/>
  <c r="V20" i="59" s="1"/>
  <c r="Q21" i="59"/>
  <c r="S21" i="59" s="1"/>
  <c r="Q22" i="59"/>
  <c r="S22" i="59" s="1"/>
  <c r="Q23" i="59"/>
  <c r="V23" i="59" s="1"/>
  <c r="Q24" i="59"/>
  <c r="U24" i="59" s="1"/>
  <c r="Q25" i="59"/>
  <c r="Q26" i="59"/>
  <c r="S26" i="59" s="1"/>
  <c r="Q27" i="59"/>
  <c r="U27" i="59" s="1"/>
  <c r="Q28" i="59"/>
  <c r="V28" i="59" s="1"/>
  <c r="Q29" i="59"/>
  <c r="Q30" i="59"/>
  <c r="S30" i="59" s="1"/>
  <c r="Q31" i="59"/>
  <c r="U31" i="59" s="1"/>
  <c r="Q32" i="59"/>
  <c r="V32" i="59" s="1"/>
  <c r="Q33" i="59"/>
  <c r="Q34" i="59"/>
  <c r="S34" i="59" s="1"/>
  <c r="Q35" i="59"/>
  <c r="U35" i="59" s="1"/>
  <c r="Q36" i="59"/>
  <c r="V36" i="59" s="1"/>
  <c r="Q37" i="59"/>
  <c r="Q38" i="59"/>
  <c r="Q39" i="59"/>
  <c r="V39" i="59" s="1"/>
  <c r="Q40" i="59"/>
  <c r="V40" i="59" s="1"/>
  <c r="Q41" i="59"/>
  <c r="S41" i="59" s="1"/>
  <c r="Q42" i="59"/>
  <c r="Q43" i="59"/>
  <c r="V43" i="59" s="1"/>
  <c r="Q44" i="59"/>
  <c r="Q45" i="59"/>
  <c r="Q46" i="59"/>
  <c r="S46" i="59" s="1"/>
  <c r="Q47" i="59"/>
  <c r="V47" i="59" s="1"/>
  <c r="Q48" i="59"/>
  <c r="V48" i="59" s="1"/>
  <c r="Q49" i="59"/>
  <c r="Q50" i="59"/>
  <c r="S50" i="59" s="1"/>
  <c r="Q51" i="59"/>
  <c r="Q52" i="59"/>
  <c r="Q53" i="59"/>
  <c r="Q54" i="59"/>
  <c r="S54" i="59" s="1"/>
  <c r="Q55" i="59"/>
  <c r="V55" i="59" s="1"/>
  <c r="Q56" i="59"/>
  <c r="V56" i="59" s="1"/>
  <c r="Q57" i="59"/>
  <c r="Q58" i="59"/>
  <c r="S58" i="59" s="1"/>
  <c r="Q59" i="59"/>
  <c r="V59" i="59" s="1"/>
  <c r="Q60" i="59"/>
  <c r="Q61" i="59"/>
  <c r="Q62" i="59"/>
  <c r="S62" i="59" s="1"/>
  <c r="Q63" i="59"/>
  <c r="S63" i="59" s="1"/>
  <c r="Q64" i="59"/>
  <c r="V64" i="59" s="1"/>
  <c r="Q65" i="59"/>
  <c r="Q66" i="59"/>
  <c r="S66" i="59" s="1"/>
  <c r="Q67" i="59"/>
  <c r="Q68" i="59"/>
  <c r="V68" i="59" s="1"/>
  <c r="Q69" i="59"/>
  <c r="Q70" i="59"/>
  <c r="S70" i="59" s="1"/>
  <c r="Q71" i="59"/>
  <c r="V71" i="59" s="1"/>
  <c r="Q72" i="59"/>
  <c r="V72" i="59" s="1"/>
  <c r="Q73" i="59"/>
  <c r="Q74" i="59"/>
  <c r="S74" i="59" s="1"/>
  <c r="Q75" i="59"/>
  <c r="U75" i="59" s="1"/>
  <c r="Q76" i="59"/>
  <c r="V76" i="59" s="1"/>
  <c r="Q77" i="59"/>
  <c r="Q78" i="59"/>
  <c r="Q79" i="59"/>
  <c r="V79" i="59" s="1"/>
  <c r="Q80" i="59"/>
  <c r="V80" i="59" s="1"/>
  <c r="Q81" i="59"/>
  <c r="Q82" i="59"/>
  <c r="V82" i="59" s="1"/>
  <c r="Q83" i="59"/>
  <c r="V83" i="59" s="1"/>
  <c r="Q84" i="59"/>
  <c r="V84" i="59" s="1"/>
  <c r="Q85" i="59"/>
  <c r="Q86" i="59"/>
  <c r="V86" i="59" s="1"/>
  <c r="Q87" i="59"/>
  <c r="V87" i="59" s="1"/>
  <c r="Q88" i="59"/>
  <c r="V88" i="59" s="1"/>
  <c r="Q89" i="59"/>
  <c r="Q90" i="59"/>
  <c r="V90" i="59" s="1"/>
  <c r="Q91" i="59"/>
  <c r="V91" i="59" s="1"/>
  <c r="Q92" i="59"/>
  <c r="V92" i="59" s="1"/>
  <c r="Q93" i="59"/>
  <c r="V93" i="59" s="1"/>
  <c r="Q94" i="59"/>
  <c r="V94" i="59" s="1"/>
  <c r="Q95" i="59"/>
  <c r="V95" i="59" s="1"/>
  <c r="Q96" i="59"/>
  <c r="V96" i="59" s="1"/>
  <c r="Q97" i="59"/>
  <c r="V97" i="59" s="1"/>
  <c r="Q98" i="59"/>
  <c r="V98" i="59" s="1"/>
  <c r="Q99" i="59"/>
  <c r="V99" i="59" s="1"/>
  <c r="Q100" i="59"/>
  <c r="Q101" i="59"/>
  <c r="V101" i="59" s="1"/>
  <c r="Q102" i="59"/>
  <c r="Q103" i="59"/>
  <c r="V103" i="59" s="1"/>
  <c r="Q104" i="59"/>
  <c r="V104" i="59" s="1"/>
  <c r="Q105" i="59"/>
  <c r="V105" i="59" s="1"/>
  <c r="Q106" i="59"/>
  <c r="Q1" i="59"/>
  <c r="Q2" i="59"/>
  <c r="D9" i="10"/>
  <c r="C9" i="10"/>
  <c r="C5" i="10"/>
  <c r="F23" i="10"/>
  <c r="U32" i="59" l="1"/>
  <c r="V106" i="59"/>
  <c r="V102" i="59"/>
  <c r="S102" i="59"/>
  <c r="S90" i="59"/>
  <c r="V81" i="59"/>
  <c r="S100" i="59"/>
  <c r="V100" i="59"/>
  <c r="T340" i="59"/>
  <c r="S55" i="59"/>
  <c r="U55" i="59" s="1"/>
  <c r="V31" i="59"/>
  <c r="S104" i="59"/>
  <c r="U104" i="59" s="1"/>
  <c r="S88" i="59"/>
  <c r="S80" i="59"/>
  <c r="U80" i="59" s="1"/>
  <c r="S47" i="59"/>
  <c r="S23" i="59"/>
  <c r="V63" i="59"/>
  <c r="V27" i="59"/>
  <c r="U72" i="59"/>
  <c r="S71" i="59"/>
  <c r="S15" i="59"/>
  <c r="V15" i="59"/>
  <c r="S92" i="59"/>
  <c r="S84" i="59"/>
  <c r="S7" i="59"/>
  <c r="V11" i="59"/>
  <c r="U96" i="59"/>
  <c r="S101" i="59"/>
  <c r="U101" i="59" s="1"/>
  <c r="U93" i="59"/>
  <c r="S93" i="59"/>
  <c r="U85" i="59"/>
  <c r="S85" i="59"/>
  <c r="V85" i="59" s="1"/>
  <c r="V77" i="59"/>
  <c r="S77" i="59"/>
  <c r="U77" i="59" s="1"/>
  <c r="V69" i="59"/>
  <c r="S69" i="59"/>
  <c r="U69" i="59" s="1"/>
  <c r="V61" i="59"/>
  <c r="S61" i="59"/>
  <c r="U61" i="59" s="1"/>
  <c r="U53" i="59"/>
  <c r="S53" i="59"/>
  <c r="V53" i="59" s="1"/>
  <c r="V45" i="59"/>
  <c r="S45" i="59"/>
  <c r="U45" i="59" s="1"/>
  <c r="U37" i="59"/>
  <c r="V37" i="59"/>
  <c r="U25" i="59"/>
  <c r="V25" i="59"/>
  <c r="U17" i="59"/>
  <c r="V17" i="59"/>
  <c r="S17" i="59"/>
  <c r="V9" i="59"/>
  <c r="S9" i="59"/>
  <c r="U9" i="59" s="1"/>
  <c r="U2" i="59"/>
  <c r="V2" i="59"/>
  <c r="S105" i="59"/>
  <c r="U105" i="59" s="1"/>
  <c r="S97" i="59"/>
  <c r="T96" i="59" s="1"/>
  <c r="U89" i="59"/>
  <c r="S89" i="59"/>
  <c r="V89" i="59" s="1"/>
  <c r="U81" i="59"/>
  <c r="S81" i="59"/>
  <c r="V73" i="59"/>
  <c r="V65" i="59"/>
  <c r="V57" i="59"/>
  <c r="V49" i="59"/>
  <c r="U41" i="59"/>
  <c r="V41" i="59"/>
  <c r="U33" i="59"/>
  <c r="V33" i="59"/>
  <c r="S33" i="59"/>
  <c r="U29" i="59"/>
  <c r="V29" i="59"/>
  <c r="U21" i="59"/>
  <c r="V21" i="59"/>
  <c r="U13" i="59"/>
  <c r="V13" i="59"/>
  <c r="V5" i="59"/>
  <c r="S5" i="59"/>
  <c r="U5" i="59" s="1"/>
  <c r="S13" i="59"/>
  <c r="S73" i="59"/>
  <c r="U73" i="59" s="1"/>
  <c r="S57" i="59"/>
  <c r="U57" i="59" s="1"/>
  <c r="T334" i="59"/>
  <c r="S65" i="59"/>
  <c r="U65" i="59" s="1"/>
  <c r="S49" i="59"/>
  <c r="U49" i="59" s="1"/>
  <c r="T287" i="59"/>
  <c r="S39" i="59"/>
  <c r="U39" i="59" s="1"/>
  <c r="S27" i="59"/>
  <c r="S103" i="59"/>
  <c r="U103" i="59" s="1"/>
  <c r="S99" i="59"/>
  <c r="U99" i="59" s="1"/>
  <c r="U95" i="59"/>
  <c r="S95" i="59"/>
  <c r="S91" i="59"/>
  <c r="U91" i="59" s="1"/>
  <c r="S87" i="59"/>
  <c r="U87" i="59" s="1"/>
  <c r="S83" i="59"/>
  <c r="U83" i="59" s="1"/>
  <c r="S79" i="59"/>
  <c r="U79" i="59" s="1"/>
  <c r="U71" i="59"/>
  <c r="U63" i="59"/>
  <c r="U47" i="59"/>
  <c r="U23" i="59"/>
  <c r="U19" i="59"/>
  <c r="U11" i="59"/>
  <c r="U7" i="59"/>
  <c r="S75" i="59"/>
  <c r="V75" i="59" s="1"/>
  <c r="S67" i="59"/>
  <c r="U67" i="59" s="1"/>
  <c r="S59" i="59"/>
  <c r="U59" i="59" s="1"/>
  <c r="S51" i="59"/>
  <c r="U51" i="59" s="1"/>
  <c r="S43" i="59"/>
  <c r="U43" i="59" s="1"/>
  <c r="S31" i="59"/>
  <c r="V67" i="59"/>
  <c r="V51" i="59"/>
  <c r="V35" i="59"/>
  <c r="V19" i="59"/>
  <c r="V3" i="59"/>
  <c r="U100" i="59"/>
  <c r="U84" i="59"/>
  <c r="U52" i="59"/>
  <c r="U36" i="59"/>
  <c r="U4" i="59"/>
  <c r="U106" i="59"/>
  <c r="U102" i="59"/>
  <c r="U98" i="59"/>
  <c r="U94" i="59"/>
  <c r="U90" i="59"/>
  <c r="U86" i="59"/>
  <c r="U82" i="59"/>
  <c r="U78" i="59"/>
  <c r="V78" i="59"/>
  <c r="U74" i="59"/>
  <c r="V74" i="59"/>
  <c r="U70" i="59"/>
  <c r="V70" i="59"/>
  <c r="U66" i="59"/>
  <c r="V66" i="59"/>
  <c r="U62" i="59"/>
  <c r="V62" i="59"/>
  <c r="U58" i="59"/>
  <c r="V58" i="59"/>
  <c r="U54" i="59"/>
  <c r="V54" i="59"/>
  <c r="U50" i="59"/>
  <c r="V50" i="59"/>
  <c r="U46" i="59"/>
  <c r="V46" i="59"/>
  <c r="U42" i="59"/>
  <c r="V42" i="59"/>
  <c r="U38" i="59"/>
  <c r="V38" i="59"/>
  <c r="U34" i="59"/>
  <c r="V34" i="59"/>
  <c r="U30" i="59"/>
  <c r="V30" i="59"/>
  <c r="U26" i="59"/>
  <c r="V26" i="59"/>
  <c r="U22" i="59"/>
  <c r="V22" i="59"/>
  <c r="U18" i="59"/>
  <c r="V18" i="59"/>
  <c r="U14" i="59"/>
  <c r="V14" i="59"/>
  <c r="U10" i="59"/>
  <c r="V10" i="59"/>
  <c r="U6" i="59"/>
  <c r="V6" i="59"/>
  <c r="S76" i="59"/>
  <c r="S72" i="59"/>
  <c r="S68" i="59"/>
  <c r="U68" i="59" s="1"/>
  <c r="S64" i="59"/>
  <c r="U64" i="59" s="1"/>
  <c r="S60" i="59"/>
  <c r="V60" i="59" s="1"/>
  <c r="S56" i="59"/>
  <c r="U56" i="59" s="1"/>
  <c r="S52" i="59"/>
  <c r="V52" i="59" s="1"/>
  <c r="S48" i="59"/>
  <c r="U48" i="59" s="1"/>
  <c r="S44" i="59"/>
  <c r="V44" i="59" s="1"/>
  <c r="S40" i="59"/>
  <c r="U40" i="59" s="1"/>
  <c r="S36" i="59"/>
  <c r="S32" i="59"/>
  <c r="S24" i="59"/>
  <c r="V24" i="59" s="1"/>
  <c r="S20" i="59"/>
  <c r="U20" i="59" s="1"/>
  <c r="S16" i="59"/>
  <c r="V16" i="59" s="1"/>
  <c r="S12" i="59"/>
  <c r="S8" i="59"/>
  <c r="V8" i="59" s="1"/>
  <c r="S4" i="59"/>
  <c r="U92" i="59"/>
  <c r="U76" i="59"/>
  <c r="U60" i="59"/>
  <c r="U44" i="59"/>
  <c r="U28" i="59"/>
  <c r="U12" i="59"/>
  <c r="Q343" i="59"/>
  <c r="G68" i="45"/>
  <c r="F68" i="45"/>
  <c r="N70" i="45"/>
  <c r="F12" i="10"/>
  <c r="T189" i="59" l="1"/>
  <c r="U97" i="59"/>
  <c r="T236" i="59"/>
  <c r="T319" i="59"/>
  <c r="T25" i="59"/>
  <c r="T78" i="59"/>
  <c r="S343" i="59"/>
  <c r="T222" i="59"/>
  <c r="T98" i="59"/>
  <c r="T1" i="59"/>
  <c r="T38" i="59"/>
  <c r="T149" i="59"/>
  <c r="T274" i="59"/>
  <c r="T42" i="59"/>
  <c r="T184" i="59"/>
  <c r="T195" i="59"/>
  <c r="V343" i="59"/>
  <c r="U343" i="59" l="1"/>
  <c r="W343" i="59"/>
  <c r="T343" i="59"/>
  <c r="A2" i="55" l="1"/>
  <c r="A3" i="55"/>
  <c r="A4" i="55"/>
  <c r="A5" i="55"/>
  <c r="A6" i="55"/>
  <c r="A7" i="55"/>
  <c r="A8" i="55"/>
  <c r="A9" i="55"/>
  <c r="A10" i="55"/>
  <c r="A11" i="55"/>
  <c r="A12" i="55"/>
  <c r="A13" i="55"/>
  <c r="A14" i="55"/>
  <c r="A15" i="55"/>
  <c r="A16" i="55"/>
  <c r="A17" i="55"/>
  <c r="A18" i="55"/>
  <c r="A19" i="55"/>
  <c r="A20" i="55"/>
  <c r="A21" i="55"/>
  <c r="A22" i="55"/>
  <c r="A23" i="55"/>
  <c r="A24" i="55"/>
  <c r="A25" i="55"/>
  <c r="A26" i="55"/>
  <c r="A27" i="55"/>
  <c r="A28" i="55"/>
  <c r="A29" i="55"/>
  <c r="A30" i="55"/>
  <c r="A31" i="55"/>
  <c r="A32" i="55"/>
  <c r="A33" i="55"/>
  <c r="A34" i="55"/>
  <c r="A35" i="55"/>
  <c r="A36" i="55"/>
  <c r="A37" i="55"/>
  <c r="A38" i="55"/>
  <c r="A39" i="55"/>
  <c r="A40" i="55"/>
  <c r="A41" i="55"/>
  <c r="A42" i="55"/>
  <c r="A43" i="55"/>
  <c r="A44" i="55"/>
  <c r="A45" i="55"/>
  <c r="A46" i="55"/>
  <c r="A47" i="55"/>
  <c r="A48" i="55"/>
  <c r="A49" i="55"/>
  <c r="A50" i="55"/>
  <c r="A51" i="55"/>
  <c r="A52" i="55"/>
  <c r="A53" i="55"/>
  <c r="A54" i="55"/>
  <c r="A55" i="55"/>
  <c r="A56" i="55"/>
  <c r="A57" i="55"/>
  <c r="A58" i="55"/>
  <c r="A59" i="55"/>
  <c r="A60" i="55"/>
  <c r="A61" i="55"/>
  <c r="A62" i="55"/>
  <c r="A63" i="55"/>
  <c r="A64" i="55"/>
  <c r="A65" i="55"/>
  <c r="A66" i="55"/>
  <c r="A67" i="55"/>
  <c r="A68" i="55"/>
  <c r="A69" i="55"/>
  <c r="A70" i="55"/>
  <c r="A71" i="55"/>
  <c r="A72" i="55"/>
  <c r="A73" i="55"/>
  <c r="A74" i="55"/>
  <c r="A75" i="55"/>
  <c r="A76" i="55"/>
  <c r="A77" i="55"/>
  <c r="A78" i="55"/>
  <c r="A79" i="55"/>
  <c r="A80" i="55"/>
  <c r="A81" i="55"/>
  <c r="A82" i="55"/>
  <c r="A83" i="55"/>
  <c r="A84" i="55"/>
  <c r="A85" i="55"/>
  <c r="A86" i="55"/>
  <c r="A87" i="55"/>
  <c r="A88" i="55"/>
  <c r="A89" i="55"/>
  <c r="A90" i="55"/>
  <c r="A91" i="55"/>
  <c r="A1" i="55"/>
  <c r="A2" i="56" l="1"/>
  <c r="A3" i="56"/>
  <c r="A4" i="56"/>
  <c r="A5" i="56"/>
  <c r="A6" i="56"/>
  <c r="A7" i="56"/>
  <c r="A8" i="56"/>
  <c r="A9" i="56"/>
  <c r="A10" i="56"/>
  <c r="A11" i="56"/>
  <c r="A12" i="56"/>
  <c r="A13" i="56"/>
  <c r="A14" i="56"/>
  <c r="A15" i="56"/>
  <c r="A16" i="56"/>
  <c r="A17" i="56"/>
  <c r="A18" i="56"/>
  <c r="A19" i="56"/>
  <c r="A20" i="56"/>
  <c r="A21" i="56"/>
  <c r="A22" i="56"/>
  <c r="Q23" i="56"/>
  <c r="Q22" i="56"/>
  <c r="Q21" i="56"/>
  <c r="Q20" i="56"/>
  <c r="T5" i="56"/>
  <c r="T4" i="56"/>
  <c r="T3" i="56"/>
  <c r="T2" i="56"/>
  <c r="Q37" i="56"/>
  <c r="Q40" i="56"/>
  <c r="Q39" i="56"/>
  <c r="Q38" i="56"/>
  <c r="Q32" i="56"/>
  <c r="Q31" i="56"/>
  <c r="Q30" i="56"/>
  <c r="Q29" i="56"/>
  <c r="T9" i="56"/>
  <c r="T15" i="56"/>
  <c r="T14" i="56"/>
  <c r="T13" i="56"/>
  <c r="T12" i="56"/>
  <c r="T11" i="56"/>
  <c r="T10" i="56"/>
  <c r="Q14" i="56"/>
  <c r="Q13" i="56"/>
  <c r="Q12" i="56"/>
  <c r="Q11" i="56"/>
  <c r="Q12" i="55"/>
  <c r="Q11" i="55"/>
  <c r="Q10" i="55"/>
  <c r="Q9" i="55"/>
  <c r="Q8" i="56"/>
  <c r="R8" i="56" s="1"/>
  <c r="Q2" i="55"/>
  <c r="E9" i="10"/>
  <c r="B160" i="34" l="1"/>
  <c r="AE160" i="34"/>
  <c r="B155" i="34"/>
  <c r="AE155" i="34"/>
  <c r="B149" i="34"/>
  <c r="AE149" i="34"/>
  <c r="B144" i="34"/>
  <c r="AE144" i="34"/>
  <c r="B145" i="34"/>
  <c r="AE145" i="34"/>
  <c r="B146" i="34"/>
  <c r="AE146" i="34"/>
  <c r="B141" i="34"/>
  <c r="AE141" i="34"/>
  <c r="B136" i="34"/>
  <c r="AE136" i="34"/>
  <c r="B130" i="34"/>
  <c r="AE130" i="34"/>
  <c r="B126" i="34"/>
  <c r="AE126" i="34"/>
  <c r="B124" i="34"/>
  <c r="AE124" i="34"/>
  <c r="B121" i="34"/>
  <c r="AE121" i="34"/>
  <c r="B111" i="34"/>
  <c r="AE111" i="34"/>
  <c r="B106" i="34"/>
  <c r="AE106" i="34"/>
  <c r="B104" i="34"/>
  <c r="AE104" i="34"/>
  <c r="B98" i="34"/>
  <c r="AE98" i="34"/>
  <c r="B90" i="34"/>
  <c r="AE90" i="34"/>
  <c r="B91" i="34"/>
  <c r="AE91" i="34"/>
  <c r="B83" i="34"/>
  <c r="AE83" i="34"/>
  <c r="B84" i="34"/>
  <c r="AE84" i="34"/>
  <c r="B80" i="34"/>
  <c r="AE80" i="34"/>
  <c r="B81" i="34"/>
  <c r="AE81" i="34"/>
  <c r="B77" i="34"/>
  <c r="AE77" i="34"/>
  <c r="B72" i="34"/>
  <c r="AE72" i="34"/>
  <c r="B73" i="34"/>
  <c r="AE73" i="34"/>
  <c r="B74" i="34"/>
  <c r="AE74" i="34"/>
  <c r="B66" i="34"/>
  <c r="AE66" i="34"/>
  <c r="B67" i="34"/>
  <c r="AE67" i="34"/>
  <c r="B63" i="34"/>
  <c r="AE63" i="34"/>
  <c r="B59" i="34"/>
  <c r="AE59" i="34"/>
  <c r="B57" i="34"/>
  <c r="AE57" i="34"/>
  <c r="B49" i="34"/>
  <c r="AE49" i="34"/>
  <c r="B45" i="34"/>
  <c r="AE45" i="34"/>
  <c r="B46" i="34"/>
  <c r="AE46" i="34"/>
  <c r="B47" i="34"/>
  <c r="AE47" i="34"/>
  <c r="B42" i="34"/>
  <c r="AE42" i="34"/>
  <c r="B43" i="34"/>
  <c r="AE43" i="34"/>
  <c r="B39" i="34"/>
  <c r="AE39" i="34"/>
  <c r="B36" i="34"/>
  <c r="AE36" i="34"/>
  <c r="B32" i="34"/>
  <c r="AE32" i="34"/>
  <c r="B29" i="34"/>
  <c r="AE29" i="34"/>
  <c r="B24" i="34"/>
  <c r="AE24" i="34"/>
  <c r="B21" i="34"/>
  <c r="AE21" i="34"/>
  <c r="B18" i="34"/>
  <c r="AE18" i="34"/>
  <c r="B19" i="34"/>
  <c r="AE19" i="34"/>
  <c r="B14" i="34"/>
  <c r="AE14" i="34"/>
  <c r="B15" i="34"/>
  <c r="AE15" i="34"/>
  <c r="B12" i="34"/>
  <c r="AE12" i="34"/>
  <c r="B8" i="34"/>
  <c r="AE8" i="34"/>
  <c r="B9" i="34"/>
  <c r="AE9" i="34"/>
  <c r="B10" i="34"/>
  <c r="AE10" i="34"/>
  <c r="B2" i="34"/>
  <c r="AE2" i="34"/>
  <c r="B3" i="34"/>
  <c r="AE3" i="34"/>
  <c r="B4" i="34"/>
  <c r="AE4" i="34"/>
  <c r="B5" i="34"/>
  <c r="AE5" i="34"/>
  <c r="AE6" i="34"/>
  <c r="AE7" i="34"/>
  <c r="AE11" i="34"/>
  <c r="AE13" i="34"/>
  <c r="AE16" i="34"/>
  <c r="AE17" i="34"/>
  <c r="AE20" i="34"/>
  <c r="AE22" i="34"/>
  <c r="AE23" i="34"/>
  <c r="AE25" i="34"/>
  <c r="AE26" i="34"/>
  <c r="AE27" i="34"/>
  <c r="AE28" i="34"/>
  <c r="AE30" i="34"/>
  <c r="AE31" i="34"/>
  <c r="AE33" i="34"/>
  <c r="AE34" i="34"/>
  <c r="AE35" i="34"/>
  <c r="AE37" i="34"/>
  <c r="AE38" i="34"/>
  <c r="AE40" i="34"/>
  <c r="AE41" i="34"/>
  <c r="AE44" i="34"/>
  <c r="AE48" i="34"/>
  <c r="AE50" i="34"/>
  <c r="AE51" i="34"/>
  <c r="AE52" i="34"/>
  <c r="AE53" i="34"/>
  <c r="AE54" i="34"/>
  <c r="AE55" i="34"/>
  <c r="AE56" i="34"/>
  <c r="AE58" i="34"/>
  <c r="AE60" i="34"/>
  <c r="AE61" i="34"/>
  <c r="AE62" i="34"/>
  <c r="AE64" i="34"/>
  <c r="AE65" i="34"/>
  <c r="AE68" i="34"/>
  <c r="AE69" i="34"/>
  <c r="AE70" i="34"/>
  <c r="AE71" i="34"/>
  <c r="AE75" i="34"/>
  <c r="AE76" i="34"/>
  <c r="AE78" i="34"/>
  <c r="AE79" i="34"/>
  <c r="AE82" i="34"/>
  <c r="AE85" i="34"/>
  <c r="AE86" i="34"/>
  <c r="AE87" i="34"/>
  <c r="AE88" i="34"/>
  <c r="AE89" i="34"/>
  <c r="AE92" i="34"/>
  <c r="AE93" i="34"/>
  <c r="AE94" i="34"/>
  <c r="AE95" i="34"/>
  <c r="AE96" i="34"/>
  <c r="AE97" i="34"/>
  <c r="AE99" i="34"/>
  <c r="AE100" i="34"/>
  <c r="AE101" i="34"/>
  <c r="AE102" i="34"/>
  <c r="AE103" i="34"/>
  <c r="AE105" i="34"/>
  <c r="AE107" i="34"/>
  <c r="AE108" i="34"/>
  <c r="AE109" i="34"/>
  <c r="AE110" i="34"/>
  <c r="AE112" i="34"/>
  <c r="AE113" i="34"/>
  <c r="AE114" i="34"/>
  <c r="AE115" i="34"/>
  <c r="AE116" i="34"/>
  <c r="AE117" i="34"/>
  <c r="AE118" i="34"/>
  <c r="AE119" i="34"/>
  <c r="AE120" i="34"/>
  <c r="AE122" i="34"/>
  <c r="AE123" i="34"/>
  <c r="AE125" i="34"/>
  <c r="AE127" i="34"/>
  <c r="AE128" i="34"/>
  <c r="AE129" i="34"/>
  <c r="AE131" i="34"/>
  <c r="AE132" i="34"/>
  <c r="AE133" i="34"/>
  <c r="AE134" i="34"/>
  <c r="AE135" i="34"/>
  <c r="AE137" i="34"/>
  <c r="AE138" i="34"/>
  <c r="AE139" i="34"/>
  <c r="AE140" i="34"/>
  <c r="AE142" i="34"/>
  <c r="AE143" i="34"/>
  <c r="AE147" i="34"/>
  <c r="AE148" i="34"/>
  <c r="AE150" i="34"/>
  <c r="AE151" i="34"/>
  <c r="AE152" i="34"/>
  <c r="AE153" i="34"/>
  <c r="AE154" i="34"/>
  <c r="AE156" i="34"/>
  <c r="AE157" i="34"/>
  <c r="AE158" i="34"/>
  <c r="AE159" i="34"/>
  <c r="AE161" i="34"/>
  <c r="AE162" i="34"/>
  <c r="AE163" i="34"/>
  <c r="AE164" i="34"/>
  <c r="AE1" i="34"/>
  <c r="Q27" i="55" l="1"/>
  <c r="Q26" i="55"/>
  <c r="Q25" i="55"/>
  <c r="Q24" i="55"/>
  <c r="A1" i="56"/>
  <c r="Q16" i="55"/>
  <c r="Q15" i="55"/>
  <c r="Q14" i="55"/>
  <c r="Q13" i="55"/>
  <c r="Q38" i="55"/>
  <c r="Q37" i="55"/>
  <c r="Q36" i="55"/>
  <c r="Q35" i="55"/>
  <c r="Q49" i="55"/>
  <c r="Q48" i="55"/>
  <c r="Q46" i="55"/>
  <c r="Q47" i="55"/>
  <c r="T9" i="55"/>
  <c r="T8" i="55"/>
  <c r="T7" i="55"/>
  <c r="T6" i="55"/>
  <c r="T5" i="55"/>
  <c r="T4" i="55"/>
  <c r="T3" i="55"/>
  <c r="Q7" i="55"/>
  <c r="R7" i="55" s="1"/>
  <c r="Q6" i="55"/>
  <c r="R6" i="55" s="1"/>
  <c r="Q5" i="55"/>
  <c r="R5" i="55" s="1"/>
  <c r="Q4" i="55"/>
  <c r="R4" i="55" s="1"/>
  <c r="Q3" i="55"/>
  <c r="R3" i="55" s="1"/>
  <c r="Q17" i="55"/>
  <c r="Q2" i="56" s="1"/>
  <c r="R2" i="56" l="1"/>
  <c r="R2" i="55"/>
  <c r="Q8" i="55"/>
  <c r="T13" i="55"/>
  <c r="T19" i="56" s="1"/>
  <c r="R17" i="55"/>
  <c r="Q22" i="55"/>
  <c r="Q7" i="56" s="1"/>
  <c r="R7" i="56" s="1"/>
  <c r="Q21" i="55"/>
  <c r="R21" i="55" s="1"/>
  <c r="T14" i="55"/>
  <c r="T20" i="56" s="1"/>
  <c r="T15" i="55"/>
  <c r="T21" i="56" s="1"/>
  <c r="T16" i="55"/>
  <c r="T22" i="56" s="1"/>
  <c r="T17" i="55"/>
  <c r="T23" i="56" s="1"/>
  <c r="T18" i="55"/>
  <c r="T24" i="56" s="1"/>
  <c r="T19" i="55"/>
  <c r="T25" i="56" s="1"/>
  <c r="Q18" i="55"/>
  <c r="R18" i="55" s="1"/>
  <c r="Q19" i="55"/>
  <c r="Q20" i="55"/>
  <c r="R20" i="55" l="1"/>
  <c r="Q5" i="56"/>
  <c r="R5" i="56" s="1"/>
  <c r="Q6" i="56"/>
  <c r="R6" i="56" s="1"/>
  <c r="Q3" i="56"/>
  <c r="Q4" i="56"/>
  <c r="R4" i="56" s="1"/>
  <c r="R19" i="55"/>
  <c r="Q23" i="55"/>
  <c r="R22" i="55"/>
  <c r="T8" i="53"/>
  <c r="S10" i="53"/>
  <c r="T7" i="53"/>
  <c r="T6" i="53"/>
  <c r="H2" i="52"/>
  <c r="H3" i="52"/>
  <c r="H4" i="52"/>
  <c r="H5" i="52"/>
  <c r="H6" i="52"/>
  <c r="H7" i="52"/>
  <c r="H8" i="52"/>
  <c r="H9" i="52"/>
  <c r="H10" i="52"/>
  <c r="H11" i="52"/>
  <c r="H12" i="52"/>
  <c r="H13" i="52"/>
  <c r="H14" i="52"/>
  <c r="H15" i="52"/>
  <c r="H16" i="52"/>
  <c r="H17" i="52"/>
  <c r="H18" i="52"/>
  <c r="H1" i="52"/>
  <c r="Q9" i="56" l="1"/>
  <c r="R3" i="56"/>
  <c r="P16" i="45"/>
  <c r="P17" i="45" s="1"/>
  <c r="O16" i="45"/>
  <c r="O17" i="45" s="1"/>
  <c r="N16" i="45"/>
  <c r="N17" i="45" s="1"/>
  <c r="M16" i="45"/>
  <c r="M17" i="45" s="1"/>
  <c r="D14" i="45"/>
  <c r="C14" i="45"/>
  <c r="B14" i="45"/>
  <c r="X12" i="45"/>
  <c r="W12" i="45"/>
  <c r="V12" i="45"/>
  <c r="U12" i="45"/>
  <c r="T12" i="45"/>
  <c r="S12" i="45"/>
  <c r="R12" i="45"/>
  <c r="Q12" i="45"/>
  <c r="M14" i="45"/>
  <c r="N14" i="45"/>
  <c r="K14" i="45"/>
  <c r="L14" i="45"/>
  <c r="I14" i="45"/>
  <c r="J14" i="45"/>
  <c r="H14" i="45"/>
  <c r="G14" i="45"/>
  <c r="O8" i="10"/>
  <c r="O13" i="10"/>
  <c r="Y34" i="45"/>
  <c r="K68" i="45"/>
  <c r="J68" i="45"/>
  <c r="B68" i="45"/>
  <c r="C49" i="45"/>
  <c r="C50" i="45" s="1"/>
  <c r="D49" i="45"/>
  <c r="D50" i="45" s="1"/>
  <c r="E49" i="45"/>
  <c r="E50" i="45" s="1"/>
  <c r="F49" i="45"/>
  <c r="F50" i="45" s="1"/>
  <c r="G49" i="45"/>
  <c r="G50" i="45" s="1"/>
  <c r="H49" i="45"/>
  <c r="H50" i="45" s="1"/>
  <c r="I49" i="45"/>
  <c r="I50" i="45" s="1"/>
  <c r="J49" i="45"/>
  <c r="J50" i="45" s="1"/>
  <c r="K49" i="45"/>
  <c r="K50" i="45" s="1"/>
  <c r="B49" i="45"/>
  <c r="B50" i="45" s="1"/>
  <c r="D26" i="45"/>
  <c r="E26" i="45"/>
  <c r="F26" i="45"/>
  <c r="G26" i="45"/>
  <c r="H26" i="45"/>
  <c r="I26" i="45"/>
  <c r="J26" i="45"/>
  <c r="K26" i="45"/>
  <c r="L26" i="45"/>
  <c r="M26" i="45"/>
  <c r="N26" i="45"/>
  <c r="O26" i="45"/>
  <c r="P26" i="45"/>
  <c r="Q26" i="45"/>
  <c r="R26" i="45"/>
  <c r="S26" i="45"/>
  <c r="T26" i="45"/>
  <c r="U26" i="45"/>
  <c r="V26" i="45"/>
  <c r="W26" i="45"/>
  <c r="X26" i="45"/>
  <c r="Y26" i="45"/>
  <c r="Z26" i="45"/>
  <c r="AA26" i="45"/>
  <c r="AB26" i="45"/>
  <c r="AC26" i="45"/>
  <c r="AD26" i="45"/>
  <c r="C26" i="45"/>
  <c r="G25" i="45"/>
  <c r="D25" i="45"/>
  <c r="E25" i="45"/>
  <c r="F25" i="45"/>
  <c r="H25" i="45"/>
  <c r="I25" i="45"/>
  <c r="J25" i="45"/>
  <c r="K25" i="45"/>
  <c r="L25" i="45"/>
  <c r="M25" i="45"/>
  <c r="N25" i="45"/>
  <c r="O25" i="45"/>
  <c r="P25" i="45"/>
  <c r="Q25" i="45"/>
  <c r="R25" i="45"/>
  <c r="S25" i="45"/>
  <c r="T25" i="45"/>
  <c r="U25" i="45"/>
  <c r="V25" i="45"/>
  <c r="W25" i="45"/>
  <c r="X25" i="45"/>
  <c r="Y25" i="45"/>
  <c r="Z25" i="45"/>
  <c r="AA25" i="45"/>
  <c r="AB25" i="45"/>
  <c r="AC25" i="45"/>
  <c r="AD25" i="45"/>
  <c r="C25" i="45"/>
  <c r="D24" i="45"/>
  <c r="E24" i="45"/>
  <c r="F24" i="45"/>
  <c r="G24" i="45"/>
  <c r="H24" i="45"/>
  <c r="I24" i="45"/>
  <c r="J24" i="45"/>
  <c r="K24" i="45"/>
  <c r="L24" i="45"/>
  <c r="M24" i="45"/>
  <c r="N24" i="45"/>
  <c r="O24" i="45"/>
  <c r="P24" i="45"/>
  <c r="Q24" i="45"/>
  <c r="R24" i="45"/>
  <c r="S24" i="45"/>
  <c r="T24" i="45"/>
  <c r="U24" i="45"/>
  <c r="V24" i="45"/>
  <c r="W24" i="45"/>
  <c r="X24" i="45"/>
  <c r="Y24" i="45"/>
  <c r="Z24" i="45"/>
  <c r="AA24" i="45"/>
  <c r="AB24" i="45"/>
  <c r="AC24" i="45"/>
  <c r="AD24" i="45"/>
  <c r="C24" i="45"/>
  <c r="D23" i="45"/>
  <c r="E23" i="45"/>
  <c r="F23" i="45"/>
  <c r="G23" i="45"/>
  <c r="H23" i="45"/>
  <c r="H27" i="45" s="1"/>
  <c r="I23" i="45"/>
  <c r="I27" i="45" s="1"/>
  <c r="J23" i="45"/>
  <c r="J27" i="45" s="1"/>
  <c r="K23" i="45"/>
  <c r="K27" i="45" s="1"/>
  <c r="L23" i="45"/>
  <c r="M23" i="45"/>
  <c r="M27" i="45" s="1"/>
  <c r="N23" i="45"/>
  <c r="N27" i="45" s="1"/>
  <c r="O23" i="45"/>
  <c r="O27" i="45" s="1"/>
  <c r="P23" i="45"/>
  <c r="P27" i="45" s="1"/>
  <c r="Q23" i="45"/>
  <c r="Q27" i="45" s="1"/>
  <c r="R23" i="45"/>
  <c r="R27" i="45" s="1"/>
  <c r="S23" i="45"/>
  <c r="T23" i="45"/>
  <c r="T27" i="45" s="1"/>
  <c r="U23" i="45"/>
  <c r="U27" i="45" s="1"/>
  <c r="V23" i="45"/>
  <c r="V27" i="45" s="1"/>
  <c r="W23" i="45"/>
  <c r="W27" i="45" s="1"/>
  <c r="X23" i="45"/>
  <c r="X27" i="45" s="1"/>
  <c r="Y23" i="45"/>
  <c r="Z23" i="45"/>
  <c r="Z27" i="45" s="1"/>
  <c r="AA23" i="45"/>
  <c r="AB23" i="45"/>
  <c r="AC23" i="45"/>
  <c r="AD23" i="45"/>
  <c r="C23" i="45"/>
  <c r="E68" i="45"/>
  <c r="D68" i="45"/>
  <c r="C68" i="45"/>
  <c r="X34" i="45"/>
  <c r="X35" i="45" s="1"/>
  <c r="W34" i="45"/>
  <c r="W35" i="45" s="1"/>
  <c r="V34" i="45"/>
  <c r="V35" i="45" s="1"/>
  <c r="U34" i="45"/>
  <c r="U35" i="45" s="1"/>
  <c r="T34" i="45"/>
  <c r="T35" i="45" s="1"/>
  <c r="S34" i="45"/>
  <c r="S35" i="45" s="1"/>
  <c r="R34" i="45"/>
  <c r="R35" i="45" s="1"/>
  <c r="Q34" i="45"/>
  <c r="Q35" i="45" s="1"/>
  <c r="P34" i="45"/>
  <c r="P35" i="45" s="1"/>
  <c r="O34" i="45"/>
  <c r="O35" i="45" s="1"/>
  <c r="N34" i="45"/>
  <c r="N35" i="45" s="1"/>
  <c r="M34" i="45"/>
  <c r="M35" i="45" s="1"/>
  <c r="L34" i="45"/>
  <c r="L35" i="45" s="1"/>
  <c r="K34" i="45"/>
  <c r="K35" i="45" s="1"/>
  <c r="J34" i="45"/>
  <c r="J35" i="45" s="1"/>
  <c r="I34" i="45"/>
  <c r="I35" i="45" s="1"/>
  <c r="H34" i="45"/>
  <c r="H35" i="45" s="1"/>
  <c r="G34" i="45"/>
  <c r="G35" i="45" s="1"/>
  <c r="F34" i="45"/>
  <c r="F35" i="45" s="1"/>
  <c r="E34" i="45"/>
  <c r="E35" i="45" s="1"/>
  <c r="D34" i="45"/>
  <c r="D35" i="45" s="1"/>
  <c r="C34" i="45"/>
  <c r="C35" i="45" s="1"/>
  <c r="B34" i="45"/>
  <c r="B35" i="45" s="1"/>
  <c r="B31" i="45"/>
  <c r="K31" i="45" l="1"/>
  <c r="AA27" i="45"/>
  <c r="L27" i="45"/>
  <c r="E14" i="45"/>
  <c r="E16" i="45" s="1"/>
  <c r="Q17" i="45"/>
  <c r="L50" i="45"/>
  <c r="H16" i="45"/>
  <c r="H17" i="45" s="1"/>
  <c r="AE25" i="45"/>
  <c r="AF25" i="45" s="1"/>
  <c r="Q16" i="45"/>
  <c r="I17" i="45"/>
  <c r="S27" i="45"/>
  <c r="I68" i="45"/>
  <c r="R14" i="45"/>
  <c r="R15" i="45" s="1"/>
  <c r="S15" i="45"/>
  <c r="D27" i="45"/>
  <c r="Z35" i="45"/>
  <c r="AA36" i="45" s="1"/>
  <c r="Y27" i="45"/>
  <c r="AE26" i="45"/>
  <c r="AF26" i="45" s="1"/>
  <c r="G27" i="45"/>
  <c r="AB27" i="45"/>
  <c r="E27" i="45"/>
  <c r="F27" i="45"/>
  <c r="C27" i="45"/>
  <c r="AE24" i="45"/>
  <c r="AF24" i="45" s="1"/>
  <c r="AD27" i="45"/>
  <c r="AC27" i="45"/>
  <c r="AE23" i="45"/>
  <c r="L49" i="45"/>
  <c r="Z34" i="45"/>
  <c r="AF23" i="45" l="1"/>
  <c r="AF27" i="45" s="1"/>
  <c r="AE27" i="45"/>
  <c r="C27" i="10"/>
  <c r="D27" i="10"/>
  <c r="G170" i="36"/>
  <c r="AI50" i="41" l="1"/>
  <c r="AH50" i="41"/>
  <c r="AG50" i="41"/>
  <c r="AF50" i="41"/>
  <c r="AE50" i="41"/>
  <c r="AD50" i="41"/>
  <c r="AC50" i="41"/>
  <c r="AB50" i="41"/>
  <c r="AA50" i="41"/>
  <c r="Z50" i="41"/>
  <c r="AJ50" i="41" s="1"/>
  <c r="W50" i="41"/>
  <c r="V50" i="41"/>
  <c r="U50" i="41"/>
  <c r="T50" i="41"/>
  <c r="S50" i="41"/>
  <c r="R50" i="41"/>
  <c r="Q50" i="41"/>
  <c r="P50" i="41"/>
  <c r="X50" i="41" s="1"/>
  <c r="O50" i="41"/>
  <c r="N50" i="41"/>
  <c r="K50" i="41"/>
  <c r="J50" i="41"/>
  <c r="I50" i="41"/>
  <c r="H50" i="41"/>
  <c r="G50" i="41"/>
  <c r="F50" i="41"/>
  <c r="E50" i="41"/>
  <c r="D50" i="41"/>
  <c r="C50" i="41"/>
  <c r="B50" i="41"/>
  <c r="L50" i="41" s="1"/>
  <c r="AJ49" i="41"/>
  <c r="X49" i="41"/>
  <c r="L49" i="41"/>
  <c r="AJ48" i="41"/>
  <c r="X48" i="41"/>
  <c r="L48" i="41"/>
  <c r="AJ47" i="41"/>
  <c r="X47" i="41"/>
  <c r="L47" i="41"/>
  <c r="L17" i="41"/>
  <c r="X17" i="41"/>
  <c r="AJ17" i="41"/>
  <c r="L18" i="41"/>
  <c r="X18" i="41"/>
  <c r="AJ18" i="41"/>
  <c r="L19" i="41"/>
  <c r="X19" i="41"/>
  <c r="AJ19" i="41"/>
  <c r="B20" i="41"/>
  <c r="C20" i="41"/>
  <c r="D20" i="41"/>
  <c r="E20" i="41"/>
  <c r="F20" i="41"/>
  <c r="G20" i="41"/>
  <c r="H20" i="41"/>
  <c r="I20" i="41"/>
  <c r="J20" i="41"/>
  <c r="K20" i="41"/>
  <c r="N20" i="41"/>
  <c r="O20" i="41"/>
  <c r="P20" i="41"/>
  <c r="Q20" i="41"/>
  <c r="R20" i="41"/>
  <c r="S20" i="41"/>
  <c r="T20" i="41"/>
  <c r="U20" i="41"/>
  <c r="V20" i="41"/>
  <c r="W20" i="41"/>
  <c r="Z20" i="41"/>
  <c r="AA20" i="41"/>
  <c r="AB20" i="41"/>
  <c r="AC20" i="41"/>
  <c r="AD20" i="41"/>
  <c r="AE20" i="41"/>
  <c r="AF20" i="41"/>
  <c r="AG20" i="41"/>
  <c r="AH20" i="41"/>
  <c r="AI20" i="41"/>
  <c r="L22" i="41"/>
  <c r="X22" i="41"/>
  <c r="AJ22" i="41"/>
  <c r="L23" i="41"/>
  <c r="X23" i="41"/>
  <c r="AJ23" i="41"/>
  <c r="L24" i="41"/>
  <c r="X24" i="41"/>
  <c r="AJ24" i="41"/>
  <c r="B25" i="41"/>
  <c r="C25" i="41"/>
  <c r="D25" i="41"/>
  <c r="E25" i="41"/>
  <c r="F25" i="41"/>
  <c r="G25" i="41"/>
  <c r="H25" i="41"/>
  <c r="I25" i="41"/>
  <c r="J25" i="41"/>
  <c r="K25" i="41"/>
  <c r="N25" i="41"/>
  <c r="O25" i="41"/>
  <c r="P25" i="41"/>
  <c r="Q25" i="41"/>
  <c r="R25" i="41"/>
  <c r="S25" i="41"/>
  <c r="T25" i="41"/>
  <c r="U25" i="41"/>
  <c r="V25" i="41"/>
  <c r="W25" i="41"/>
  <c r="Z25" i="41"/>
  <c r="AJ25" i="41" s="1"/>
  <c r="AA25" i="41"/>
  <c r="AB25" i="41"/>
  <c r="AC25" i="41"/>
  <c r="AD25" i="41"/>
  <c r="AE25" i="41"/>
  <c r="AF25" i="41"/>
  <c r="AG25" i="41"/>
  <c r="AH25" i="41"/>
  <c r="AI25" i="41"/>
  <c r="L27" i="41"/>
  <c r="X27" i="41"/>
  <c r="AJ27" i="41"/>
  <c r="L28" i="41"/>
  <c r="X28" i="41"/>
  <c r="AJ28" i="41"/>
  <c r="L29" i="41"/>
  <c r="X29" i="41"/>
  <c r="AJ29" i="41"/>
  <c r="B30" i="41"/>
  <c r="C30" i="41"/>
  <c r="D30" i="41"/>
  <c r="E30" i="41"/>
  <c r="F30" i="41"/>
  <c r="G30" i="41"/>
  <c r="H30" i="41"/>
  <c r="I30" i="41"/>
  <c r="J30" i="41"/>
  <c r="K30" i="41"/>
  <c r="N30" i="41"/>
  <c r="O30" i="41"/>
  <c r="P30" i="41"/>
  <c r="Q30" i="41"/>
  <c r="R30" i="41"/>
  <c r="S30" i="41"/>
  <c r="T30" i="41"/>
  <c r="U30" i="41"/>
  <c r="V30" i="41"/>
  <c r="W30" i="41"/>
  <c r="Z30" i="41"/>
  <c r="AJ30" i="41" s="1"/>
  <c r="AA30" i="41"/>
  <c r="AB30" i="41"/>
  <c r="AC30" i="41"/>
  <c r="AD30" i="41"/>
  <c r="AE30" i="41"/>
  <c r="AF30" i="41"/>
  <c r="AG30" i="41"/>
  <c r="AH30" i="41"/>
  <c r="AI30" i="41"/>
  <c r="L32" i="41"/>
  <c r="X32" i="41"/>
  <c r="AJ32" i="41"/>
  <c r="L33" i="41"/>
  <c r="X33" i="41"/>
  <c r="AJ33" i="41"/>
  <c r="L34" i="41"/>
  <c r="X34" i="41"/>
  <c r="AJ34" i="41"/>
  <c r="B35" i="41"/>
  <c r="C35" i="41"/>
  <c r="D35" i="41"/>
  <c r="E35" i="41"/>
  <c r="F35" i="41"/>
  <c r="G35" i="41"/>
  <c r="H35" i="41"/>
  <c r="I35" i="41"/>
  <c r="J35" i="41"/>
  <c r="K35" i="41"/>
  <c r="N35" i="41"/>
  <c r="O35" i="41"/>
  <c r="P35" i="41"/>
  <c r="Q35" i="41"/>
  <c r="R35" i="41"/>
  <c r="S35" i="41"/>
  <c r="T35" i="41"/>
  <c r="U35" i="41"/>
  <c r="V35" i="41"/>
  <c r="W35" i="41"/>
  <c r="Z35" i="41"/>
  <c r="AA35" i="41"/>
  <c r="AB35" i="41"/>
  <c r="AC35" i="41"/>
  <c r="AD35" i="41"/>
  <c r="AE35" i="41"/>
  <c r="AF35" i="41"/>
  <c r="AG35" i="41"/>
  <c r="AH35" i="41"/>
  <c r="AI35" i="41"/>
  <c r="L37" i="41"/>
  <c r="X37" i="41"/>
  <c r="AJ37" i="41"/>
  <c r="L38" i="41"/>
  <c r="X38" i="41"/>
  <c r="AJ38" i="41"/>
  <c r="L39" i="41"/>
  <c r="X39" i="41"/>
  <c r="AJ39" i="41"/>
  <c r="B40" i="41"/>
  <c r="C40" i="41"/>
  <c r="D40" i="41"/>
  <c r="E40" i="41"/>
  <c r="L40" i="41" s="1"/>
  <c r="F40" i="41"/>
  <c r="G40" i="41"/>
  <c r="H40" i="41"/>
  <c r="I40" i="41"/>
  <c r="J40" i="41"/>
  <c r="K40" i="41"/>
  <c r="N40" i="41"/>
  <c r="O40" i="41"/>
  <c r="P40" i="41"/>
  <c r="Q40" i="41"/>
  <c r="R40" i="41"/>
  <c r="S40" i="41"/>
  <c r="T40" i="41"/>
  <c r="U40" i="41"/>
  <c r="V40" i="41"/>
  <c r="W40" i="41"/>
  <c r="Z40" i="41"/>
  <c r="AA40" i="41"/>
  <c r="AB40" i="41"/>
  <c r="AC40" i="41"/>
  <c r="AD40" i="41"/>
  <c r="AE40" i="41"/>
  <c r="AF40" i="41"/>
  <c r="AG40" i="41"/>
  <c r="AH40" i="41"/>
  <c r="AI40" i="41"/>
  <c r="L42" i="41"/>
  <c r="X42" i="41"/>
  <c r="AJ42" i="41"/>
  <c r="L43" i="41"/>
  <c r="X43" i="41"/>
  <c r="AJ43" i="41"/>
  <c r="L44" i="41"/>
  <c r="X44" i="41"/>
  <c r="AJ44" i="41"/>
  <c r="B45" i="41"/>
  <c r="C45" i="41"/>
  <c r="D45" i="41"/>
  <c r="E45" i="41"/>
  <c r="F45" i="41"/>
  <c r="G45" i="41"/>
  <c r="H45" i="41"/>
  <c r="I45" i="41"/>
  <c r="J45" i="41"/>
  <c r="K45" i="41"/>
  <c r="N45" i="41"/>
  <c r="O45" i="41"/>
  <c r="P45" i="41"/>
  <c r="Q45" i="41"/>
  <c r="R45" i="41"/>
  <c r="S45" i="41"/>
  <c r="T45" i="41"/>
  <c r="U45" i="41"/>
  <c r="V45" i="41"/>
  <c r="W45" i="41"/>
  <c r="Z45" i="41"/>
  <c r="AA45" i="41"/>
  <c r="AB45" i="41"/>
  <c r="AC45" i="41"/>
  <c r="AD45" i="41"/>
  <c r="AE45" i="41"/>
  <c r="AF45" i="41"/>
  <c r="AG45" i="41"/>
  <c r="AH45" i="41"/>
  <c r="AI45" i="41"/>
  <c r="AJ45" i="41"/>
  <c r="AI15" i="41"/>
  <c r="AH15" i="41"/>
  <c r="AG15" i="41"/>
  <c r="AF15" i="41"/>
  <c r="AE15" i="41"/>
  <c r="AD15" i="41"/>
  <c r="AC15" i="41"/>
  <c r="AB15" i="41"/>
  <c r="AJ15" i="41" s="1"/>
  <c r="AA15" i="41"/>
  <c r="Z15" i="41"/>
  <c r="AJ14" i="41"/>
  <c r="AJ13" i="41"/>
  <c r="AJ12" i="41"/>
  <c r="AI10" i="41"/>
  <c r="AH10" i="41"/>
  <c r="AG10" i="41"/>
  <c r="AF10" i="41"/>
  <c r="AE10" i="41"/>
  <c r="AD10" i="41"/>
  <c r="AC10" i="41"/>
  <c r="AB10" i="41"/>
  <c r="AA10" i="41"/>
  <c r="Z10" i="41"/>
  <c r="AJ9" i="41"/>
  <c r="AJ8" i="41"/>
  <c r="AJ7" i="41"/>
  <c r="AI5" i="41"/>
  <c r="AH5" i="41"/>
  <c r="AG5" i="41"/>
  <c r="AF5" i="41"/>
  <c r="AE5" i="41"/>
  <c r="AD5" i="41"/>
  <c r="AC5" i="41"/>
  <c r="AB5" i="41"/>
  <c r="AA5" i="41"/>
  <c r="Z5" i="41"/>
  <c r="AJ4" i="41"/>
  <c r="AJ3" i="41"/>
  <c r="AJ2" i="41"/>
  <c r="W15" i="41"/>
  <c r="V15" i="41"/>
  <c r="U15" i="41"/>
  <c r="T15" i="41"/>
  <c r="S15" i="41"/>
  <c r="R15" i="41"/>
  <c r="Q15" i="41"/>
  <c r="P15" i="41"/>
  <c r="O15" i="41"/>
  <c r="N15" i="41"/>
  <c r="X14" i="41"/>
  <c r="X13" i="41"/>
  <c r="X12" i="41"/>
  <c r="W10" i="41"/>
  <c r="V10" i="41"/>
  <c r="U10" i="41"/>
  <c r="T10" i="41"/>
  <c r="S10" i="41"/>
  <c r="R10" i="41"/>
  <c r="Q10" i="41"/>
  <c r="P10" i="41"/>
  <c r="O10" i="41"/>
  <c r="N10" i="41"/>
  <c r="X9" i="41"/>
  <c r="X8" i="41"/>
  <c r="X7" i="41"/>
  <c r="W5" i="41"/>
  <c r="V5" i="41"/>
  <c r="U5" i="41"/>
  <c r="T5" i="41"/>
  <c r="S5" i="41"/>
  <c r="R5" i="41"/>
  <c r="Q5" i="41"/>
  <c r="P5" i="41"/>
  <c r="O5" i="41"/>
  <c r="N5" i="41"/>
  <c r="X4" i="41"/>
  <c r="X3" i="41"/>
  <c r="X2" i="41"/>
  <c r="L12" i="41"/>
  <c r="L13" i="41"/>
  <c r="L14" i="41"/>
  <c r="B15" i="41"/>
  <c r="C15" i="41"/>
  <c r="D15" i="41"/>
  <c r="E15" i="41"/>
  <c r="F15" i="41"/>
  <c r="G15" i="41"/>
  <c r="H15" i="41"/>
  <c r="I15" i="41"/>
  <c r="J15" i="41"/>
  <c r="K15" i="41"/>
  <c r="K10" i="41"/>
  <c r="J10" i="41"/>
  <c r="I10" i="41"/>
  <c r="H10" i="41"/>
  <c r="G10" i="41"/>
  <c r="F10" i="41"/>
  <c r="E10" i="41"/>
  <c r="D10" i="41"/>
  <c r="C10" i="41"/>
  <c r="B10" i="41"/>
  <c r="L9" i="41"/>
  <c r="L8" i="41"/>
  <c r="L7" i="41"/>
  <c r="K5" i="41"/>
  <c r="J5" i="41"/>
  <c r="I5" i="41"/>
  <c r="H5" i="41"/>
  <c r="G5" i="41"/>
  <c r="F5" i="41"/>
  <c r="E5" i="41"/>
  <c r="D5" i="41"/>
  <c r="C5" i="41"/>
  <c r="B5" i="41"/>
  <c r="L5" i="41" s="1"/>
  <c r="L4" i="41"/>
  <c r="L3" i="41"/>
  <c r="L2" i="41"/>
  <c r="L10" i="41" l="1"/>
  <c r="L30" i="41"/>
  <c r="L20" i="41"/>
  <c r="L15" i="41"/>
  <c r="X45" i="41"/>
  <c r="X40" i="41"/>
  <c r="AJ20" i="41"/>
  <c r="X5" i="41"/>
  <c r="AJ10" i="41"/>
  <c r="AJ40" i="41"/>
  <c r="L25" i="41"/>
  <c r="X15" i="41"/>
  <c r="AJ35" i="41"/>
  <c r="X35" i="41"/>
  <c r="X30" i="41"/>
  <c r="X25" i="41"/>
  <c r="X20" i="41"/>
  <c r="L35" i="41"/>
  <c r="X10" i="41"/>
  <c r="AJ5" i="41"/>
  <c r="L45" i="41"/>
  <c r="I95" i="33" l="1"/>
  <c r="I96" i="33"/>
  <c r="B13" i="34" l="1"/>
  <c r="K1" i="10" l="1"/>
  <c r="J1" i="10"/>
  <c r="I1" i="10"/>
  <c r="K2" i="10" l="1"/>
  <c r="B27" i="10"/>
  <c r="H26" i="10" l="1"/>
  <c r="C1" i="10"/>
  <c r="B1" i="10" s="1"/>
  <c r="F24" i="10" l="1"/>
  <c r="F25" i="10"/>
  <c r="F26" i="10"/>
  <c r="C32" i="10"/>
  <c r="G9" i="10" l="1"/>
  <c r="B17" i="34" l="1"/>
  <c r="B20" i="34"/>
  <c r="B22" i="34"/>
  <c r="B23" i="34"/>
  <c r="B25" i="34"/>
  <c r="B26" i="34"/>
  <c r="B27" i="34"/>
  <c r="B28" i="34"/>
  <c r="B30" i="34"/>
  <c r="B31" i="34"/>
  <c r="B33" i="34"/>
  <c r="B34" i="34"/>
  <c r="B35" i="34"/>
  <c r="B37" i="34"/>
  <c r="B38" i="34"/>
  <c r="B40" i="34"/>
  <c r="B41" i="34"/>
  <c r="B44" i="34"/>
  <c r="B48" i="34"/>
  <c r="B50" i="34"/>
  <c r="B51" i="34"/>
  <c r="B52" i="34"/>
  <c r="B53" i="34"/>
  <c r="B54" i="34"/>
  <c r="B55" i="34"/>
  <c r="B56" i="34"/>
  <c r="B58" i="34"/>
  <c r="B60" i="34"/>
  <c r="B61" i="34"/>
  <c r="B62" i="34"/>
  <c r="B64" i="34"/>
  <c r="B65" i="34"/>
  <c r="B68" i="34"/>
  <c r="B69" i="34"/>
  <c r="B70" i="34"/>
  <c r="B71" i="34"/>
  <c r="B75" i="34"/>
  <c r="B76" i="34"/>
  <c r="B78" i="34"/>
  <c r="B79" i="34"/>
  <c r="B82" i="34"/>
  <c r="B85" i="34"/>
  <c r="B86" i="34"/>
  <c r="B87" i="34"/>
  <c r="B88" i="34"/>
  <c r="B89" i="34"/>
  <c r="B92" i="34"/>
  <c r="B93" i="34"/>
  <c r="B94" i="34"/>
  <c r="B95" i="34"/>
  <c r="B96" i="34"/>
  <c r="B97" i="34"/>
  <c r="B99" i="34"/>
  <c r="B100" i="34"/>
  <c r="B101" i="34"/>
  <c r="B102" i="34"/>
  <c r="B103" i="34"/>
  <c r="B105" i="34"/>
  <c r="B107" i="34"/>
  <c r="B108" i="34"/>
  <c r="B109" i="34"/>
  <c r="B110" i="34"/>
  <c r="B112" i="34"/>
  <c r="B113" i="34"/>
  <c r="B114" i="34"/>
  <c r="B115" i="34"/>
  <c r="B116" i="34"/>
  <c r="B117" i="34"/>
  <c r="B118" i="34"/>
  <c r="B119" i="34"/>
  <c r="B120" i="34"/>
  <c r="B122" i="34"/>
  <c r="B123" i="34"/>
  <c r="B125" i="34"/>
  <c r="B127" i="34"/>
  <c r="B128" i="34"/>
  <c r="B129" i="34"/>
  <c r="B131" i="34"/>
  <c r="B132" i="34"/>
  <c r="B133" i="34"/>
  <c r="B134" i="34"/>
  <c r="B135" i="34"/>
  <c r="B137" i="34"/>
  <c r="B138" i="34"/>
  <c r="B139" i="34"/>
  <c r="B140" i="34"/>
  <c r="B142" i="34"/>
  <c r="B143" i="34"/>
  <c r="B147" i="34"/>
  <c r="B148" i="34"/>
  <c r="B150" i="34"/>
  <c r="B151" i="34"/>
  <c r="B152" i="34"/>
  <c r="B153" i="34"/>
  <c r="B154" i="34"/>
  <c r="B156" i="34"/>
  <c r="B157" i="34"/>
  <c r="B158" i="34"/>
  <c r="B159" i="34"/>
  <c r="B161" i="34"/>
  <c r="B162" i="34"/>
  <c r="B163" i="34"/>
  <c r="B164" i="34"/>
  <c r="B166" i="34"/>
  <c r="B167" i="34"/>
  <c r="B168" i="34"/>
  <c r="B169" i="34"/>
  <c r="B11" i="34"/>
  <c r="B16" i="34"/>
  <c r="B6" i="34"/>
  <c r="B7" i="34"/>
  <c r="B1" i="34"/>
  <c r="D126" i="33" l="1"/>
  <c r="R117" i="33"/>
  <c r="S117" i="33" s="1"/>
  <c r="R116" i="33"/>
  <c r="S116" i="33" s="1"/>
  <c r="Q91" i="33" l="1"/>
  <c r="M98" i="33"/>
  <c r="N98" i="33"/>
  <c r="O98" i="33"/>
  <c r="I97" i="33"/>
  <c r="I98" i="33"/>
  <c r="I99" i="33"/>
  <c r="I100" i="33"/>
  <c r="I101" i="33"/>
  <c r="P98" i="33"/>
  <c r="P90" i="33"/>
  <c r="P88" i="33"/>
  <c r="P89" i="33" s="1"/>
  <c r="M90" i="33"/>
  <c r="N90" i="33"/>
  <c r="L90" i="33"/>
  <c r="M88" i="33"/>
  <c r="M89" i="33" s="1"/>
  <c r="N88" i="33"/>
  <c r="N89" i="33" s="1"/>
  <c r="O88" i="33"/>
  <c r="O89" i="33" s="1"/>
  <c r="L88" i="33"/>
  <c r="L89" i="33" s="1"/>
  <c r="L86" i="33"/>
  <c r="L87" i="33" s="1"/>
  <c r="M86" i="33"/>
  <c r="M87" i="33" s="1"/>
  <c r="N86" i="33"/>
  <c r="N87" i="33" s="1"/>
  <c r="O86" i="33"/>
  <c r="O87" i="33" s="1"/>
  <c r="M91" i="33" l="1"/>
  <c r="Q98" i="33"/>
  <c r="O99" i="33" s="1"/>
  <c r="L91" i="33"/>
  <c r="O91" i="33"/>
  <c r="P91" i="33"/>
  <c r="N91" i="33"/>
  <c r="B128" i="33"/>
  <c r="B127" i="33" s="1"/>
  <c r="D129" i="33"/>
  <c r="F130" i="33"/>
  <c r="F129" i="33"/>
  <c r="D157" i="33"/>
  <c r="D158" i="33"/>
  <c r="L99" i="33" l="1"/>
  <c r="M99" i="33"/>
  <c r="P99" i="33"/>
  <c r="N99" i="33"/>
  <c r="E157" i="33"/>
  <c r="B130" i="33"/>
  <c r="D128" i="33"/>
  <c r="D127" i="33" l="1"/>
  <c r="D130" i="33" s="1"/>
  <c r="G129" i="33"/>
  <c r="H129" i="33" s="1"/>
  <c r="F118" i="33"/>
  <c r="F119" i="33"/>
  <c r="F120" i="33"/>
  <c r="F121" i="33"/>
  <c r="F122" i="33"/>
  <c r="F117" i="33"/>
  <c r="C113" i="33" l="1"/>
  <c r="F111" i="33"/>
  <c r="F113" i="33" s="1"/>
  <c r="D111" i="33"/>
  <c r="D113" i="33" s="1"/>
  <c r="E113" i="33"/>
  <c r="G113" i="33" l="1"/>
  <c r="H103" i="33"/>
  <c r="I103" i="33" s="1"/>
  <c r="H104" i="33"/>
  <c r="I104" i="33" s="1"/>
  <c r="I108" i="33"/>
  <c r="I74" i="33"/>
  <c r="I75" i="33"/>
  <c r="I76" i="33"/>
  <c r="I77" i="33"/>
  <c r="I78" i="33"/>
  <c r="I79" i="33"/>
  <c r="I80" i="33"/>
  <c r="I81" i="33"/>
  <c r="I82" i="33"/>
  <c r="I83" i="33"/>
  <c r="I84" i="33"/>
  <c r="I87" i="33"/>
  <c r="I88" i="33"/>
  <c r="I89" i="33"/>
  <c r="I90" i="33"/>
  <c r="H106" i="33" l="1"/>
  <c r="H105" i="33"/>
  <c r="I86" i="33"/>
  <c r="I85" i="33"/>
  <c r="U89" i="33"/>
  <c r="L36" i="10" l="1"/>
  <c r="L34" i="10"/>
  <c r="G52" i="10" l="1"/>
  <c r="L60" i="10" l="1"/>
  <c r="L55" i="10"/>
  <c r="L50" i="10"/>
  <c r="I51" i="10"/>
  <c r="M50" i="10" l="1"/>
  <c r="B9" i="10" l="1"/>
  <c r="H3" i="10"/>
  <c r="K47" i="10" l="1"/>
  <c r="K48" i="10"/>
  <c r="K46" i="10"/>
  <c r="O2" i="10" l="1"/>
  <c r="O1" i="10"/>
  <c r="Q32" i="10" l="1"/>
  <c r="C51" i="10" l="1"/>
  <c r="L3" i="10" l="1"/>
  <c r="K18" i="10"/>
  <c r="F18" i="10"/>
  <c r="M4" i="10" l="1"/>
  <c r="L4" i="10"/>
  <c r="C34" i="10" l="1"/>
  <c r="C47" i="10"/>
  <c r="C48" i="10"/>
  <c r="C49" i="10"/>
  <c r="C50" i="10"/>
  <c r="H9" i="10" l="1"/>
  <c r="I11" i="10"/>
  <c r="N25" i="10" l="1"/>
  <c r="M25" i="10" s="1"/>
  <c r="M26" i="10" s="1"/>
  <c r="G25" i="10"/>
  <c r="F1" i="10"/>
  <c r="E1" i="10"/>
  <c r="C8" i="10"/>
  <c r="C11" i="10" s="1"/>
  <c r="G8" i="10" l="1"/>
  <c r="D1" i="10"/>
  <c r="D8" i="10" s="1"/>
  <c r="F8" i="10"/>
  <c r="F2" i="10"/>
  <c r="E8" i="10"/>
  <c r="H28" i="10"/>
  <c r="F19" i="10"/>
  <c r="B126" i="10"/>
  <c r="B136" i="10"/>
  <c r="B145" i="10"/>
  <c r="F20" i="10"/>
  <c r="F17" i="10"/>
  <c r="E11" i="10" l="1"/>
  <c r="G16" i="10"/>
  <c r="M35" i="10"/>
  <c r="N7" i="10"/>
  <c r="F5" i="10" l="1"/>
  <c r="G11" i="10"/>
  <c r="E5" i="10"/>
  <c r="D5" i="10"/>
  <c r="O12" i="10" l="1"/>
  <c r="C56" i="10" l="1"/>
  <c r="B56" i="10"/>
  <c r="A56" i="10"/>
  <c r="I40" i="10"/>
  <c r="M39" i="10" l="1"/>
  <c r="M36" i="10"/>
  <c r="M37" i="10" s="1"/>
  <c r="N36" i="10"/>
  <c r="N8" i="10"/>
  <c r="N9" i="10"/>
  <c r="N11" i="10"/>
  <c r="N12" i="10"/>
  <c r="N13" i="10"/>
  <c r="N14" i="10"/>
  <c r="N15" i="10"/>
  <c r="O16" i="10"/>
  <c r="O17" i="10"/>
  <c r="O18" i="10"/>
  <c r="O19" i="10"/>
  <c r="O20" i="10"/>
  <c r="N21" i="10"/>
  <c r="N29" i="10"/>
  <c r="N30" i="10"/>
  <c r="N31" i="10"/>
  <c r="N32" i="10"/>
  <c r="N33" i="10"/>
  <c r="G29" i="10"/>
  <c r="H19" i="10" s="1"/>
  <c r="A13" i="10"/>
  <c r="A14" i="10" s="1"/>
  <c r="H40" i="10"/>
  <c r="H39" i="10"/>
  <c r="H42" i="10"/>
  <c r="H63" i="10"/>
  <c r="H4" i="10" l="1"/>
  <c r="A85" i="10"/>
  <c r="A95" i="10"/>
  <c r="A104" i="10"/>
  <c r="A113" i="10"/>
  <c r="A123" i="10"/>
  <c r="H43" i="10" l="1"/>
  <c r="K9" i="10"/>
  <c r="J40" i="10"/>
  <c r="K40" i="10" l="1"/>
  <c r="G39" i="10"/>
  <c r="I39" i="10"/>
  <c r="J39" i="10"/>
  <c r="F40" i="10" l="1"/>
  <c r="C44" i="10"/>
  <c r="C45" i="10"/>
  <c r="C46" i="10"/>
  <c r="C35" i="10"/>
  <c r="C36" i="10"/>
  <c r="C37" i="10"/>
  <c r="C38" i="10"/>
  <c r="C39" i="10"/>
  <c r="C40" i="10"/>
  <c r="C41" i="10"/>
  <c r="C42" i="10"/>
  <c r="C43" i="10"/>
  <c r="C33" i="10"/>
  <c r="I29" i="10"/>
  <c r="H2" i="10"/>
  <c r="D11" i="10"/>
  <c r="F36" i="10"/>
  <c r="F37" i="10"/>
  <c r="E30" i="10" l="1"/>
  <c r="E31" i="10" s="1"/>
  <c r="D30" i="10"/>
  <c r="D31" i="10" s="1"/>
  <c r="C30" i="10"/>
  <c r="C31" i="10" s="1"/>
  <c r="B30" i="10"/>
  <c r="B31" i="10" s="1"/>
  <c r="C13" i="10"/>
  <c r="C14" i="10" s="1"/>
  <c r="D13" i="10"/>
  <c r="D14" i="10" s="1"/>
  <c r="E13" i="10"/>
  <c r="E14" i="10" s="1"/>
  <c r="B13" i="10"/>
  <c r="B14" i="10" s="1"/>
</calcChain>
</file>

<file path=xl/sharedStrings.xml><?xml version="1.0" encoding="utf-8"?>
<sst xmlns="http://schemas.openxmlformats.org/spreadsheetml/2006/main" count="15238" uniqueCount="3953">
  <si>
    <t>R</t>
    <phoneticPr fontId="1"/>
  </si>
  <si>
    <t>U</t>
    <phoneticPr fontId="1"/>
  </si>
  <si>
    <t>R</t>
  </si>
  <si>
    <t>B</t>
  </si>
  <si>
    <t>U</t>
  </si>
  <si>
    <t>W</t>
  </si>
  <si>
    <t>C</t>
    <phoneticPr fontId="1"/>
  </si>
  <si>
    <t>UB</t>
  </si>
  <si>
    <t>BR</t>
  </si>
  <si>
    <t>L</t>
    <phoneticPr fontId="1"/>
  </si>
  <si>
    <t>M</t>
    <phoneticPr fontId="1"/>
  </si>
  <si>
    <t>19*5+6</t>
    <phoneticPr fontId="1"/>
  </si>
  <si>
    <t>DTK</t>
    <phoneticPr fontId="1"/>
  </si>
  <si>
    <t>MMA2</t>
    <phoneticPr fontId="1"/>
  </si>
  <si>
    <t>3_0</t>
    <phoneticPr fontId="1"/>
  </si>
  <si>
    <t>2_1</t>
    <phoneticPr fontId="1"/>
  </si>
  <si>
    <t>C</t>
    <phoneticPr fontId="1"/>
  </si>
  <si>
    <t>WU</t>
    <phoneticPr fontId="1"/>
  </si>
  <si>
    <t>UB</t>
    <phoneticPr fontId="1"/>
  </si>
  <si>
    <t>BR</t>
    <phoneticPr fontId="1"/>
  </si>
  <si>
    <t>RG</t>
    <phoneticPr fontId="1"/>
  </si>
  <si>
    <t>GW</t>
    <phoneticPr fontId="1"/>
  </si>
  <si>
    <t>WB</t>
    <phoneticPr fontId="1"/>
  </si>
  <si>
    <t>UR</t>
    <phoneticPr fontId="1"/>
  </si>
  <si>
    <t>BG</t>
    <phoneticPr fontId="1"/>
  </si>
  <si>
    <t>RW</t>
    <phoneticPr fontId="1"/>
  </si>
  <si>
    <t>GU</t>
    <phoneticPr fontId="1"/>
  </si>
  <si>
    <t>B</t>
    <phoneticPr fontId="1"/>
  </si>
  <si>
    <t>G</t>
  </si>
  <si>
    <t>A</t>
  </si>
  <si>
    <t>WU</t>
  </si>
  <si>
    <t>RG</t>
  </si>
  <si>
    <t>GW</t>
  </si>
  <si>
    <t>WB</t>
  </si>
  <si>
    <t>UR</t>
  </si>
  <si>
    <t>BG</t>
  </si>
  <si>
    <t>RW</t>
  </si>
  <si>
    <t>GU</t>
  </si>
  <si>
    <t>5*3</t>
    <phoneticPr fontId="1"/>
  </si>
  <si>
    <t>5*3</t>
    <phoneticPr fontId="1"/>
  </si>
  <si>
    <t>MR</t>
    <phoneticPr fontId="1"/>
  </si>
  <si>
    <t>W</t>
    <phoneticPr fontId="1"/>
  </si>
  <si>
    <t>U</t>
    <phoneticPr fontId="1"/>
  </si>
  <si>
    <t>B</t>
    <phoneticPr fontId="1"/>
  </si>
  <si>
    <t>R</t>
    <phoneticPr fontId="1"/>
  </si>
  <si>
    <t>G</t>
    <phoneticPr fontId="1"/>
  </si>
  <si>
    <t>オパモ</t>
    <phoneticPr fontId="1"/>
  </si>
  <si>
    <t>江村</t>
    <rPh sb="0" eb="2">
      <t>エムラ</t>
    </rPh>
    <phoneticPr fontId="1"/>
  </si>
  <si>
    <t>カーン</t>
    <phoneticPr fontId="1"/>
  </si>
  <si>
    <t>イオナ</t>
    <phoneticPr fontId="1"/>
  </si>
  <si>
    <t>ヴェン</t>
    <phoneticPr fontId="1"/>
  </si>
  <si>
    <t>テゼ</t>
    <phoneticPr fontId="1"/>
  </si>
  <si>
    <t>タルモ</t>
    <phoneticPr fontId="1"/>
  </si>
  <si>
    <t>緑タイタン</t>
    <rPh sb="0" eb="1">
      <t>ミドリ</t>
    </rPh>
    <phoneticPr fontId="1"/>
  </si>
  <si>
    <t>彗星の嵐</t>
    <rPh sb="0" eb="2">
      <t>スイセイ</t>
    </rPh>
    <rPh sb="3" eb="4">
      <t>アラシ</t>
    </rPh>
    <phoneticPr fontId="1"/>
  </si>
  <si>
    <t>苦花</t>
    <rPh sb="0" eb="1">
      <t>ニガ</t>
    </rPh>
    <rPh sb="1" eb="2">
      <t>ハナ</t>
    </rPh>
    <phoneticPr fontId="1"/>
  </si>
  <si>
    <t>ノーン</t>
    <phoneticPr fontId="1"/>
  </si>
  <si>
    <t>キキジキ</t>
    <phoneticPr fontId="1"/>
  </si>
  <si>
    <t>ウラモグ</t>
    <phoneticPr fontId="1"/>
  </si>
  <si>
    <t>腹心</t>
    <rPh sb="0" eb="2">
      <t>フクシン</t>
    </rPh>
    <phoneticPr fontId="1"/>
  </si>
  <si>
    <t>コジレック</t>
    <phoneticPr fontId="1"/>
  </si>
  <si>
    <t>火と氷の剣</t>
    <rPh sb="0" eb="1">
      <t>ヒ</t>
    </rPh>
    <rPh sb="2" eb="3">
      <t>コオリ</t>
    </rPh>
    <rPh sb="4" eb="5">
      <t>ケン</t>
    </rPh>
    <phoneticPr fontId="1"/>
  </si>
  <si>
    <t>河龍</t>
    <rPh sb="0" eb="1">
      <t>カワ</t>
    </rPh>
    <rPh sb="1" eb="2">
      <t>リュウ</t>
    </rPh>
    <phoneticPr fontId="1"/>
  </si>
  <si>
    <t>ペス</t>
    <phoneticPr fontId="1"/>
  </si>
  <si>
    <t>キキジキ</t>
    <phoneticPr fontId="1"/>
  </si>
  <si>
    <t>枷</t>
    <rPh sb="0" eb="1">
      <t>カセ</t>
    </rPh>
    <phoneticPr fontId="1"/>
  </si>
  <si>
    <t>光と影の剣</t>
  </si>
  <si>
    <t>RGサル</t>
    <phoneticPr fontId="1"/>
  </si>
  <si>
    <t>大祖始</t>
    <rPh sb="0" eb="1">
      <t>ダイ</t>
    </rPh>
    <rPh sb="1" eb="2">
      <t>ソ</t>
    </rPh>
    <rPh sb="2" eb="3">
      <t>ハジメ</t>
    </rPh>
    <phoneticPr fontId="1"/>
  </si>
  <si>
    <t>A</t>
    <phoneticPr fontId="1"/>
  </si>
  <si>
    <t>MC</t>
    <phoneticPr fontId="1"/>
  </si>
  <si>
    <t>A</t>
    <phoneticPr fontId="1"/>
  </si>
  <si>
    <t>書庫</t>
    <phoneticPr fontId="1"/>
  </si>
  <si>
    <t>ゴーグル</t>
  </si>
  <si>
    <t>キテ</t>
    <phoneticPr fontId="1"/>
  </si>
  <si>
    <t>ジェイ</t>
    <phoneticPr fontId="1"/>
  </si>
  <si>
    <t>リリ</t>
    <phoneticPr fontId="1"/>
  </si>
  <si>
    <t>チャン</t>
    <phoneticPr fontId="1"/>
  </si>
  <si>
    <t>ニッサ</t>
    <phoneticPr fontId="1"/>
  </si>
  <si>
    <t>信奉者</t>
  </si>
  <si>
    <t>一日のやり直し</t>
  </si>
  <si>
    <t>徴税の大天使</t>
  </si>
  <si>
    <t>ニクスの星原</t>
  </si>
  <si>
    <t>強欲なドラゴン</t>
  </si>
  <si>
    <t>大オーロラ</t>
  </si>
  <si>
    <t>森林の怒声吠え</t>
  </si>
  <si>
    <t>悪魔の契約</t>
  </si>
  <si>
    <t>エレボスのタイタン</t>
  </si>
  <si>
    <t>ウラモグ</t>
    <phoneticPr fontId="1"/>
  </si>
  <si>
    <t>忘却</t>
    <rPh sb="0" eb="2">
      <t>ボウキャク</t>
    </rPh>
    <phoneticPr fontId="1"/>
  </si>
  <si>
    <t>奇数マン</t>
    <rPh sb="0" eb="2">
      <t>キスウ</t>
    </rPh>
    <phoneticPr fontId="1"/>
  </si>
  <si>
    <t>Ｘ追放</t>
    <rPh sb="1" eb="3">
      <t>ツイホウ</t>
    </rPh>
    <phoneticPr fontId="1"/>
  </si>
  <si>
    <t>Ｅｘターン</t>
    <phoneticPr fontId="1"/>
  </si>
  <si>
    <t>ギデオン</t>
    <phoneticPr fontId="1"/>
  </si>
  <si>
    <t>ドラーナ</t>
  </si>
  <si>
    <t>オブ・ニク</t>
  </si>
  <si>
    <t>のけ者</t>
  </si>
  <si>
    <t>緑守り</t>
  </si>
  <si>
    <t>下生え</t>
  </si>
  <si>
    <t>紀オーラ</t>
    <rPh sb="0" eb="1">
      <t>キ</t>
    </rPh>
    <phoneticPr fontId="1"/>
  </si>
  <si>
    <t>オムナス</t>
    <phoneticPr fontId="1"/>
  </si>
  <si>
    <t>淀み</t>
    <rPh sb="0" eb="1">
      <t>ヨド</t>
    </rPh>
    <phoneticPr fontId="1"/>
  </si>
  <si>
    <t>火の鳥</t>
    <rPh sb="0" eb="1">
      <t>ヒ</t>
    </rPh>
    <rPh sb="2" eb="3">
      <t>トリ</t>
    </rPh>
    <phoneticPr fontId="1"/>
  </si>
  <si>
    <t>龍王</t>
    <rPh sb="0" eb="1">
      <t>リュウ</t>
    </rPh>
    <rPh sb="1" eb="2">
      <t>オウ</t>
    </rPh>
    <phoneticPr fontId="1"/>
  </si>
  <si>
    <t>ＲＵＧ猿</t>
    <rPh sb="3" eb="4">
      <t>サル</t>
    </rPh>
    <phoneticPr fontId="1"/>
  </si>
  <si>
    <t>ＷＵナセ</t>
    <phoneticPr fontId="1"/>
  </si>
  <si>
    <t>龍を操る者</t>
  </si>
  <si>
    <t>オジュタイの模範</t>
  </si>
  <si>
    <t>岸砕きの精霊</t>
  </si>
  <si>
    <t>クローンの軍勢</t>
  </si>
  <si>
    <t>目覚めし処刑者</t>
  </si>
  <si>
    <t>龍の降下</t>
  </si>
  <si>
    <t>失われた業の巫師</t>
  </si>
  <si>
    <t>死霧の猛禽</t>
  </si>
  <si>
    <t>ORI</t>
    <phoneticPr fontId="1"/>
  </si>
  <si>
    <t>5*5</t>
    <phoneticPr fontId="1"/>
  </si>
  <si>
    <t>RU</t>
    <phoneticPr fontId="1"/>
  </si>
  <si>
    <t>WB</t>
    <phoneticPr fontId="1"/>
  </si>
  <si>
    <t>WG</t>
    <phoneticPr fontId="1"/>
  </si>
  <si>
    <t>WU</t>
    <phoneticPr fontId="1"/>
  </si>
  <si>
    <t>BR</t>
    <phoneticPr fontId="1"/>
  </si>
  <si>
    <t>BG</t>
    <phoneticPr fontId="1"/>
  </si>
  <si>
    <t>RG</t>
    <phoneticPr fontId="1"/>
  </si>
  <si>
    <t>UR</t>
    <phoneticPr fontId="1"/>
  </si>
  <si>
    <t>UG</t>
    <phoneticPr fontId="1"/>
  </si>
  <si>
    <t>RG</t>
    <phoneticPr fontId="1"/>
  </si>
  <si>
    <t>WR</t>
    <phoneticPr fontId="1"/>
  </si>
  <si>
    <t>UB</t>
    <phoneticPr fontId="1"/>
  </si>
  <si>
    <t>UG</t>
    <phoneticPr fontId="1"/>
  </si>
  <si>
    <t>UB</t>
    <phoneticPr fontId="1"/>
  </si>
  <si>
    <t>BR</t>
    <phoneticPr fontId="1"/>
  </si>
  <si>
    <t>UR</t>
    <phoneticPr fontId="1"/>
  </si>
  <si>
    <t>WR</t>
    <phoneticPr fontId="1"/>
  </si>
  <si>
    <t>RG</t>
    <phoneticPr fontId="1"/>
  </si>
  <si>
    <t>GW</t>
    <phoneticPr fontId="1"/>
  </si>
  <si>
    <t>WB</t>
    <phoneticPr fontId="1"/>
  </si>
  <si>
    <t>BG</t>
    <phoneticPr fontId="1"/>
  </si>
  <si>
    <t>UG</t>
    <phoneticPr fontId="1"/>
  </si>
  <si>
    <t>RW</t>
    <phoneticPr fontId="1"/>
  </si>
  <si>
    <t>WU</t>
    <phoneticPr fontId="1"/>
  </si>
  <si>
    <t>BW</t>
    <phoneticPr fontId="1"/>
  </si>
  <si>
    <t>UBR</t>
    <phoneticPr fontId="1"/>
  </si>
  <si>
    <t>WG</t>
    <phoneticPr fontId="1"/>
  </si>
  <si>
    <t>RUG</t>
    <phoneticPr fontId="1"/>
  </si>
  <si>
    <t>3-0</t>
    <phoneticPr fontId="1"/>
  </si>
  <si>
    <t>2-1.</t>
    <phoneticPr fontId="1"/>
  </si>
  <si>
    <t>1-2.</t>
    <phoneticPr fontId="1"/>
  </si>
  <si>
    <t>0-3</t>
    <phoneticPr fontId="1"/>
  </si>
  <si>
    <t>UC</t>
    <phoneticPr fontId="1"/>
  </si>
  <si>
    <t>R</t>
    <phoneticPr fontId="1"/>
  </si>
  <si>
    <t>MR</t>
    <phoneticPr fontId="1"/>
  </si>
  <si>
    <t>B</t>
    <phoneticPr fontId="1"/>
  </si>
  <si>
    <t>M</t>
    <phoneticPr fontId="1"/>
  </si>
  <si>
    <t>C</t>
    <phoneticPr fontId="1"/>
  </si>
  <si>
    <t>M</t>
    <phoneticPr fontId="1"/>
  </si>
  <si>
    <t>C</t>
    <phoneticPr fontId="1"/>
  </si>
  <si>
    <t>B</t>
    <phoneticPr fontId="1"/>
  </si>
  <si>
    <t>飛行</t>
    <rPh sb="0" eb="2">
      <t>ヒコウ</t>
    </rPh>
    <phoneticPr fontId="1"/>
  </si>
  <si>
    <t>速攻</t>
    <rPh sb="0" eb="2">
      <t>ソッコウ</t>
    </rPh>
    <phoneticPr fontId="1"/>
  </si>
  <si>
    <t>トランプル</t>
    <phoneticPr fontId="1"/>
  </si>
  <si>
    <t>警戒</t>
    <rPh sb="0" eb="2">
      <t>ケイカイ</t>
    </rPh>
    <phoneticPr fontId="1"/>
  </si>
  <si>
    <t>絆魂</t>
    <rPh sb="0" eb="1">
      <t>キズナ</t>
    </rPh>
    <rPh sb="1" eb="2">
      <t>タマシイ</t>
    </rPh>
    <phoneticPr fontId="1"/>
  </si>
  <si>
    <t>果敢</t>
    <rPh sb="0" eb="2">
      <t>カカン</t>
    </rPh>
    <phoneticPr fontId="1"/>
  </si>
  <si>
    <t>接死</t>
    <rPh sb="0" eb="1">
      <t>セツ</t>
    </rPh>
    <rPh sb="1" eb="2">
      <t>シ</t>
    </rPh>
    <phoneticPr fontId="1"/>
  </si>
  <si>
    <t>先制・二段攻撃</t>
    <rPh sb="0" eb="2">
      <t>センセイ</t>
    </rPh>
    <rPh sb="3" eb="5">
      <t>ニダン</t>
    </rPh>
    <rPh sb="5" eb="7">
      <t>コウゲキ</t>
    </rPh>
    <phoneticPr fontId="1"/>
  </si>
  <si>
    <t>MoC</t>
    <phoneticPr fontId="1"/>
  </si>
  <si>
    <t>NoC</t>
    <phoneticPr fontId="1"/>
  </si>
  <si>
    <t>MaC</t>
    <phoneticPr fontId="1"/>
  </si>
  <si>
    <t>Land</t>
    <phoneticPr fontId="1"/>
  </si>
  <si>
    <t>A</t>
    <phoneticPr fontId="1"/>
  </si>
  <si>
    <t>KTK</t>
    <phoneticPr fontId="1"/>
  </si>
  <si>
    <t>C</t>
    <phoneticPr fontId="1"/>
  </si>
  <si>
    <t>U</t>
    <phoneticPr fontId="1"/>
  </si>
  <si>
    <t>クランの戦旗</t>
    <rPh sb="4" eb="6">
      <t>センキ</t>
    </rPh>
    <phoneticPr fontId="1"/>
  </si>
  <si>
    <t>R</t>
    <phoneticPr fontId="1"/>
  </si>
  <si>
    <t>群の祭壇</t>
  </si>
  <si>
    <t>贈賄者の財布</t>
  </si>
  <si>
    <t>頭蓋書庫</t>
  </si>
  <si>
    <t>タルキールの龍の玉座</t>
  </si>
  <si>
    <t>幽霊火の刃</t>
  </si>
  <si>
    <t>心臓貫きの弓</t>
  </si>
  <si>
    <t>鮮明のレンズ</t>
  </si>
  <si>
    <t>M</t>
    <phoneticPr fontId="1"/>
  </si>
  <si>
    <t>ウギンのきずな</t>
  </si>
  <si>
    <t>星霜の証人</t>
  </si>
  <si>
    <t>BFZ</t>
    <phoneticPr fontId="1"/>
  </si>
  <si>
    <t>板岩の槌</t>
  </si>
  <si>
    <t>巡礼者の目</t>
  </si>
  <si>
    <t>突き抜けの矢</t>
  </si>
  <si>
    <t>面晶体の刃</t>
  </si>
  <si>
    <t>面晶体の記録庫</t>
  </si>
  <si>
    <t>連結面晶体構造</t>
  </si>
  <si>
    <t>ORI</t>
    <phoneticPr fontId="1"/>
  </si>
  <si>
    <t>錬金術師の薬瓶</t>
  </si>
  <si>
    <t>アルハマレットの書庫</t>
  </si>
  <si>
    <t>天使の墳墓</t>
  </si>
  <si>
    <t>結束した構築物</t>
  </si>
  <si>
    <t>喧嘩屋の板金鎧</t>
  </si>
  <si>
    <t>鋳造所の隊長</t>
  </si>
  <si>
    <t>黄金造りの歩哨</t>
  </si>
  <si>
    <t>護衛する自動機械</t>
  </si>
  <si>
    <t>メレティスの守護者</t>
  </si>
  <si>
    <t>搭載歩行機械</t>
  </si>
  <si>
    <t>神々の兜</t>
  </si>
  <si>
    <t>ジェイムデー秘本</t>
  </si>
  <si>
    <t>魔道士輪の対応者</t>
  </si>
  <si>
    <t>隕石</t>
  </si>
  <si>
    <t>護法の宝珠</t>
  </si>
  <si>
    <t>プリズムの指輪</t>
  </si>
  <si>
    <t>破衝車</t>
  </si>
  <si>
    <t>ルーンの苦役者</t>
  </si>
  <si>
    <t>武勇の印章</t>
  </si>
  <si>
    <t>投げナイフ</t>
  </si>
  <si>
    <t>古参兵の予備武装</t>
  </si>
  <si>
    <t>戦の角笛</t>
  </si>
  <si>
    <t>瞬速</t>
    <rPh sb="0" eb="1">
      <t>シュン</t>
    </rPh>
    <rPh sb="1" eb="2">
      <t>ソク</t>
    </rPh>
    <phoneticPr fontId="1"/>
  </si>
  <si>
    <t>OMA</t>
    <phoneticPr fontId="1"/>
  </si>
  <si>
    <t>M3</t>
  </si>
  <si>
    <t>M4</t>
  </si>
  <si>
    <t>M5</t>
  </si>
  <si>
    <t>M10</t>
  </si>
  <si>
    <t>M11</t>
  </si>
  <si>
    <t>M12</t>
  </si>
  <si>
    <t>M13</t>
  </si>
  <si>
    <t>M14</t>
  </si>
  <si>
    <t>M15</t>
  </si>
  <si>
    <t>W</t>
    <phoneticPr fontId="1"/>
  </si>
  <si>
    <t>U</t>
    <phoneticPr fontId="1"/>
  </si>
  <si>
    <t>B</t>
    <phoneticPr fontId="1"/>
  </si>
  <si>
    <t>R</t>
    <phoneticPr fontId="1"/>
  </si>
  <si>
    <t>G</t>
    <phoneticPr fontId="1"/>
  </si>
  <si>
    <t>WUB+A</t>
    <phoneticPr fontId="1"/>
  </si>
  <si>
    <t>UBR+A</t>
    <phoneticPr fontId="1"/>
  </si>
  <si>
    <t>BRG+A</t>
    <phoneticPr fontId="1"/>
  </si>
  <si>
    <t>RGW+A</t>
    <phoneticPr fontId="1"/>
  </si>
  <si>
    <t>GWU+A</t>
    <phoneticPr fontId="1"/>
  </si>
  <si>
    <t>5CAL</t>
    <phoneticPr fontId="1"/>
  </si>
  <si>
    <t>M→</t>
  </si>
  <si>
    <t>M→</t>
    <phoneticPr fontId="1"/>
  </si>
  <si>
    <t>MMC→</t>
  </si>
  <si>
    <t>MMC→</t>
    <phoneticPr fontId="1"/>
  </si>
  <si>
    <t>BL</t>
    <phoneticPr fontId="1"/>
  </si>
  <si>
    <t>上陸</t>
    <rPh sb="0" eb="2">
      <t>ジョウリク</t>
    </rPh>
    <phoneticPr fontId="1"/>
  </si>
  <si>
    <t>狂喜</t>
    <rPh sb="0" eb="2">
      <t>キョウキ</t>
    </rPh>
    <phoneticPr fontId="1"/>
  </si>
  <si>
    <t>発掘</t>
    <rPh sb="0" eb="2">
      <t>ハックツ</t>
    </rPh>
    <phoneticPr fontId="1"/>
  </si>
  <si>
    <t>頑強</t>
    <rPh sb="0" eb="2">
      <t>ガンキョウ</t>
    </rPh>
    <phoneticPr fontId="1"/>
  </si>
  <si>
    <t>変成</t>
    <rPh sb="0" eb="2">
      <t>ヘンセイ</t>
    </rPh>
    <phoneticPr fontId="1"/>
  </si>
  <si>
    <t>刹那</t>
    <rPh sb="0" eb="2">
      <t>セツナ</t>
    </rPh>
    <phoneticPr fontId="1"/>
  </si>
  <si>
    <t>ストーム</t>
    <phoneticPr fontId="1"/>
  </si>
  <si>
    <t>L</t>
  </si>
  <si>
    <t>L</t>
    <phoneticPr fontId="1"/>
  </si>
  <si>
    <t>非情なる飯塚</t>
  </si>
  <si>
    <t>侍の御大将、武野</t>
  </si>
  <si>
    <t>金之尾師範</t>
  </si>
  <si>
    <t>山崎兄弟</t>
  </si>
  <si>
    <t>C</t>
    <phoneticPr fontId="1"/>
  </si>
  <si>
    <t>MoC</t>
  </si>
  <si>
    <t>A&gt;B</t>
    <phoneticPr fontId="1"/>
  </si>
  <si>
    <t>A&gt;C</t>
    <phoneticPr fontId="1"/>
  </si>
  <si>
    <t>A&lt;D</t>
    <phoneticPr fontId="1"/>
  </si>
  <si>
    <t>A&lt;E</t>
    <phoneticPr fontId="1"/>
  </si>
  <si>
    <t>UC</t>
    <phoneticPr fontId="1"/>
  </si>
  <si>
    <t>R</t>
    <phoneticPr fontId="1"/>
  </si>
  <si>
    <t>C:A</t>
    <phoneticPr fontId="1"/>
  </si>
  <si>
    <t>C:Ab</t>
    <phoneticPr fontId="1"/>
  </si>
  <si>
    <t>C:Ac</t>
    <phoneticPr fontId="1"/>
  </si>
  <si>
    <t>C:Ad</t>
    <phoneticPr fontId="1"/>
  </si>
  <si>
    <t>C:Ae</t>
    <phoneticPr fontId="1"/>
  </si>
  <si>
    <t>U:A</t>
    <phoneticPr fontId="1"/>
  </si>
  <si>
    <t>U:Ab</t>
    <phoneticPr fontId="1"/>
  </si>
  <si>
    <t>U:Ac</t>
    <phoneticPr fontId="1"/>
  </si>
  <si>
    <t>U:Ad</t>
    <phoneticPr fontId="1"/>
  </si>
  <si>
    <t>U:Ae</t>
    <phoneticPr fontId="1"/>
  </si>
  <si>
    <t>R:A</t>
    <phoneticPr fontId="1"/>
  </si>
  <si>
    <t>R:Ab</t>
    <phoneticPr fontId="1"/>
  </si>
  <si>
    <t>R:Ac</t>
    <phoneticPr fontId="1"/>
  </si>
  <si>
    <t>R:Ad</t>
    <phoneticPr fontId="1"/>
  </si>
  <si>
    <t>R:Ae</t>
    <phoneticPr fontId="1"/>
  </si>
  <si>
    <t>SOK</t>
  </si>
  <si>
    <t>RAV</t>
  </si>
  <si>
    <t>ALA</t>
  </si>
  <si>
    <t>ZEN</t>
  </si>
  <si>
    <t>THS</t>
  </si>
  <si>
    <t>KTK</t>
  </si>
  <si>
    <t>蘇生</t>
    <rPh sb="0" eb="2">
      <t>ソセイ</t>
    </rPh>
    <phoneticPr fontId="1"/>
  </si>
  <si>
    <t>英雄的</t>
    <rPh sb="0" eb="3">
      <t>エイユウテキ</t>
    </rPh>
    <phoneticPr fontId="1"/>
  </si>
  <si>
    <t>強請</t>
    <rPh sb="0" eb="2">
      <t>ゴウセイ</t>
    </rPh>
    <phoneticPr fontId="1"/>
  </si>
  <si>
    <t>探査</t>
    <rPh sb="0" eb="2">
      <t>タンサ</t>
    </rPh>
    <phoneticPr fontId="1"/>
  </si>
  <si>
    <t>貪食</t>
    <rPh sb="0" eb="2">
      <t>ドンショク</t>
    </rPh>
    <phoneticPr fontId="1"/>
  </si>
  <si>
    <t>復活</t>
    <rPh sb="0" eb="2">
      <t>フッカツ</t>
    </rPh>
    <phoneticPr fontId="1"/>
  </si>
  <si>
    <t>不死</t>
    <rPh sb="0" eb="2">
      <t>フシ</t>
    </rPh>
    <phoneticPr fontId="1"/>
  </si>
  <si>
    <t>想起</t>
    <rPh sb="0" eb="2">
      <t>ソウキ</t>
    </rPh>
    <phoneticPr fontId="1"/>
  </si>
  <si>
    <t>活用</t>
    <rPh sb="0" eb="2">
      <t>カツヨウ</t>
    </rPh>
    <phoneticPr fontId="1"/>
  </si>
  <si>
    <t>陰鬱</t>
    <rPh sb="0" eb="2">
      <t>インウツ</t>
    </rPh>
    <phoneticPr fontId="1"/>
  </si>
  <si>
    <t>憑依</t>
    <rPh sb="0" eb="2">
      <t>ヒョウイ</t>
    </rPh>
    <phoneticPr fontId="1"/>
  </si>
  <si>
    <t>感染</t>
    <rPh sb="0" eb="2">
      <t>カンセン</t>
    </rPh>
    <phoneticPr fontId="1"/>
  </si>
  <si>
    <t>欠色</t>
    <rPh sb="0" eb="1">
      <t>ケッ</t>
    </rPh>
    <rPh sb="1" eb="2">
      <t>ショク</t>
    </rPh>
    <phoneticPr fontId="1"/>
  </si>
  <si>
    <t>嚥下</t>
    <rPh sb="0" eb="2">
      <t>エンゲ</t>
    </rPh>
    <phoneticPr fontId="1"/>
  </si>
  <si>
    <t>覚醒</t>
    <rPh sb="0" eb="2">
      <t>カクセイ</t>
    </rPh>
    <phoneticPr fontId="1"/>
  </si>
  <si>
    <t>結集</t>
    <rPh sb="0" eb="2">
      <t>ケッシュウ</t>
    </rPh>
    <phoneticPr fontId="1"/>
  </si>
  <si>
    <t>怒涛</t>
    <rPh sb="0" eb="2">
      <t>ドトウ</t>
    </rPh>
    <phoneticPr fontId="1"/>
  </si>
  <si>
    <t>盟友</t>
    <rPh sb="0" eb="2">
      <t>メイユウ</t>
    </rPh>
    <phoneticPr fontId="1"/>
  </si>
  <si>
    <t>魔巧</t>
    <rPh sb="0" eb="1">
      <t>マ</t>
    </rPh>
    <rPh sb="1" eb="2">
      <t>コウ</t>
    </rPh>
    <phoneticPr fontId="1"/>
  </si>
  <si>
    <t>高名</t>
    <rPh sb="0" eb="2">
      <t>コウメイ</t>
    </rPh>
    <phoneticPr fontId="1"/>
  </si>
  <si>
    <t>威迫</t>
    <rPh sb="0" eb="2">
      <t>イハク</t>
    </rPh>
    <phoneticPr fontId="1"/>
  </si>
  <si>
    <t>変異</t>
    <rPh sb="0" eb="2">
      <t>ヘンイ</t>
    </rPh>
    <phoneticPr fontId="1"/>
  </si>
  <si>
    <t>予示</t>
    <rPh sb="0" eb="2">
      <t>ヨジ</t>
    </rPh>
    <phoneticPr fontId="1"/>
  </si>
  <si>
    <t>大変異</t>
    <rPh sb="0" eb="1">
      <t>ダイ</t>
    </rPh>
    <rPh sb="1" eb="3">
      <t>ヘンイ</t>
    </rPh>
    <phoneticPr fontId="1"/>
  </si>
  <si>
    <t>長久</t>
    <rPh sb="0" eb="2">
      <t>チョウキュウ</t>
    </rPh>
    <phoneticPr fontId="1"/>
  </si>
  <si>
    <t>強襲</t>
    <rPh sb="0" eb="2">
      <t>キョウシュウ</t>
    </rPh>
    <phoneticPr fontId="1"/>
  </si>
  <si>
    <t>獰猛</t>
    <rPh sb="0" eb="2">
      <t>ドウモウ</t>
    </rPh>
    <phoneticPr fontId="1"/>
  </si>
  <si>
    <t>鼓舞</t>
    <rPh sb="0" eb="2">
      <t>コブ</t>
    </rPh>
    <phoneticPr fontId="1"/>
  </si>
  <si>
    <t>反復</t>
    <rPh sb="0" eb="2">
      <t>ハンプク</t>
    </rPh>
    <phoneticPr fontId="1"/>
  </si>
  <si>
    <t>濫用</t>
    <rPh sb="0" eb="2">
      <t>ランヨウ</t>
    </rPh>
    <phoneticPr fontId="1"/>
  </si>
  <si>
    <t>疾駆</t>
    <rPh sb="0" eb="2">
      <t>シック</t>
    </rPh>
    <phoneticPr fontId="1"/>
  </si>
  <si>
    <t>圧倒</t>
    <rPh sb="0" eb="2">
      <t>アットウ</t>
    </rPh>
    <phoneticPr fontId="1"/>
  </si>
  <si>
    <t>支援</t>
    <rPh sb="0" eb="2">
      <t>シエン</t>
    </rPh>
    <phoneticPr fontId="1"/>
  </si>
  <si>
    <t>怪物的</t>
    <rPh sb="0" eb="3">
      <t>カイブツテキ</t>
    </rPh>
    <phoneticPr fontId="1"/>
  </si>
  <si>
    <t>授与</t>
    <rPh sb="0" eb="2">
      <t>ジュヨ</t>
    </rPh>
    <phoneticPr fontId="1"/>
  </si>
  <si>
    <t>占術</t>
    <rPh sb="0" eb="2">
      <t>センジュツ</t>
    </rPh>
    <phoneticPr fontId="1"/>
  </si>
  <si>
    <t>破壊不能</t>
    <rPh sb="0" eb="2">
      <t>ハカイ</t>
    </rPh>
    <rPh sb="2" eb="4">
      <t>フノウ</t>
    </rPh>
    <phoneticPr fontId="1"/>
  </si>
  <si>
    <t>貢納</t>
    <rPh sb="0" eb="2">
      <t>コウノウ</t>
    </rPh>
    <phoneticPr fontId="1"/>
  </si>
  <si>
    <t>神啓</t>
    <rPh sb="0" eb="1">
      <t>シン</t>
    </rPh>
    <rPh sb="1" eb="2">
      <t>ケイ</t>
    </rPh>
    <phoneticPr fontId="1"/>
  </si>
  <si>
    <t>星座</t>
    <rPh sb="0" eb="2">
      <t>セイザ</t>
    </rPh>
    <phoneticPr fontId="1"/>
  </si>
  <si>
    <t>融合</t>
    <rPh sb="0" eb="2">
      <t>ユウゴウ</t>
    </rPh>
    <phoneticPr fontId="1"/>
  </si>
  <si>
    <t>暗号</t>
    <rPh sb="0" eb="2">
      <t>アンゴウ</t>
    </rPh>
    <phoneticPr fontId="1"/>
  </si>
  <si>
    <t>大隊</t>
    <rPh sb="0" eb="2">
      <t>ダイタイ</t>
    </rPh>
    <phoneticPr fontId="1"/>
  </si>
  <si>
    <t>進化</t>
    <rPh sb="0" eb="2">
      <t>シンカ</t>
    </rPh>
    <phoneticPr fontId="1"/>
  </si>
  <si>
    <t>湧血</t>
    <rPh sb="0" eb="1">
      <t>ユウ</t>
    </rPh>
    <rPh sb="1" eb="2">
      <t>ケツ</t>
    </rPh>
    <phoneticPr fontId="1"/>
  </si>
  <si>
    <t>留置</t>
    <rPh sb="0" eb="2">
      <t>リュウチ</t>
    </rPh>
    <phoneticPr fontId="1"/>
  </si>
  <si>
    <t>超過</t>
    <rPh sb="0" eb="2">
      <t>チョウカ</t>
    </rPh>
    <phoneticPr fontId="1"/>
  </si>
  <si>
    <t>解鎖</t>
    <rPh sb="0" eb="1">
      <t>カイ</t>
    </rPh>
    <rPh sb="1" eb="2">
      <t>サ</t>
    </rPh>
    <phoneticPr fontId="1"/>
  </si>
  <si>
    <t>居住</t>
    <rPh sb="0" eb="2">
      <t>キョジュウ</t>
    </rPh>
    <phoneticPr fontId="1"/>
  </si>
  <si>
    <t>フラッシュバック</t>
    <phoneticPr fontId="1"/>
  </si>
  <si>
    <t>変身</t>
    <rPh sb="0" eb="2">
      <t>ヘンシン</t>
    </rPh>
    <phoneticPr fontId="1"/>
  </si>
  <si>
    <t>窮地</t>
    <rPh sb="0" eb="2">
      <t>キュウチ</t>
    </rPh>
    <phoneticPr fontId="1"/>
  </si>
  <si>
    <t>奇跡</t>
    <rPh sb="0" eb="2">
      <t>キセキ</t>
    </rPh>
    <phoneticPr fontId="1"/>
  </si>
  <si>
    <t>昂揚</t>
    <rPh sb="0" eb="2">
      <t>コウヨウ</t>
    </rPh>
    <phoneticPr fontId="1"/>
  </si>
  <si>
    <t>ODY</t>
  </si>
  <si>
    <t>TOR</t>
  </si>
  <si>
    <t>JUD</t>
  </si>
  <si>
    <t>ONS</t>
  </si>
  <si>
    <t>LGN</t>
  </si>
  <si>
    <t>SCG</t>
  </si>
  <si>
    <t>MRD</t>
  </si>
  <si>
    <t>DST</t>
  </si>
  <si>
    <t>5DN</t>
  </si>
  <si>
    <t>CHK</t>
  </si>
  <si>
    <t>BOK</t>
  </si>
  <si>
    <t>GPT</t>
  </si>
  <si>
    <t>DIS</t>
  </si>
  <si>
    <t>9ED</t>
  </si>
  <si>
    <t>TSP</t>
  </si>
  <si>
    <t>PLC</t>
  </si>
  <si>
    <t>FUT</t>
  </si>
  <si>
    <t>LRW</t>
  </si>
  <si>
    <t>MOR</t>
  </si>
  <si>
    <t>SHM</t>
  </si>
  <si>
    <t>EVE</t>
  </si>
  <si>
    <t>10E</t>
  </si>
  <si>
    <t>CON</t>
  </si>
  <si>
    <t>ARB</t>
  </si>
  <si>
    <t>WWK</t>
  </si>
  <si>
    <t>ROE</t>
  </si>
  <si>
    <t>SOM</t>
  </si>
  <si>
    <t>MBS</t>
  </si>
  <si>
    <t>NPH</t>
  </si>
  <si>
    <t>ISD</t>
  </si>
  <si>
    <t>DKA</t>
  </si>
  <si>
    <t>AVR</t>
  </si>
  <si>
    <t>RTR</t>
  </si>
  <si>
    <t>GTC</t>
  </si>
  <si>
    <t>DRM</t>
  </si>
  <si>
    <t>BNG</t>
  </si>
  <si>
    <t>JOU</t>
  </si>
  <si>
    <t>FRF</t>
  </si>
  <si>
    <t>DTK</t>
  </si>
  <si>
    <t>ORI</t>
  </si>
  <si>
    <t>BFZ</t>
  </si>
  <si>
    <t>OGW</t>
  </si>
  <si>
    <t>SOI</t>
  </si>
  <si>
    <t>EMN</t>
  </si>
  <si>
    <t>CSP</t>
  </si>
  <si>
    <t>06/07.</t>
    <phoneticPr fontId="1"/>
  </si>
  <si>
    <t>05/07.</t>
    <phoneticPr fontId="1"/>
  </si>
  <si>
    <t>8ED</t>
    <phoneticPr fontId="1"/>
  </si>
  <si>
    <t>4ED</t>
  </si>
  <si>
    <t>5ED</t>
  </si>
  <si>
    <t>6ED</t>
  </si>
  <si>
    <t>7ED</t>
  </si>
  <si>
    <t>CHR</t>
    <phoneticPr fontId="1"/>
  </si>
  <si>
    <t>97/03.</t>
    <phoneticPr fontId="1"/>
  </si>
  <si>
    <t>95/09.</t>
    <phoneticPr fontId="1"/>
  </si>
  <si>
    <t>99/04.</t>
    <phoneticPr fontId="1"/>
  </si>
  <si>
    <t>01/04.</t>
    <phoneticPr fontId="1"/>
  </si>
  <si>
    <t>03/07.</t>
    <phoneticPr fontId="1"/>
  </si>
  <si>
    <t>95/04.</t>
    <phoneticPr fontId="1"/>
  </si>
  <si>
    <t>2ED</t>
  </si>
  <si>
    <t>3ED</t>
  </si>
  <si>
    <t>94/04.</t>
    <phoneticPr fontId="1"/>
  </si>
  <si>
    <t>93/11.</t>
    <phoneticPr fontId="1"/>
  </si>
  <si>
    <t>LEB</t>
    <phoneticPr fontId="1"/>
  </si>
  <si>
    <t>93/10.</t>
    <phoneticPr fontId="1"/>
  </si>
  <si>
    <t>LEA</t>
    <phoneticPr fontId="1"/>
  </si>
  <si>
    <t>93/08.</t>
    <phoneticPr fontId="1"/>
  </si>
  <si>
    <t>07/07.</t>
    <phoneticPr fontId="1"/>
  </si>
  <si>
    <t>09/07.</t>
    <phoneticPr fontId="1"/>
  </si>
  <si>
    <t>10/07.</t>
    <phoneticPr fontId="1"/>
  </si>
  <si>
    <t>11/07.</t>
    <phoneticPr fontId="1"/>
  </si>
  <si>
    <t>12/07.</t>
    <phoneticPr fontId="1"/>
  </si>
  <si>
    <t>13/07.</t>
    <phoneticPr fontId="1"/>
  </si>
  <si>
    <t>14/07.</t>
    <phoneticPr fontId="1"/>
  </si>
  <si>
    <t>15/07.</t>
    <phoneticPr fontId="1"/>
  </si>
  <si>
    <t>ARN</t>
    <phoneticPr fontId="1"/>
  </si>
  <si>
    <t>93/12.</t>
    <phoneticPr fontId="1"/>
  </si>
  <si>
    <t>ATQ</t>
    <phoneticPr fontId="1"/>
  </si>
  <si>
    <t>94/03.</t>
    <phoneticPr fontId="1"/>
  </si>
  <si>
    <t>LEG</t>
    <phoneticPr fontId="1"/>
  </si>
  <si>
    <t>94/06.</t>
    <phoneticPr fontId="1"/>
  </si>
  <si>
    <t>DRK</t>
    <phoneticPr fontId="1"/>
  </si>
  <si>
    <t>94/08.</t>
    <phoneticPr fontId="1"/>
  </si>
  <si>
    <t>FEM</t>
    <phoneticPr fontId="1"/>
  </si>
  <si>
    <t>94/11.</t>
    <phoneticPr fontId="1"/>
  </si>
  <si>
    <t>HML</t>
    <phoneticPr fontId="1"/>
  </si>
  <si>
    <t>95/10.</t>
    <phoneticPr fontId="1"/>
  </si>
  <si>
    <t>ICE</t>
    <phoneticPr fontId="1"/>
  </si>
  <si>
    <t>95/06.</t>
    <phoneticPr fontId="1"/>
  </si>
  <si>
    <t>ALL</t>
    <phoneticPr fontId="1"/>
  </si>
  <si>
    <t>96/06.</t>
    <phoneticPr fontId="1"/>
  </si>
  <si>
    <t>MIR</t>
    <phoneticPr fontId="1"/>
  </si>
  <si>
    <t>96/10.</t>
    <phoneticPr fontId="1"/>
  </si>
  <si>
    <t>VIS</t>
    <phoneticPr fontId="1"/>
  </si>
  <si>
    <t>97/02.</t>
    <phoneticPr fontId="1"/>
  </si>
  <si>
    <t>WTH</t>
    <phoneticPr fontId="1"/>
  </si>
  <si>
    <t>97/06.</t>
    <phoneticPr fontId="1"/>
  </si>
  <si>
    <t>TMP</t>
    <phoneticPr fontId="1"/>
  </si>
  <si>
    <t>97/10.</t>
    <phoneticPr fontId="1"/>
  </si>
  <si>
    <t>STH</t>
    <phoneticPr fontId="1"/>
  </si>
  <si>
    <t>98/02.</t>
    <phoneticPr fontId="1"/>
  </si>
  <si>
    <t>EXO</t>
    <phoneticPr fontId="1"/>
  </si>
  <si>
    <t>98/06.</t>
    <phoneticPr fontId="1"/>
  </si>
  <si>
    <t>USG</t>
    <phoneticPr fontId="1"/>
  </si>
  <si>
    <t>98/10.</t>
    <phoneticPr fontId="1"/>
  </si>
  <si>
    <t>ULG</t>
    <phoneticPr fontId="1"/>
  </si>
  <si>
    <t>99/02.</t>
    <phoneticPr fontId="1"/>
  </si>
  <si>
    <t>UDS</t>
    <phoneticPr fontId="1"/>
  </si>
  <si>
    <t>99/06.</t>
    <phoneticPr fontId="1"/>
  </si>
  <si>
    <t>MMQ</t>
    <phoneticPr fontId="1"/>
  </si>
  <si>
    <t>99/10.</t>
    <phoneticPr fontId="1"/>
  </si>
  <si>
    <t>NEM</t>
    <phoneticPr fontId="1"/>
  </si>
  <si>
    <t>00/02.</t>
    <phoneticPr fontId="1"/>
  </si>
  <si>
    <t>PCY</t>
    <phoneticPr fontId="1"/>
  </si>
  <si>
    <t>00/06.</t>
    <phoneticPr fontId="1"/>
  </si>
  <si>
    <t>INV</t>
    <phoneticPr fontId="1"/>
  </si>
  <si>
    <t>00/10.</t>
    <phoneticPr fontId="1"/>
  </si>
  <si>
    <t>PLS</t>
    <phoneticPr fontId="1"/>
  </si>
  <si>
    <t>01/02.</t>
    <phoneticPr fontId="1"/>
  </si>
  <si>
    <t>APC</t>
    <phoneticPr fontId="1"/>
  </si>
  <si>
    <t>01/06.</t>
    <phoneticPr fontId="1"/>
  </si>
  <si>
    <t>01/10.</t>
    <phoneticPr fontId="1"/>
  </si>
  <si>
    <t>02/01.</t>
    <phoneticPr fontId="1"/>
  </si>
  <si>
    <t>02/05.</t>
    <phoneticPr fontId="1"/>
  </si>
  <si>
    <t>02/10.</t>
    <phoneticPr fontId="1"/>
  </si>
  <si>
    <t>03/02.</t>
    <phoneticPr fontId="1"/>
  </si>
  <si>
    <t>03/05.</t>
    <phoneticPr fontId="1"/>
  </si>
  <si>
    <t>03/10.</t>
    <phoneticPr fontId="1"/>
  </si>
  <si>
    <t>04/02.</t>
    <phoneticPr fontId="1"/>
  </si>
  <si>
    <t>04/06.</t>
    <phoneticPr fontId="1"/>
  </si>
  <si>
    <t>04/10.</t>
    <phoneticPr fontId="1"/>
  </si>
  <si>
    <t>05/02.</t>
    <phoneticPr fontId="1"/>
  </si>
  <si>
    <t>05/06.</t>
    <phoneticPr fontId="1"/>
  </si>
  <si>
    <t>05/10.</t>
    <phoneticPr fontId="1"/>
  </si>
  <si>
    <t>06/02.</t>
    <phoneticPr fontId="1"/>
  </si>
  <si>
    <t>06/05.</t>
    <phoneticPr fontId="1"/>
  </si>
  <si>
    <t>06/10.</t>
    <phoneticPr fontId="1"/>
  </si>
  <si>
    <t>07/02.</t>
    <phoneticPr fontId="1"/>
  </si>
  <si>
    <t>07/05.</t>
    <phoneticPr fontId="1"/>
  </si>
  <si>
    <t>07/10.</t>
    <phoneticPr fontId="1"/>
  </si>
  <si>
    <t>08/02.</t>
    <phoneticPr fontId="1"/>
  </si>
  <si>
    <t>08/05.</t>
    <phoneticPr fontId="1"/>
  </si>
  <si>
    <t>08/07.</t>
    <phoneticPr fontId="1"/>
  </si>
  <si>
    <t>08/10.</t>
    <phoneticPr fontId="1"/>
  </si>
  <si>
    <t>09/02.</t>
    <phoneticPr fontId="1"/>
  </si>
  <si>
    <t>09/04.</t>
    <phoneticPr fontId="1"/>
  </si>
  <si>
    <t>09/10.</t>
    <phoneticPr fontId="1"/>
  </si>
  <si>
    <t>10/02.</t>
    <phoneticPr fontId="1"/>
  </si>
  <si>
    <t>10/04.</t>
    <phoneticPr fontId="1"/>
  </si>
  <si>
    <t>10/10.</t>
    <phoneticPr fontId="1"/>
  </si>
  <si>
    <t>11/02.</t>
    <phoneticPr fontId="1"/>
  </si>
  <si>
    <t>11/05.</t>
    <phoneticPr fontId="1"/>
  </si>
  <si>
    <t>11/09.</t>
    <phoneticPr fontId="1"/>
  </si>
  <si>
    <t>12/02.</t>
    <phoneticPr fontId="1"/>
  </si>
  <si>
    <t>12/05.</t>
    <phoneticPr fontId="1"/>
  </si>
  <si>
    <t>12/10.</t>
    <phoneticPr fontId="1"/>
  </si>
  <si>
    <t>13/02.</t>
    <phoneticPr fontId="1"/>
  </si>
  <si>
    <t>13/05.</t>
    <phoneticPr fontId="1"/>
  </si>
  <si>
    <t>13/09.</t>
    <phoneticPr fontId="1"/>
  </si>
  <si>
    <t>14/02.</t>
    <phoneticPr fontId="1"/>
  </si>
  <si>
    <t>14/05.</t>
    <phoneticPr fontId="1"/>
  </si>
  <si>
    <t>14/09.</t>
    <phoneticPr fontId="1"/>
  </si>
  <si>
    <t>15/01.</t>
    <phoneticPr fontId="1"/>
  </si>
  <si>
    <t>15/03.</t>
    <phoneticPr fontId="1"/>
  </si>
  <si>
    <t>15/10.</t>
    <phoneticPr fontId="1"/>
  </si>
  <si>
    <t>16/01.</t>
    <phoneticPr fontId="1"/>
  </si>
  <si>
    <t>16/04.</t>
    <phoneticPr fontId="1"/>
  </si>
  <si>
    <t>16/07.</t>
    <phoneticPr fontId="1"/>
  </si>
  <si>
    <t>ava</t>
    <phoneticPr fontId="1"/>
  </si>
  <si>
    <t>sorin</t>
    <phoneticPr fontId="1"/>
  </si>
  <si>
    <t>arin</t>
    <phoneticPr fontId="1"/>
  </si>
  <si>
    <t>zonbi</t>
    <phoneticPr fontId="1"/>
  </si>
  <si>
    <t>seisin</t>
    <phoneticPr fontId="1"/>
  </si>
  <si>
    <t>gelalf</t>
    <phoneticPr fontId="1"/>
  </si>
  <si>
    <t>W</t>
    <phoneticPr fontId="1"/>
  </si>
  <si>
    <t>W</t>
    <phoneticPr fontId="1"/>
  </si>
  <si>
    <t>U</t>
    <phoneticPr fontId="1"/>
  </si>
  <si>
    <t>B</t>
    <phoneticPr fontId="1"/>
  </si>
  <si>
    <t>R</t>
    <phoneticPr fontId="1"/>
  </si>
  <si>
    <t>G</t>
    <phoneticPr fontId="1"/>
  </si>
  <si>
    <t>ava</t>
    <phoneticPr fontId="1"/>
  </si>
  <si>
    <t>kori</t>
    <phoneticPr fontId="1"/>
  </si>
  <si>
    <t>Go</t>
    <phoneticPr fontId="1"/>
  </si>
  <si>
    <t>arin</t>
    <phoneticPr fontId="1"/>
  </si>
  <si>
    <t>M</t>
    <phoneticPr fontId="1"/>
  </si>
  <si>
    <t>kiri</t>
    <phoneticPr fontId="1"/>
  </si>
  <si>
    <t>月の帳のドラゴン</t>
  </si>
  <si>
    <t>ヘイヴングルの死者</t>
  </si>
  <si>
    <t>ファルケンラスの貴族</t>
  </si>
  <si>
    <t>意志の詐欺師</t>
  </si>
  <si>
    <t>ドラゴスコルの肉裂き</t>
  </si>
  <si>
    <t>イニストラードの君主、ソリン</t>
  </si>
  <si>
    <t>高原の狩りの達人/高原の荒廃者</t>
  </si>
  <si>
    <t>食百足</t>
    <phoneticPr fontId="1"/>
  </si>
  <si>
    <t>不浄なる者、ミケウス</t>
  </si>
  <si>
    <t>大天使の光</t>
  </si>
  <si>
    <t>束縛の刃、エルブラス/解き放たれたヴィゼンガー</t>
  </si>
  <si>
    <t>束縛の刃、エルブラス/解き放たれたヴィゼンガー</t>
    <phoneticPr fontId="1"/>
  </si>
  <si>
    <t>獄庫</t>
  </si>
  <si>
    <t>生の杯　(3)　Ｕ</t>
  </si>
  <si>
    <t>狼に噛まれた囚人 (G)　Ｒ</t>
  </si>
  <si>
    <t>軽蔑された村人 (1)(G)　Ｃ</t>
  </si>
  <si>
    <t>ラムホルトの古老 (2)(G) Ｕ</t>
  </si>
  <si>
    <t>苦悩の脱走者 (3)(R)　Ｕ</t>
  </si>
  <si>
    <t>内陸の隠遁者 (1)(R)　Ｃ</t>
  </si>
  <si>
    <t>モンドロネンのシャーマン (3)(R)　Ｒ</t>
  </si>
  <si>
    <t xml:space="preserve"> マルコフに選ばれし者 (2)(B)　Ｃ</t>
  </si>
  <si>
    <t>貪欲なる悪魔 (3)(B)(B)　Ｒ</t>
  </si>
  <si>
    <t>魂を捕らえるもの (3)(U)(U) Ｕ</t>
  </si>
  <si>
    <t>忠実な聖戦士 (W)(W)　Ｃ</t>
  </si>
  <si>
    <t>礼儀正しい識者 (2)(U)　Ｕ</t>
  </si>
  <si>
    <t>天使の監視者</t>
  </si>
  <si>
    <t>修道院の若者 (1)(W)　Ｕ</t>
  </si>
  <si>
    <t>月皇ミケウス</t>
  </si>
  <si>
    <t>スレイベンの歩哨 (3)(W)　Ｃ</t>
  </si>
  <si>
    <t>秘密を掘り下げる者 (U)　Ｃ</t>
  </si>
  <si>
    <t>ルーデヴィックの実験材料　(1)(U)　Ｒ</t>
  </si>
  <si>
    <t>鏡狂の幻</t>
  </si>
  <si>
    <t>スカーブの殲滅者</t>
  </si>
  <si>
    <t>忌むべき者の軍団</t>
    <phoneticPr fontId="1"/>
  </si>
  <si>
    <t>血統の守り手 (2)(B)(B)　Ｒ</t>
  </si>
  <si>
    <t>ヴェールのリリアナ</t>
  </si>
  <si>
    <t>深淵からの魂刈り</t>
  </si>
  <si>
    <t>金切り声のコウモリ　(2)(B)　Ｕ</t>
  </si>
  <si>
    <t>災火のドラゴン</t>
  </si>
  <si>
    <t>ハンウィアーの砦守り (2)(R) Ｕ</t>
  </si>
  <si>
    <t>煽動する集団 (3)(R)　Ｒ</t>
  </si>
  <si>
    <t>クルーインの無法者 (1)(R)(R)　Ｒ</t>
  </si>
  <si>
    <t>炎の中の過去</t>
  </si>
  <si>
    <t>無謀な浮浪者 (R)　Ｕ</t>
  </si>
  <si>
    <t>苛まれし最下層民 (3)(R)　Ｃ</t>
  </si>
  <si>
    <t>村の鉄鍛冶 (1)(R)　Ｃ</t>
  </si>
  <si>
    <t>夜明けのレインジャー　(2)(G)　Ｒ</t>
  </si>
  <si>
    <t>荒れ野の本質</t>
  </si>
  <si>
    <t>情け知らずのガラク</t>
  </si>
  <si>
    <t>ガツタフの羊飼い (1)(G)　Ｕ</t>
  </si>
  <si>
    <t>灰毛ののけ者 (4)(G)　Ｃ</t>
  </si>
  <si>
    <t>アヴァブルックの町長 (1)(G)　Ｒ</t>
  </si>
  <si>
    <t>ウルヴェンワルドの神秘家 (2)(G)(G)　Ｕ</t>
  </si>
  <si>
    <t>エストワルドの村人 (2)(G)　Ｃ</t>
  </si>
  <si>
    <t>聖トラフトの霊</t>
  </si>
  <si>
    <t>死体生まれのグリムグリン</t>
  </si>
  <si>
    <t>オリヴィア・ヴォルダーレン</t>
  </si>
  <si>
    <t>死者の呪文書</t>
  </si>
  <si>
    <t>解放の樹</t>
  </si>
  <si>
    <t>潜伏</t>
    <rPh sb="0" eb="2">
      <t>センプク</t>
    </rPh>
    <phoneticPr fontId="1"/>
  </si>
  <si>
    <t>sosari</t>
  </si>
  <si>
    <t>sosari</t>
    <phoneticPr fontId="1"/>
  </si>
  <si>
    <t>M</t>
    <phoneticPr fontId="1"/>
  </si>
  <si>
    <t>akaeremen</t>
    <phoneticPr fontId="1"/>
  </si>
  <si>
    <t>nahiri</t>
    <phoneticPr fontId="1"/>
  </si>
  <si>
    <t>GWU</t>
    <phoneticPr fontId="1"/>
  </si>
  <si>
    <t>WUB</t>
    <phoneticPr fontId="1"/>
  </si>
  <si>
    <t>RGW</t>
    <phoneticPr fontId="1"/>
  </si>
  <si>
    <t>金属術</t>
    <rPh sb="0" eb="2">
      <t>キンゾク</t>
    </rPh>
    <rPh sb="2" eb="3">
      <t>ジュツ</t>
    </rPh>
    <phoneticPr fontId="1"/>
  </si>
  <si>
    <t>増殖</t>
    <rPh sb="0" eb="2">
      <t>ゾウショク</t>
    </rPh>
    <phoneticPr fontId="1"/>
  </si>
  <si>
    <t>暴勇</t>
    <rPh sb="0" eb="2">
      <t>ボウユウ</t>
    </rPh>
    <phoneticPr fontId="1"/>
  </si>
  <si>
    <t>ookami</t>
    <phoneticPr fontId="1"/>
  </si>
  <si>
    <t>L</t>
    <phoneticPr fontId="1"/>
  </si>
  <si>
    <t>land</t>
    <phoneticPr fontId="1"/>
  </si>
  <si>
    <t>jace</t>
    <phoneticPr fontId="1"/>
  </si>
  <si>
    <t>tuiho</t>
    <phoneticPr fontId="1"/>
  </si>
  <si>
    <t>orivia</t>
    <phoneticPr fontId="1"/>
  </si>
  <si>
    <t>shigalda</t>
    <phoneticPr fontId="1"/>
  </si>
  <si>
    <t>W</t>
    <phoneticPr fontId="1"/>
  </si>
  <si>
    <t>W</t>
    <phoneticPr fontId="1"/>
  </si>
  <si>
    <t>U</t>
    <phoneticPr fontId="1"/>
  </si>
  <si>
    <t>B</t>
    <phoneticPr fontId="1"/>
  </si>
  <si>
    <t>R</t>
    <phoneticPr fontId="1"/>
  </si>
  <si>
    <t>GW</t>
    <phoneticPr fontId="1"/>
  </si>
  <si>
    <t>BR</t>
    <phoneticPr fontId="1"/>
  </si>
  <si>
    <t>RW</t>
    <phoneticPr fontId="1"/>
  </si>
  <si>
    <t>WB</t>
    <phoneticPr fontId="1"/>
  </si>
  <si>
    <t>RG</t>
    <phoneticPr fontId="1"/>
  </si>
  <si>
    <t>WU</t>
    <phoneticPr fontId="1"/>
  </si>
  <si>
    <t>G</t>
    <phoneticPr fontId="1"/>
  </si>
  <si>
    <t>sa-chi</t>
    <phoneticPr fontId="1"/>
  </si>
  <si>
    <t>収穫の手　(3)　Ｕ</t>
  </si>
  <si>
    <t>忘れられていた家宝　(1)　Ｕ</t>
  </si>
  <si>
    <t>スレイベンのガーゴイル　(1)　Ｕ</t>
  </si>
  <si>
    <t>ウェストヴェイルの修道院　Ｒ</t>
  </si>
  <si>
    <t>アーリン・コード　(2)(R)(G)　Ｍ</t>
  </si>
  <si>
    <t>秋の憂鬱　(2)(G)　Ｕ</t>
  </si>
  <si>
    <t>薄暮見の徴募兵　(1)(G)　Ｕ</t>
  </si>
  <si>
    <t>ナッターノールズの隠遁者　(2)(G)　Ｕ</t>
  </si>
  <si>
    <t>内陸の木こり　(1)(G)　Ｃ</t>
  </si>
  <si>
    <t>ラムホルトの平和主義者　(1)(G)　Ｕ</t>
  </si>
  <si>
    <t>古き知恵の賢者　(4)(G)　Ｒ</t>
  </si>
  <si>
    <t>孤独な狩人　(3)(G)　Ｃ</t>
  </si>
  <si>
    <t>首折れ道の乗り手　(1)(R)(R)　Ｕ</t>
  </si>
  <si>
    <t>既決殺人犯　(2)(R)　Ｃ</t>
  </si>
  <si>
    <t>ガツタフの放火魔　(4)(R)　Ｃ</t>
  </si>
  <si>
    <t>ガイアー岬の山賊　(2)(R)　Ｒ</t>
  </si>
  <si>
    <t>ケッシグの鍛冶場主　(1)(R)　Ｕ</t>
  </si>
  <si>
    <t>皮膚への浸入　(R)　Ｕ</t>
  </si>
  <si>
    <t>村の伝書使　(R)　Ｕ</t>
  </si>
  <si>
    <t>呪われた魔女　(3)(B)　Ｕ</t>
  </si>
  <si>
    <t>神出鬼没な拷問者　(2)(B)(B)　Ｒ</t>
  </si>
  <si>
    <t>ファルケンラスの後継者　(1)(B)　Ｕ</t>
  </si>
  <si>
    <t>親切な余所者　(2)(B)　Ｕ</t>
  </si>
  <si>
    <t>逸脱した研究者　(3)(U)　Ｕ</t>
  </si>
  <si>
    <t>果敢な捜索者　(1)(U)　Ｕ</t>
  </si>
  <si>
    <t>驚恐の目覚め　(2)(U)(U)　Ｍ</t>
  </si>
  <si>
    <t>氷の中の存在　(1)(U)　Ｒ</t>
  </si>
  <si>
    <t>招かれざる霊　(2)(U)　Ｕ</t>
  </si>
  <si>
    <t>大天使アヴァシン　(3)(W)(W)　Ｍ</t>
  </si>
  <si>
    <t>アヴァシン教の宣教師　(3)(W)　Ｕ</t>
  </si>
  <si>
    <t>ハンウィアーの民兵隊長　(1)(W)　Ｒ</t>
  </si>
  <si>
    <t>敬虔な福音者　(2)(W)　Ｕ</t>
  </si>
  <si>
    <t>町のゴシップ屋　(W)　Ｕ</t>
  </si>
  <si>
    <t>C</t>
    <phoneticPr fontId="1"/>
  </si>
  <si>
    <t>U</t>
    <phoneticPr fontId="1"/>
  </si>
  <si>
    <t>トランプル</t>
    <phoneticPr fontId="1"/>
  </si>
  <si>
    <t>先制攻撃</t>
    <rPh sb="0" eb="2">
      <t>センセイ</t>
    </rPh>
    <rPh sb="2" eb="4">
      <t>コウゲキ</t>
    </rPh>
    <phoneticPr fontId="1"/>
  </si>
  <si>
    <t>二段攻撃</t>
    <rPh sb="0" eb="2">
      <t>ニダン</t>
    </rPh>
    <rPh sb="2" eb="4">
      <t>コウゲキ</t>
    </rPh>
    <phoneticPr fontId="1"/>
  </si>
  <si>
    <t>呪禁</t>
    <rPh sb="0" eb="1">
      <t>ジュ</t>
    </rPh>
    <rPh sb="1" eb="2">
      <t>キン</t>
    </rPh>
    <phoneticPr fontId="1"/>
  </si>
  <si>
    <t>被覆</t>
    <rPh sb="0" eb="2">
      <t>ヒフク</t>
    </rPh>
    <phoneticPr fontId="1"/>
  </si>
  <si>
    <t>畏怖</t>
    <rPh sb="0" eb="2">
      <t>イフ</t>
    </rPh>
    <phoneticPr fontId="1"/>
  </si>
  <si>
    <t>威嚇</t>
    <rPh sb="0" eb="2">
      <t>イカク</t>
    </rPh>
    <phoneticPr fontId="1"/>
  </si>
  <si>
    <t>プロテクション</t>
    <phoneticPr fontId="1"/>
  </si>
  <si>
    <t>累加アップキープ</t>
    <rPh sb="0" eb="2">
      <t>ルイカ</t>
    </rPh>
    <phoneticPr fontId="1"/>
  </si>
  <si>
    <t>側面攻撃</t>
    <rPh sb="0" eb="2">
      <t>ソクメン</t>
    </rPh>
    <rPh sb="2" eb="4">
      <t>コウゲキ</t>
    </rPh>
    <phoneticPr fontId="1"/>
  </si>
  <si>
    <t>バイバック</t>
  </si>
  <si>
    <t>バンド</t>
    <phoneticPr fontId="1"/>
  </si>
  <si>
    <t>ランページ</t>
    <phoneticPr fontId="1"/>
  </si>
  <si>
    <t>シャドー</t>
    <phoneticPr fontId="1"/>
  </si>
  <si>
    <t>フェイジング</t>
    <phoneticPr fontId="1"/>
  </si>
  <si>
    <t>エコー</t>
    <phoneticPr fontId="1"/>
  </si>
  <si>
    <t>サイクリング</t>
    <phoneticPr fontId="1"/>
  </si>
  <si>
    <t>消散</t>
    <rPh sb="0" eb="2">
      <t>ショウサン</t>
    </rPh>
    <phoneticPr fontId="1"/>
  </si>
  <si>
    <t>キッカー</t>
    <phoneticPr fontId="1"/>
  </si>
  <si>
    <t>スレッショルド</t>
    <phoneticPr fontId="1"/>
  </si>
  <si>
    <t>マッドネス</t>
    <phoneticPr fontId="1"/>
  </si>
  <si>
    <t>増幅</t>
    <rPh sb="0" eb="2">
      <t>ゾウフク</t>
    </rPh>
    <phoneticPr fontId="1"/>
  </si>
  <si>
    <t>挑発</t>
    <rPh sb="0" eb="2">
      <t>チョウハツ</t>
    </rPh>
    <phoneticPr fontId="1"/>
  </si>
  <si>
    <t>土地サイクリング</t>
    <rPh sb="0" eb="2">
      <t>トチ</t>
    </rPh>
    <phoneticPr fontId="1"/>
  </si>
  <si>
    <t>親和</t>
    <rPh sb="0" eb="2">
      <t>シンワ</t>
    </rPh>
    <phoneticPr fontId="1"/>
  </si>
  <si>
    <t>双呪</t>
    <rPh sb="0" eb="1">
      <t>ソウ</t>
    </rPh>
    <rPh sb="1" eb="2">
      <t>ジュ</t>
    </rPh>
    <phoneticPr fontId="1"/>
  </si>
  <si>
    <t>装備</t>
    <rPh sb="0" eb="2">
      <t>ソウビ</t>
    </rPh>
    <phoneticPr fontId="1"/>
  </si>
  <si>
    <t>刻印</t>
    <rPh sb="0" eb="2">
      <t>コクイン</t>
    </rPh>
    <phoneticPr fontId="1"/>
  </si>
  <si>
    <t>接合</t>
    <rPh sb="0" eb="2">
      <t>セツゴウ</t>
    </rPh>
    <phoneticPr fontId="1"/>
  </si>
  <si>
    <t>烈日</t>
    <rPh sb="0" eb="2">
      <t>レツジツ</t>
    </rPh>
    <phoneticPr fontId="1"/>
  </si>
  <si>
    <t>防衛</t>
    <rPh sb="0" eb="2">
      <t>ボウエイ</t>
    </rPh>
    <phoneticPr fontId="1"/>
  </si>
  <si>
    <t>秘儀</t>
    <rPh sb="0" eb="2">
      <t>ヒギ</t>
    </rPh>
    <phoneticPr fontId="1"/>
  </si>
  <si>
    <t>武士道</t>
    <rPh sb="0" eb="3">
      <t>ブシドウ</t>
    </rPh>
    <phoneticPr fontId="1"/>
  </si>
  <si>
    <t>転生</t>
    <rPh sb="0" eb="2">
      <t>テンセイ</t>
    </rPh>
    <phoneticPr fontId="1"/>
  </si>
  <si>
    <t>連繋</t>
    <rPh sb="0" eb="2">
      <t>レンケイ</t>
    </rPh>
    <phoneticPr fontId="1"/>
  </si>
  <si>
    <t>忍術</t>
    <rPh sb="0" eb="2">
      <t>ニンジュツ</t>
    </rPh>
    <phoneticPr fontId="1"/>
  </si>
  <si>
    <t>反転する</t>
    <rPh sb="0" eb="2">
      <t>ハンテン</t>
    </rPh>
    <phoneticPr fontId="1"/>
  </si>
  <si>
    <t>再生する</t>
    <rPh sb="0" eb="2">
      <t>サイセイ</t>
    </rPh>
    <phoneticPr fontId="1"/>
  </si>
  <si>
    <t>献身</t>
    <rPh sb="0" eb="2">
      <t>ケンシン</t>
    </rPh>
    <phoneticPr fontId="1"/>
  </si>
  <si>
    <t>歴伝</t>
    <rPh sb="0" eb="1">
      <t>レキ</t>
    </rPh>
    <rPh sb="1" eb="2">
      <t>デン</t>
    </rPh>
    <phoneticPr fontId="1"/>
  </si>
  <si>
    <t>魂力</t>
    <rPh sb="0" eb="1">
      <t>コン</t>
    </rPh>
    <rPh sb="1" eb="2">
      <t>リキ</t>
    </rPh>
    <phoneticPr fontId="1"/>
  </si>
  <si>
    <t>掃引</t>
    <rPh sb="0" eb="2">
      <t>ソウイン</t>
    </rPh>
    <phoneticPr fontId="1"/>
  </si>
  <si>
    <t>光輝</t>
    <rPh sb="0" eb="2">
      <t>コウキ</t>
    </rPh>
    <phoneticPr fontId="1"/>
  </si>
  <si>
    <t>召集</t>
    <rPh sb="0" eb="2">
      <t>ショウシュウ</t>
    </rPh>
    <phoneticPr fontId="1"/>
  </si>
  <si>
    <t>複製</t>
    <rPh sb="0" eb="2">
      <t>フクセイ</t>
    </rPh>
    <phoneticPr fontId="1"/>
  </si>
  <si>
    <t>予見</t>
    <rPh sb="0" eb="2">
      <t>ヨケン</t>
    </rPh>
    <phoneticPr fontId="1"/>
  </si>
  <si>
    <t>移植</t>
    <rPh sb="0" eb="2">
      <t>イショク</t>
    </rPh>
    <phoneticPr fontId="1"/>
  </si>
  <si>
    <t>波及</t>
    <rPh sb="0" eb="2">
      <t>ハキュウ</t>
    </rPh>
    <phoneticPr fontId="1"/>
  </si>
  <si>
    <t>待機</t>
    <rPh sb="0" eb="2">
      <t>タイキ</t>
    </rPh>
    <phoneticPr fontId="1"/>
  </si>
  <si>
    <t>消失</t>
    <rPh sb="0" eb="2">
      <t>ショウシツ</t>
    </rPh>
    <phoneticPr fontId="1"/>
  </si>
  <si>
    <t>オーラ交換</t>
    <rPh sb="3" eb="5">
      <t>コウカン</t>
    </rPh>
    <phoneticPr fontId="1"/>
  </si>
  <si>
    <t>消術</t>
    <rPh sb="0" eb="1">
      <t>キ</t>
    </rPh>
    <rPh sb="1" eb="2">
      <t>ジュツ</t>
    </rPh>
    <phoneticPr fontId="1"/>
  </si>
  <si>
    <t>激情</t>
    <rPh sb="0" eb="2">
      <t>ゲキジョウ</t>
    </rPh>
    <phoneticPr fontId="1"/>
  </si>
  <si>
    <t>吸収</t>
    <rPh sb="0" eb="2">
      <t>キュウシュウ</t>
    </rPh>
    <phoneticPr fontId="1"/>
  </si>
  <si>
    <t>墓地ストーム</t>
    <rPh sb="0" eb="2">
      <t>ボチ</t>
    </rPh>
    <phoneticPr fontId="1"/>
  </si>
  <si>
    <t>壮大</t>
    <rPh sb="0" eb="2">
      <t>ソウダイ</t>
    </rPh>
    <phoneticPr fontId="1"/>
  </si>
  <si>
    <t>有毒</t>
    <rPh sb="0" eb="2">
      <t>ユウドク</t>
    </rPh>
    <phoneticPr fontId="1"/>
  </si>
  <si>
    <t>変形</t>
    <rPh sb="0" eb="2">
      <t>ヘンケイ</t>
    </rPh>
    <phoneticPr fontId="1"/>
  </si>
  <si>
    <t>城砦化</t>
    <rPh sb="0" eb="2">
      <t>ジョウサイ</t>
    </rPh>
    <rPh sb="2" eb="3">
      <t>カ</t>
    </rPh>
    <phoneticPr fontId="1"/>
  </si>
  <si>
    <t>到達</t>
    <rPh sb="0" eb="2">
      <t>トウタツ</t>
    </rPh>
    <phoneticPr fontId="1"/>
  </si>
  <si>
    <t>多相</t>
    <rPh sb="0" eb="2">
      <t>タソウ</t>
    </rPh>
    <phoneticPr fontId="1"/>
  </si>
  <si>
    <t>激突</t>
    <rPh sb="0" eb="2">
      <t>ゲキトツ</t>
    </rPh>
    <phoneticPr fontId="1"/>
  </si>
  <si>
    <t>覇権</t>
    <rPh sb="0" eb="2">
      <t>ハケン</t>
    </rPh>
    <phoneticPr fontId="1"/>
  </si>
  <si>
    <t>秘匿</t>
    <rPh sb="0" eb="2">
      <t>ヒトク</t>
    </rPh>
    <phoneticPr fontId="1"/>
  </si>
  <si>
    <t>徘徊</t>
    <rPh sb="0" eb="2">
      <t>ハイカイ</t>
    </rPh>
    <phoneticPr fontId="1"/>
  </si>
  <si>
    <t>補強</t>
    <rPh sb="0" eb="2">
      <t>ホキョウ</t>
    </rPh>
    <phoneticPr fontId="1"/>
  </si>
  <si>
    <t>族系</t>
    <rPh sb="0" eb="1">
      <t>ゾク</t>
    </rPh>
    <rPh sb="1" eb="2">
      <t>ケイ</t>
    </rPh>
    <phoneticPr fontId="1"/>
  </si>
  <si>
    <t>共謀</t>
    <rPh sb="0" eb="2">
      <t>キョウボウ</t>
    </rPh>
    <phoneticPr fontId="1"/>
  </si>
  <si>
    <t>萎縮</t>
    <rPh sb="0" eb="2">
      <t>イシュク</t>
    </rPh>
    <phoneticPr fontId="1"/>
  </si>
  <si>
    <t>回顧</t>
    <rPh sb="0" eb="2">
      <t>カイコ</t>
    </rPh>
    <phoneticPr fontId="1"/>
  </si>
  <si>
    <t>彩色</t>
    <rPh sb="0" eb="2">
      <t>サイショク</t>
    </rPh>
    <phoneticPr fontId="1"/>
  </si>
  <si>
    <t>賛美</t>
    <rPh sb="0" eb="2">
      <t>サンビ</t>
    </rPh>
    <phoneticPr fontId="1"/>
  </si>
  <si>
    <t>続唱</t>
    <rPh sb="0" eb="1">
      <t>ゾク</t>
    </rPh>
    <rPh sb="1" eb="2">
      <t>ショウ</t>
    </rPh>
    <phoneticPr fontId="1"/>
  </si>
  <si>
    <t>多重キッカー</t>
    <rPh sb="0" eb="2">
      <t>タジュウ</t>
    </rPh>
    <phoneticPr fontId="1"/>
  </si>
  <si>
    <t>滅殺</t>
    <rPh sb="0" eb="1">
      <t>メツ</t>
    </rPh>
    <rPh sb="1" eb="2">
      <t>サツ</t>
    </rPh>
    <phoneticPr fontId="1"/>
  </si>
  <si>
    <t>族霊鎧</t>
    <rPh sb="0" eb="1">
      <t>ゾク</t>
    </rPh>
    <rPh sb="1" eb="2">
      <t>レイ</t>
    </rPh>
    <rPh sb="2" eb="3">
      <t>ガイ</t>
    </rPh>
    <phoneticPr fontId="1"/>
  </si>
  <si>
    <t>Lvアップ</t>
    <phoneticPr fontId="1"/>
  </si>
  <si>
    <t>喊声</t>
    <rPh sb="0" eb="2">
      <t>カンセイ</t>
    </rPh>
    <phoneticPr fontId="1"/>
  </si>
  <si>
    <t>生体武器</t>
    <rPh sb="0" eb="2">
      <t>セイタイ</t>
    </rPh>
    <rPh sb="2" eb="4">
      <t>ブキ</t>
    </rPh>
    <phoneticPr fontId="1"/>
  </si>
  <si>
    <t>変身する</t>
    <rPh sb="0" eb="2">
      <t>ヘンシン</t>
    </rPh>
    <phoneticPr fontId="1"/>
  </si>
  <si>
    <t>結魂</t>
    <rPh sb="0" eb="1">
      <t>ケッ</t>
    </rPh>
    <rPh sb="1" eb="2">
      <t>コン</t>
    </rPh>
    <phoneticPr fontId="1"/>
  </si>
  <si>
    <t>奮励</t>
    <rPh sb="0" eb="2">
      <t>フンレイ</t>
    </rPh>
    <phoneticPr fontId="1"/>
  </si>
  <si>
    <t>調査する</t>
    <rPh sb="0" eb="2">
      <t>チョウサ</t>
    </rPh>
    <phoneticPr fontId="1"/>
  </si>
  <si>
    <t>廃位</t>
    <rPh sb="0" eb="2">
      <t>ハイイ</t>
    </rPh>
    <phoneticPr fontId="1"/>
  </si>
  <si>
    <t>議決</t>
    <rPh sb="0" eb="2">
      <t>ギケツ</t>
    </rPh>
    <phoneticPr fontId="1"/>
  </si>
  <si>
    <t>協議</t>
    <rPh sb="0" eb="2">
      <t>キョウギ</t>
    </rPh>
    <phoneticPr fontId="1"/>
  </si>
  <si>
    <t>無尽</t>
    <rPh sb="0" eb="2">
      <t>ムジン</t>
    </rPh>
    <phoneticPr fontId="1"/>
  </si>
  <si>
    <t>同調</t>
    <rPh sb="0" eb="2">
      <t>ドウチョウ</t>
    </rPh>
    <phoneticPr fontId="1"/>
  </si>
  <si>
    <t>誘引</t>
    <rPh sb="0" eb="2">
      <t>ユウイン</t>
    </rPh>
    <phoneticPr fontId="1"/>
  </si>
  <si>
    <t>格闘する</t>
    <rPh sb="0" eb="2">
      <t>カクトウ</t>
    </rPh>
    <phoneticPr fontId="1"/>
  </si>
  <si>
    <t>土地渡り</t>
    <rPh sb="0" eb="2">
      <t>トチ</t>
    </rPh>
    <rPh sb="2" eb="3">
      <t>ワタ</t>
    </rPh>
    <phoneticPr fontId="1"/>
  </si>
  <si>
    <t>馬術</t>
    <rPh sb="0" eb="2">
      <t>バジュツ</t>
    </rPh>
    <phoneticPr fontId="1"/>
  </si>
  <si>
    <t>トランプル</t>
  </si>
  <si>
    <t>プロテクション</t>
  </si>
  <si>
    <t>バンド</t>
  </si>
  <si>
    <t>ランページ</t>
  </si>
  <si>
    <t>フェイジング</t>
  </si>
  <si>
    <t>シャドー</t>
  </si>
  <si>
    <t>エコー</t>
  </si>
  <si>
    <t>サイクリング</t>
  </si>
  <si>
    <t>キッカー</t>
  </si>
  <si>
    <t>フラッシュバック</t>
  </si>
  <si>
    <t>スレッショルド</t>
  </si>
  <si>
    <t>マッドネス</t>
  </si>
  <si>
    <t>ストーム</t>
  </si>
  <si>
    <t>Lvアップ</t>
  </si>
  <si>
    <t>BRG</t>
    <phoneticPr fontId="1"/>
  </si>
  <si>
    <t>M1</t>
    <phoneticPr fontId="1"/>
  </si>
  <si>
    <t>S</t>
    <phoneticPr fontId="1"/>
  </si>
  <si>
    <t>B</t>
    <phoneticPr fontId="1"/>
  </si>
  <si>
    <t>U</t>
    <phoneticPr fontId="1"/>
  </si>
  <si>
    <t>F</t>
    <phoneticPr fontId="1"/>
  </si>
  <si>
    <t>怪物化する</t>
    <rPh sb="0" eb="2">
      <t>カイブツ</t>
    </rPh>
    <rPh sb="2" eb="3">
      <t>カ</t>
    </rPh>
    <phoneticPr fontId="1"/>
  </si>
  <si>
    <t>激突する</t>
    <rPh sb="0" eb="2">
      <t>ゲキトツ</t>
    </rPh>
    <phoneticPr fontId="1"/>
  </si>
  <si>
    <t>W</t>
    <phoneticPr fontId="1"/>
  </si>
  <si>
    <t>R</t>
    <phoneticPr fontId="1"/>
  </si>
  <si>
    <t>G</t>
    <phoneticPr fontId="1"/>
  </si>
  <si>
    <t>N</t>
    <phoneticPr fontId="1"/>
  </si>
  <si>
    <t>M</t>
    <phoneticPr fontId="1"/>
  </si>
  <si>
    <t>スリヴァーサイクリング</t>
    <phoneticPr fontId="1"/>
  </si>
  <si>
    <t>先制</t>
    <rPh sb="0" eb="2">
      <t>センセイ</t>
    </rPh>
    <phoneticPr fontId="1"/>
  </si>
  <si>
    <t>2：再生</t>
    <rPh sb="2" eb="4">
      <t>サイセイ</t>
    </rPh>
    <phoneticPr fontId="1"/>
  </si>
  <si>
    <t>T：再生</t>
    <rPh sb="2" eb="4">
      <t>サイセイ</t>
    </rPh>
    <phoneticPr fontId="1"/>
  </si>
  <si>
    <t>接死</t>
    <rPh sb="0" eb="1">
      <t>セッ</t>
    </rPh>
    <rPh sb="1" eb="2">
      <t>シ</t>
    </rPh>
    <phoneticPr fontId="1"/>
  </si>
  <si>
    <t>Sサイクリ</t>
    <phoneticPr fontId="1"/>
  </si>
  <si>
    <t>二段</t>
    <rPh sb="0" eb="2">
      <t>ニダン</t>
    </rPh>
    <phoneticPr fontId="1"/>
  </si>
  <si>
    <t>CIP帰化</t>
    <rPh sb="3" eb="5">
      <t>キカ</t>
    </rPh>
    <phoneticPr fontId="1"/>
  </si>
  <si>
    <t>3S:パー割</t>
    <rPh sb="5" eb="6">
      <t>ワリ</t>
    </rPh>
    <phoneticPr fontId="1"/>
  </si>
  <si>
    <t>1S：1ダメor軽減</t>
    <rPh sb="8" eb="10">
      <t>ケイゲン</t>
    </rPh>
    <phoneticPr fontId="1"/>
  </si>
  <si>
    <t>防衛+CIP1D</t>
    <rPh sb="0" eb="2">
      <t>ボウエイ</t>
    </rPh>
    <phoneticPr fontId="1"/>
  </si>
  <si>
    <t>防衛</t>
    <rPh sb="0" eb="2">
      <t>ボウエイ</t>
    </rPh>
    <phoneticPr fontId="1"/>
  </si>
  <si>
    <t>命令</t>
    <rPh sb="0" eb="2">
      <t>メイレイ</t>
    </rPh>
    <phoneticPr fontId="1"/>
  </si>
  <si>
    <t>スペルシェイパー</t>
    <phoneticPr fontId="1"/>
  </si>
  <si>
    <t>魔除け</t>
    <rPh sb="0" eb="2">
      <t>マヨ</t>
    </rPh>
    <phoneticPr fontId="1"/>
  </si>
  <si>
    <t>S:BB</t>
    <phoneticPr fontId="1"/>
  </si>
  <si>
    <t>P+2</t>
    <phoneticPr fontId="1"/>
  </si>
  <si>
    <t>PT+1</t>
    <phoneticPr fontId="1"/>
  </si>
  <si>
    <t>UC</t>
  </si>
  <si>
    <t>ゴルガリの墓トロール</t>
  </si>
  <si>
    <t>臭い草のインプ</t>
  </si>
  <si>
    <t>戦慄の復活</t>
  </si>
  <si>
    <t>ナルコメーバ</t>
  </si>
  <si>
    <t>極楽鳥</t>
  </si>
  <si>
    <t>鏡割りのキキジキ</t>
  </si>
  <si>
    <t>ファルケンラスの貴種</t>
  </si>
  <si>
    <t>思考囲い</t>
  </si>
  <si>
    <t>ヴィズコーパの血男爵</t>
  </si>
  <si>
    <t>練達の生術師</t>
  </si>
  <si>
    <t>野生のナカティル</t>
  </si>
  <si>
    <t>稲妻</t>
  </si>
  <si>
    <t>差し戻し</t>
  </si>
  <si>
    <t>不屈の自然</t>
  </si>
  <si>
    <t>森の女人像</t>
  </si>
  <si>
    <t>遥か見</t>
  </si>
  <si>
    <t>教区の勇者</t>
  </si>
  <si>
    <t>深き刻の忍者</t>
  </si>
  <si>
    <t>呪文詰まりのスプライト</t>
  </si>
  <si>
    <t>台所の嫌がらせ屋</t>
  </si>
  <si>
    <t>呪文嵌め</t>
  </si>
  <si>
    <t>終末</t>
  </si>
  <si>
    <t>呪文滑り</t>
  </si>
  <si>
    <t>爆裂＋破綻</t>
  </si>
  <si>
    <t>エリシュノーン</t>
  </si>
  <si>
    <t>ファイレクシアの抹消者</t>
  </si>
  <si>
    <t>謎めいた命令</t>
  </si>
  <si>
    <t>至高の評決</t>
  </si>
  <si>
    <t>起源の波</t>
  </si>
  <si>
    <t>ニクスの祭殿、ニクソス</t>
  </si>
  <si>
    <t>原初の命令</t>
  </si>
  <si>
    <t>悟った達人、ナーセット</t>
  </si>
  <si>
    <t>卓絶のナーセット</t>
  </si>
  <si>
    <t>軍属の雄叫び</t>
  </si>
  <si>
    <t>消えないこだま</t>
  </si>
  <si>
    <t>黒曜石の火心</t>
  </si>
  <si>
    <t>目覚ましヒバリ</t>
  </si>
  <si>
    <t>スレイベンの守護者、サリア</t>
  </si>
  <si>
    <t>セラの報復者</t>
  </si>
  <si>
    <t>灰色熊</t>
  </si>
  <si>
    <t>カー砦</t>
  </si>
  <si>
    <t>対抗変転</t>
  </si>
  <si>
    <t>スフィンクスの啓示</t>
  </si>
  <si>
    <t>スラーグ牙</t>
  </si>
  <si>
    <t>大いなるガルガドン</t>
  </si>
  <si>
    <t>溶鉄の尖峰、ヴァラクート</t>
  </si>
  <si>
    <t>運命の大立者</t>
  </si>
  <si>
    <t>噴出の稲妻</t>
  </si>
  <si>
    <t>ミラディンの十字軍</t>
  </si>
  <si>
    <t>戦争と平和の剣</t>
  </si>
  <si>
    <t>血の芸術家</t>
  </si>
  <si>
    <t>騒がしいネズミ</t>
    <phoneticPr fontId="1"/>
  </si>
  <si>
    <t>滞留者ヴェンセール</t>
    <phoneticPr fontId="1"/>
  </si>
  <si>
    <t>運命の工作員</t>
    <phoneticPr fontId="1"/>
  </si>
  <si>
    <t>羽毛覆い</t>
    <phoneticPr fontId="1"/>
  </si>
  <si>
    <t>ムラガンダの印刻</t>
    <phoneticPr fontId="1"/>
  </si>
  <si>
    <t>斑点の殴打者</t>
    <phoneticPr fontId="1"/>
  </si>
  <si>
    <t>風景の変容</t>
    <phoneticPr fontId="1"/>
  </si>
  <si>
    <t>エターナルエンチャント</t>
  </si>
  <si>
    <t>インスタントメント</t>
    <phoneticPr fontId="1"/>
  </si>
  <si>
    <t>不採用</t>
    <rPh sb="0" eb="3">
      <t>フサイヨウ</t>
    </rPh>
    <phoneticPr fontId="1"/>
  </si>
  <si>
    <t>欠色嚥下</t>
    <rPh sb="2" eb="4">
      <t>エンゲ</t>
    </rPh>
    <phoneticPr fontId="1"/>
  </si>
  <si>
    <t>秘儀連繋</t>
    <rPh sb="0" eb="2">
      <t>ヒギ</t>
    </rPh>
    <phoneticPr fontId="1"/>
  </si>
  <si>
    <t>分割融合</t>
    <rPh sb="0" eb="2">
      <t>ブンカツ</t>
    </rPh>
    <rPh sb="2" eb="4">
      <t>ユウゴウ</t>
    </rPh>
    <phoneticPr fontId="1"/>
  </si>
  <si>
    <t>N</t>
  </si>
  <si>
    <t>依存キーワード</t>
    <rPh sb="0" eb="2">
      <t>イゾン</t>
    </rPh>
    <phoneticPr fontId="1"/>
  </si>
  <si>
    <t>A：起動不可</t>
    <rPh sb="2" eb="4">
      <t>キドウ</t>
    </rPh>
    <rPh sb="4" eb="6">
      <t>フカ</t>
    </rPh>
    <phoneticPr fontId="1"/>
  </si>
  <si>
    <t>B：継続不可</t>
    <rPh sb="2" eb="4">
      <t>ケイゾク</t>
    </rPh>
    <rPh sb="4" eb="6">
      <t>フカ</t>
    </rPh>
    <phoneticPr fontId="1"/>
  </si>
  <si>
    <t>C：能力失敗</t>
    <rPh sb="2" eb="4">
      <t>ノウリョク</t>
    </rPh>
    <rPh sb="4" eb="6">
      <t>シッパイ</t>
    </rPh>
    <phoneticPr fontId="1"/>
  </si>
  <si>
    <t>装備</t>
    <rPh sb="0" eb="2">
      <t>ソウビ</t>
    </rPh>
    <phoneticPr fontId="1"/>
  </si>
  <si>
    <t>タイプ：サイクリング</t>
    <phoneticPr fontId="1"/>
  </si>
  <si>
    <t>鼓舞する</t>
    <rPh sb="0" eb="2">
      <t>コブ</t>
    </rPh>
    <phoneticPr fontId="1"/>
  </si>
  <si>
    <t>支援する</t>
    <rPh sb="0" eb="2">
      <t>シエン</t>
    </rPh>
    <phoneticPr fontId="1"/>
  </si>
  <si>
    <t>.+1/+1C</t>
    <phoneticPr fontId="1"/>
  </si>
  <si>
    <t>リストラ候補</t>
    <rPh sb="4" eb="6">
      <t>コウホ</t>
    </rPh>
    <phoneticPr fontId="1"/>
  </si>
  <si>
    <t>モダン外</t>
    <rPh sb="3" eb="4">
      <t>ガイ</t>
    </rPh>
    <phoneticPr fontId="1"/>
  </si>
  <si>
    <t>威嚇</t>
    <rPh sb="0" eb="2">
      <t>イカク</t>
    </rPh>
    <phoneticPr fontId="1"/>
  </si>
  <si>
    <t>到達</t>
    <rPh sb="0" eb="2">
      <t>トウタツ</t>
    </rPh>
    <phoneticPr fontId="1"/>
  </si>
  <si>
    <t>呪禁</t>
    <rPh sb="0" eb="1">
      <t>ジュ</t>
    </rPh>
    <rPh sb="1" eb="2">
      <t>キン</t>
    </rPh>
    <phoneticPr fontId="1"/>
  </si>
  <si>
    <t>プロテクション</t>
    <phoneticPr fontId="1"/>
  </si>
  <si>
    <t>土地渡り</t>
    <rPh sb="0" eb="2">
      <t>トチ</t>
    </rPh>
    <rPh sb="2" eb="3">
      <t>ワタ</t>
    </rPh>
    <phoneticPr fontId="1"/>
  </si>
  <si>
    <t>破壊不能</t>
    <rPh sb="0" eb="2">
      <t>ハカイ</t>
    </rPh>
    <rPh sb="2" eb="4">
      <t>フノウ</t>
    </rPh>
    <phoneticPr fontId="1"/>
  </si>
  <si>
    <t>格闘する</t>
    <rPh sb="0" eb="2">
      <t>カクトウ</t>
    </rPh>
    <phoneticPr fontId="1"/>
  </si>
  <si>
    <t>瞬速</t>
    <rPh sb="0" eb="1">
      <t>シュン</t>
    </rPh>
    <rPh sb="1" eb="2">
      <t>ソク</t>
    </rPh>
    <phoneticPr fontId="1"/>
  </si>
  <si>
    <t>果敢</t>
    <rPh sb="0" eb="2">
      <t>カカン</t>
    </rPh>
    <phoneticPr fontId="1"/>
  </si>
  <si>
    <t>1単</t>
    <rPh sb="1" eb="2">
      <t>タン</t>
    </rPh>
    <phoneticPr fontId="1"/>
  </si>
  <si>
    <t>2単</t>
    <rPh sb="1" eb="2">
      <t>タン</t>
    </rPh>
    <phoneticPr fontId="1"/>
  </si>
  <si>
    <t>3単</t>
    <rPh sb="1" eb="2">
      <t>タン</t>
    </rPh>
    <phoneticPr fontId="1"/>
  </si>
  <si>
    <t>4単</t>
    <rPh sb="1" eb="2">
      <t>タン</t>
    </rPh>
    <phoneticPr fontId="1"/>
  </si>
  <si>
    <t>5単</t>
    <rPh sb="1" eb="2">
      <t>タン</t>
    </rPh>
    <phoneticPr fontId="1"/>
  </si>
  <si>
    <t>6単</t>
    <rPh sb="1" eb="2">
      <t>タン</t>
    </rPh>
    <phoneticPr fontId="1"/>
  </si>
  <si>
    <t>7単</t>
    <rPh sb="1" eb="2">
      <t>タン</t>
    </rPh>
    <phoneticPr fontId="1"/>
  </si>
  <si>
    <t>8単</t>
    <rPh sb="1" eb="2">
      <t>タン</t>
    </rPh>
    <phoneticPr fontId="1"/>
  </si>
  <si>
    <t>9単</t>
    <rPh sb="1" eb="2">
      <t>タン</t>
    </rPh>
    <phoneticPr fontId="1"/>
  </si>
  <si>
    <t>10単</t>
    <rPh sb="2" eb="3">
      <t>タン</t>
    </rPh>
    <phoneticPr fontId="1"/>
  </si>
  <si>
    <t>1多</t>
    <rPh sb="1" eb="2">
      <t>タ</t>
    </rPh>
    <phoneticPr fontId="1"/>
  </si>
  <si>
    <t>2多</t>
    <rPh sb="1" eb="2">
      <t>タ</t>
    </rPh>
    <phoneticPr fontId="1"/>
  </si>
  <si>
    <t>3多</t>
    <rPh sb="1" eb="2">
      <t>タ</t>
    </rPh>
    <phoneticPr fontId="1"/>
  </si>
  <si>
    <t>4多</t>
    <rPh sb="1" eb="2">
      <t>タ</t>
    </rPh>
    <phoneticPr fontId="1"/>
  </si>
  <si>
    <t>5多</t>
    <rPh sb="1" eb="2">
      <t>タ</t>
    </rPh>
    <phoneticPr fontId="1"/>
  </si>
  <si>
    <t>1FL</t>
    <phoneticPr fontId="1"/>
  </si>
  <si>
    <t>2FL</t>
  </si>
  <si>
    <t>3FL</t>
  </si>
  <si>
    <t>6多</t>
    <rPh sb="1" eb="2">
      <t>タ</t>
    </rPh>
    <phoneticPr fontId="1"/>
  </si>
  <si>
    <t>7多</t>
    <rPh sb="1" eb="2">
      <t>タ</t>
    </rPh>
    <phoneticPr fontId="1"/>
  </si>
  <si>
    <t>8多</t>
    <rPh sb="1" eb="2">
      <t>タ</t>
    </rPh>
    <phoneticPr fontId="1"/>
  </si>
  <si>
    <t>9多</t>
    <rPh sb="1" eb="2">
      <t>タ</t>
    </rPh>
    <phoneticPr fontId="1"/>
  </si>
  <si>
    <t>10多</t>
    <rPh sb="2" eb="3">
      <t>タ</t>
    </rPh>
    <phoneticPr fontId="1"/>
  </si>
  <si>
    <t>F&gt;L</t>
    <phoneticPr fontId="1"/>
  </si>
  <si>
    <t>F=L</t>
    <phoneticPr fontId="1"/>
  </si>
  <si>
    <t>F&lt;L</t>
    <phoneticPr fontId="1"/>
  </si>
  <si>
    <t>WBG</t>
  </si>
  <si>
    <t>WBG</t>
    <phoneticPr fontId="1"/>
  </si>
  <si>
    <t>URW</t>
  </si>
  <si>
    <t>URW</t>
    <phoneticPr fontId="1"/>
  </si>
  <si>
    <t>BGU</t>
  </si>
  <si>
    <t>BGU</t>
    <phoneticPr fontId="1"/>
  </si>
  <si>
    <t>RWB</t>
  </si>
  <si>
    <t>RWB</t>
    <phoneticPr fontId="1"/>
  </si>
  <si>
    <t>GUR</t>
  </si>
  <si>
    <t>GUR</t>
    <phoneticPr fontId="1"/>
  </si>
  <si>
    <t>KLD</t>
    <phoneticPr fontId="1"/>
  </si>
  <si>
    <t>AER</t>
    <phoneticPr fontId="1"/>
  </si>
  <si>
    <t>16/09.</t>
    <phoneticPr fontId="1"/>
  </si>
  <si>
    <t>17/01.</t>
    <phoneticPr fontId="1"/>
  </si>
  <si>
    <t>スリヴァーサイクリング</t>
  </si>
  <si>
    <t>N</t>
    <phoneticPr fontId="1"/>
  </si>
  <si>
    <t>5C</t>
    <phoneticPr fontId="1"/>
  </si>
  <si>
    <t>収斂</t>
    <rPh sb="0" eb="2">
      <t>シュウレン</t>
    </rPh>
    <phoneticPr fontId="1"/>
  </si>
  <si>
    <t>収斂</t>
    <rPh sb="0" eb="2">
      <t>シュウレン</t>
    </rPh>
    <phoneticPr fontId="1"/>
  </si>
  <si>
    <t>5C</t>
  </si>
  <si>
    <t>エルフ</t>
    <phoneticPr fontId="1"/>
  </si>
  <si>
    <t>兵士</t>
    <rPh sb="0" eb="2">
      <t>ヘイシ</t>
    </rPh>
    <phoneticPr fontId="1"/>
  </si>
  <si>
    <t>シャーマン</t>
    <phoneticPr fontId="1"/>
  </si>
  <si>
    <t>戦士</t>
    <rPh sb="0" eb="2">
      <t>センシ</t>
    </rPh>
    <phoneticPr fontId="1"/>
  </si>
  <si>
    <t>C</t>
  </si>
  <si>
    <t>R/M</t>
  </si>
  <si>
    <t>2C</t>
  </si>
  <si>
    <t>3C</t>
  </si>
  <si>
    <t>覚醒</t>
  </si>
  <si>
    <t>計</t>
    <rPh sb="0" eb="1">
      <t>ケイ</t>
    </rPh>
    <phoneticPr fontId="1"/>
  </si>
  <si>
    <t>収斂</t>
  </si>
  <si>
    <t>嚥下</t>
  </si>
  <si>
    <t>昇華者</t>
  </si>
  <si>
    <t>盟友</t>
  </si>
  <si>
    <t>支援</t>
  </si>
  <si>
    <t>怒濤</t>
  </si>
  <si>
    <t>調査</t>
    <phoneticPr fontId="1"/>
  </si>
  <si>
    <t>マッドネス</t>
    <phoneticPr fontId="1"/>
  </si>
  <si>
    <t>体+1</t>
    <rPh sb="0" eb="1">
      <t>タイ</t>
    </rPh>
    <phoneticPr fontId="1"/>
  </si>
  <si>
    <t>体+2</t>
    <rPh sb="0" eb="1">
      <t>タイ</t>
    </rPh>
    <phoneticPr fontId="1"/>
  </si>
  <si>
    <t>PT+1</t>
  </si>
  <si>
    <t>吸収</t>
    <rPh sb="0" eb="2">
      <t>キュウシュウ</t>
    </rPh>
    <phoneticPr fontId="1"/>
  </si>
  <si>
    <t>レンジ</t>
  </si>
  <si>
    <t>2：体+1</t>
    <rPh sb="2" eb="3">
      <t>タイ</t>
    </rPh>
    <phoneticPr fontId="1"/>
  </si>
  <si>
    <t>色プロテク</t>
    <rPh sb="0" eb="1">
      <t>イロ</t>
    </rPh>
    <phoneticPr fontId="1"/>
  </si>
  <si>
    <t>絆魂</t>
    <rPh sb="0" eb="1">
      <t>キズナ</t>
    </rPh>
    <rPh sb="1" eb="2">
      <t>タマシイ</t>
    </rPh>
    <phoneticPr fontId="1"/>
  </si>
  <si>
    <t>飛行</t>
    <rPh sb="0" eb="2">
      <t>ヒコウ</t>
    </rPh>
    <phoneticPr fontId="1"/>
  </si>
  <si>
    <t>1：任意生物属性取得</t>
    <rPh sb="2" eb="4">
      <t>ニンイ</t>
    </rPh>
    <rPh sb="4" eb="6">
      <t>セイブツ</t>
    </rPh>
    <rPh sb="6" eb="8">
      <t>ゾクセイ</t>
    </rPh>
    <rPh sb="8" eb="10">
      <t>シュトク</t>
    </rPh>
    <phoneticPr fontId="1"/>
  </si>
  <si>
    <t>ｽﾘ外ｱﾝﾌﾞﾛ</t>
    <rPh sb="2" eb="3">
      <t>ガイ</t>
    </rPh>
    <phoneticPr fontId="1"/>
  </si>
  <si>
    <t>2S：1泥</t>
    <rPh sb="4" eb="5">
      <t>ドロ</t>
    </rPh>
    <phoneticPr fontId="1"/>
  </si>
  <si>
    <t>タッパー</t>
  </si>
  <si>
    <t>好奇心</t>
    <rPh sb="0" eb="3">
      <t>コウキシン</t>
    </rPh>
    <phoneticPr fontId="1"/>
  </si>
  <si>
    <t>1S：ハンデス</t>
  </si>
  <si>
    <t>1S：ハンデス</t>
    <phoneticPr fontId="1"/>
  </si>
  <si>
    <t>2S：ハンデス</t>
  </si>
  <si>
    <t>UPK1ペイ</t>
  </si>
  <si>
    <t>威迫</t>
    <rPh sb="0" eb="2">
      <t>イハク</t>
    </rPh>
    <phoneticPr fontId="1"/>
  </si>
  <si>
    <t>P+1</t>
  </si>
  <si>
    <t>2：P+1</t>
  </si>
  <si>
    <t>吸血能力</t>
    <rPh sb="0" eb="2">
      <t>キュウケツ</t>
    </rPh>
    <rPh sb="2" eb="4">
      <t>ノウリョク</t>
    </rPh>
    <phoneticPr fontId="1"/>
  </si>
  <si>
    <t>沼コンPT+1+B：再生</t>
    <rPh sb="0" eb="1">
      <t>ヌマ</t>
    </rPh>
    <rPh sb="10" eb="12">
      <t>サイセイ</t>
    </rPh>
    <phoneticPr fontId="1"/>
  </si>
  <si>
    <t>マナクリ</t>
  </si>
  <si>
    <t>マナクリ</t>
    <phoneticPr fontId="1"/>
  </si>
  <si>
    <t>打ち消されない</t>
    <rPh sb="0" eb="1">
      <t>ウ</t>
    </rPh>
    <rPh sb="2" eb="3">
      <t>ケ</t>
    </rPh>
    <phoneticPr fontId="1"/>
  </si>
  <si>
    <t>戦D与でトークン</t>
    <rPh sb="0" eb="1">
      <t>イクサ</t>
    </rPh>
    <rPh sb="2" eb="3">
      <t>クミ</t>
    </rPh>
    <phoneticPr fontId="1"/>
  </si>
  <si>
    <t>D受誘+1/+1C</t>
    <rPh sb="1" eb="2">
      <t>ウ</t>
    </rPh>
    <rPh sb="2" eb="3">
      <t>イザナ</t>
    </rPh>
    <phoneticPr fontId="1"/>
  </si>
  <si>
    <t>呪文対象誘1泥</t>
    <rPh sb="0" eb="2">
      <t>ジュモン</t>
    </rPh>
    <rPh sb="2" eb="4">
      <t>タイショウ</t>
    </rPh>
    <rPh sb="4" eb="5">
      <t>イザナ</t>
    </rPh>
    <rPh sb="6" eb="7">
      <t>ドロ</t>
    </rPh>
    <phoneticPr fontId="1"/>
  </si>
  <si>
    <t>pey2自身バウンス</t>
    <rPh sb="4" eb="6">
      <t>ジシン</t>
    </rPh>
    <phoneticPr fontId="1"/>
  </si>
  <si>
    <t>T：ハンデス</t>
  </si>
  <si>
    <t>無色化</t>
    <rPh sb="0" eb="2">
      <t>ムショク</t>
    </rPh>
    <rPh sb="2" eb="3">
      <t>カ</t>
    </rPh>
    <phoneticPr fontId="1"/>
  </si>
  <si>
    <t>ヤヴィマヤの木</t>
    <rPh sb="6" eb="7">
      <t>キ</t>
    </rPh>
    <phoneticPr fontId="1"/>
  </si>
  <si>
    <t>2S：4回復</t>
    <rPh sb="4" eb="6">
      <t>カイフク</t>
    </rPh>
    <phoneticPr fontId="1"/>
  </si>
  <si>
    <t>TMP</t>
  </si>
  <si>
    <t>STH</t>
  </si>
  <si>
    <t>STH、TSB</t>
  </si>
  <si>
    <t>2B</t>
  </si>
  <si>
    <t>2B</t>
    <phoneticPr fontId="1"/>
  </si>
  <si>
    <t>W</t>
    <phoneticPr fontId="1"/>
  </si>
  <si>
    <t>1W</t>
  </si>
  <si>
    <t>1W</t>
    <phoneticPr fontId="1"/>
  </si>
  <si>
    <t>2W</t>
  </si>
  <si>
    <t>2W</t>
    <phoneticPr fontId="1"/>
  </si>
  <si>
    <t>3W</t>
  </si>
  <si>
    <t>3W</t>
    <phoneticPr fontId="1"/>
  </si>
  <si>
    <t>3WW</t>
  </si>
  <si>
    <t>3WW</t>
    <phoneticPr fontId="1"/>
  </si>
  <si>
    <t>飛行+死誘デッキトップ</t>
    <rPh sb="0" eb="2">
      <t>ヒコウ</t>
    </rPh>
    <rPh sb="3" eb="4">
      <t>シ</t>
    </rPh>
    <rPh sb="4" eb="5">
      <t>イザナ</t>
    </rPh>
    <phoneticPr fontId="1"/>
  </si>
  <si>
    <t>4W</t>
  </si>
  <si>
    <t>4W</t>
    <phoneticPr fontId="1"/>
  </si>
  <si>
    <t>2:PT+1</t>
  </si>
  <si>
    <t>PT+2</t>
  </si>
  <si>
    <t>2S:ショック</t>
  </si>
  <si>
    <t>0：イフリート</t>
  </si>
  <si>
    <t>S:3ゲイン</t>
  </si>
  <si>
    <t>U</t>
    <phoneticPr fontId="1"/>
  </si>
  <si>
    <t>T:石臼</t>
    <rPh sb="2" eb="4">
      <t>イシウス</t>
    </rPh>
    <phoneticPr fontId="1"/>
  </si>
  <si>
    <t>1U</t>
    <phoneticPr fontId="1"/>
  </si>
  <si>
    <t>2U</t>
  </si>
  <si>
    <t>2U</t>
    <phoneticPr fontId="1"/>
  </si>
  <si>
    <t>2UU</t>
  </si>
  <si>
    <t>2UU</t>
    <phoneticPr fontId="1"/>
  </si>
  <si>
    <t>3U</t>
  </si>
  <si>
    <t>3U</t>
    <phoneticPr fontId="1"/>
  </si>
  <si>
    <t>4U</t>
  </si>
  <si>
    <t>4U</t>
    <phoneticPr fontId="1"/>
  </si>
  <si>
    <t>2点、自3点</t>
    <rPh sb="1" eb="2">
      <t>テン</t>
    </rPh>
    <rPh sb="3" eb="4">
      <t>ジ</t>
    </rPh>
    <rPh sb="5" eb="6">
      <t>テン</t>
    </rPh>
    <phoneticPr fontId="1"/>
  </si>
  <si>
    <t>B</t>
    <phoneticPr fontId="1"/>
  </si>
  <si>
    <t>1B</t>
  </si>
  <si>
    <t>1B</t>
    <phoneticPr fontId="1"/>
  </si>
  <si>
    <t>3B</t>
  </si>
  <si>
    <t>2BB</t>
  </si>
  <si>
    <t>2BB</t>
    <phoneticPr fontId="1"/>
  </si>
  <si>
    <t>4B</t>
  </si>
  <si>
    <t>1R</t>
  </si>
  <si>
    <t>1R</t>
    <phoneticPr fontId="1"/>
  </si>
  <si>
    <t>2R</t>
  </si>
  <si>
    <t>UC</t>
    <phoneticPr fontId="1"/>
  </si>
  <si>
    <t>3R</t>
  </si>
  <si>
    <t>C</t>
    <phoneticPr fontId="1"/>
  </si>
  <si>
    <t>R</t>
    <phoneticPr fontId="1"/>
  </si>
  <si>
    <t>T：P+X</t>
    <phoneticPr fontId="1"/>
  </si>
  <si>
    <t>UC</t>
    <phoneticPr fontId="1"/>
  </si>
  <si>
    <t>5R</t>
  </si>
  <si>
    <t>5R</t>
    <phoneticPr fontId="1"/>
  </si>
  <si>
    <t>G</t>
    <phoneticPr fontId="1"/>
  </si>
  <si>
    <t>1G</t>
  </si>
  <si>
    <t>1G</t>
    <phoneticPr fontId="1"/>
  </si>
  <si>
    <t>2G</t>
  </si>
  <si>
    <t>3G</t>
  </si>
  <si>
    <t>4G</t>
  </si>
  <si>
    <t>WUBRG</t>
  </si>
  <si>
    <t>WUBRG</t>
    <phoneticPr fontId="1"/>
  </si>
  <si>
    <t>WU</t>
    <phoneticPr fontId="1"/>
  </si>
  <si>
    <t>1WU</t>
  </si>
  <si>
    <t>1WU</t>
    <phoneticPr fontId="1"/>
  </si>
  <si>
    <t>3UB</t>
  </si>
  <si>
    <t>3UB</t>
    <phoneticPr fontId="1"/>
  </si>
  <si>
    <t>UB</t>
    <phoneticPr fontId="1"/>
  </si>
  <si>
    <t>BR</t>
    <phoneticPr fontId="1"/>
  </si>
  <si>
    <t>1RG</t>
  </si>
  <si>
    <t>1RG</t>
    <phoneticPr fontId="1"/>
  </si>
  <si>
    <t>RG</t>
    <phoneticPr fontId="1"/>
  </si>
  <si>
    <t>1GW</t>
  </si>
  <si>
    <t>1GW</t>
    <phoneticPr fontId="1"/>
  </si>
  <si>
    <t>GW</t>
    <phoneticPr fontId="1"/>
  </si>
  <si>
    <t>1WB</t>
  </si>
  <si>
    <t>1WB</t>
    <phoneticPr fontId="1"/>
  </si>
  <si>
    <t>BG</t>
    <phoneticPr fontId="1"/>
  </si>
  <si>
    <t>GU</t>
    <phoneticPr fontId="1"/>
  </si>
  <si>
    <t>1UR</t>
  </si>
  <si>
    <t>1UR</t>
    <phoneticPr fontId="1"/>
  </si>
  <si>
    <t>RW</t>
    <phoneticPr fontId="1"/>
  </si>
  <si>
    <t>1T:1/1ｽﾘｳﾞｧｰ生成</t>
    <rPh sb="12" eb="14">
      <t>セイセイ</t>
    </rPh>
    <phoneticPr fontId="1"/>
  </si>
  <si>
    <t>W</t>
    <phoneticPr fontId="1"/>
  </si>
  <si>
    <t>U</t>
    <phoneticPr fontId="1"/>
  </si>
  <si>
    <t>B</t>
    <phoneticPr fontId="1"/>
  </si>
  <si>
    <t>R</t>
    <phoneticPr fontId="1"/>
  </si>
  <si>
    <t>G</t>
    <phoneticPr fontId="1"/>
  </si>
  <si>
    <t>M</t>
    <phoneticPr fontId="1"/>
  </si>
  <si>
    <t>N</t>
    <phoneticPr fontId="1"/>
  </si>
  <si>
    <t>横這Slv</t>
  </si>
  <si>
    <t>板金Slv</t>
  </si>
  <si>
    <t>筋力Slv</t>
  </si>
  <si>
    <t>かぎ爪Slv</t>
  </si>
  <si>
    <t>羽軸Slv</t>
  </si>
  <si>
    <t>湿布Slv</t>
  </si>
  <si>
    <t>鎧のSlv</t>
  </si>
  <si>
    <t>精油Slv</t>
  </si>
  <si>
    <t>監視Slv</t>
  </si>
  <si>
    <t>肺臓Slv</t>
  </si>
  <si>
    <t>護法Slv</t>
  </si>
  <si>
    <t>血清Slv</t>
  </si>
  <si>
    <t>奇声Slv</t>
  </si>
  <si>
    <t>有翼Slv</t>
  </si>
  <si>
    <t>霧衣Slv</t>
  </si>
  <si>
    <t>陰影Slv</t>
  </si>
  <si>
    <t>記憶術のSlv</t>
  </si>
  <si>
    <t>念動Slv</t>
  </si>
  <si>
    <t>変容Slv</t>
  </si>
  <si>
    <t>催眠Slv</t>
  </si>
  <si>
    <t>心霊Slv</t>
  </si>
  <si>
    <t>神経Slv</t>
  </si>
  <si>
    <t>同期Slv</t>
  </si>
  <si>
    <t>心鞭Slv</t>
  </si>
  <si>
    <t>墓所Slv</t>
  </si>
  <si>
    <t>凝塊Slv</t>
  </si>
  <si>
    <t>激情Slv</t>
  </si>
  <si>
    <t>基底Slv</t>
  </si>
  <si>
    <t>幽体Slv</t>
  </si>
  <si>
    <t>魂のムチ打ちSlv</t>
  </si>
  <si>
    <t>毒素Slv</t>
  </si>
  <si>
    <t>疫病Slv</t>
  </si>
  <si>
    <t>吸血Slv</t>
  </si>
  <si>
    <t>吐毒Slv</t>
  </si>
  <si>
    <t>ハートのSlv</t>
  </si>
  <si>
    <t>双頭Slv</t>
  </si>
  <si>
    <t>狩人Slv</t>
  </si>
  <si>
    <t>誘導Slv</t>
  </si>
  <si>
    <t>菅草Slv</t>
  </si>
  <si>
    <t>刀刃Slv</t>
  </si>
  <si>
    <t>棘のSlv</t>
  </si>
  <si>
    <t>断骨Slv</t>
  </si>
  <si>
    <t>溶岩Slv</t>
  </si>
  <si>
    <t>憤怒Slv</t>
  </si>
  <si>
    <t>乱打Slv</t>
  </si>
  <si>
    <t>悪性Slv</t>
  </si>
  <si>
    <t>宝革Slv</t>
  </si>
  <si>
    <t>筋肉Slv</t>
  </si>
  <si>
    <t>活性Slv</t>
  </si>
  <si>
    <t>紡績Slv</t>
  </si>
  <si>
    <t>有角Slv</t>
  </si>
  <si>
    <t>樹根Slv</t>
  </si>
  <si>
    <t>菌類Slv</t>
  </si>
  <si>
    <t>反射Slv</t>
  </si>
  <si>
    <t>増力Slv</t>
  </si>
  <si>
    <t>繁殖Slv</t>
  </si>
  <si>
    <t>水晶Slv</t>
  </si>
  <si>
    <t>乳白Slv</t>
  </si>
  <si>
    <t>冬眠Slv</t>
  </si>
  <si>
    <t>狂気Slv</t>
  </si>
  <si>
    <t>酸性Slv</t>
  </si>
  <si>
    <t>霊炎Slv</t>
  </si>
  <si>
    <t>火跡Slv</t>
  </si>
  <si>
    <t>針刺Slv</t>
  </si>
  <si>
    <t>調和Slv</t>
  </si>
  <si>
    <t>給食Slv</t>
  </si>
  <si>
    <t>壊死Slv</t>
  </si>
  <si>
    <t>暗心Slv</t>
  </si>
  <si>
    <t>休眠Slv</t>
  </si>
  <si>
    <t>熱狂Slv</t>
  </si>
  <si>
    <t>焼灼Slv</t>
  </si>
  <si>
    <t>Slv軍団</t>
  </si>
  <si>
    <t>Slvの女王</t>
  </si>
  <si>
    <t>Slvの首領</t>
  </si>
  <si>
    <t>メタリック・Slv</t>
  </si>
  <si>
    <t>Slv鍛冶</t>
  </si>
  <si>
    <t>ヴェンセールのSlv</t>
  </si>
  <si>
    <t>精油Slv</t>
    <phoneticPr fontId="1"/>
  </si>
  <si>
    <t>TSP</t>
    <phoneticPr fontId="1"/>
  </si>
  <si>
    <t>STH,TSB</t>
  </si>
  <si>
    <t>STH,TSB</t>
    <phoneticPr fontId="1"/>
  </si>
  <si>
    <t>LGN,TSB</t>
  </si>
  <si>
    <t>LGN,TSB</t>
    <phoneticPr fontId="1"/>
  </si>
  <si>
    <t>S:BB</t>
  </si>
  <si>
    <t>Sサイクリ</t>
  </si>
  <si>
    <t>P+2</t>
  </si>
  <si>
    <t>増力Slv</t>
    <phoneticPr fontId="1"/>
  </si>
  <si>
    <t>霊炎Slv</t>
    <phoneticPr fontId="1"/>
  </si>
  <si>
    <t>*</t>
    <phoneticPr fontId="1"/>
  </si>
  <si>
    <t>*</t>
    <phoneticPr fontId="1"/>
  </si>
  <si>
    <t>侍</t>
    <rPh sb="0" eb="1">
      <t>サムライ</t>
    </rPh>
    <phoneticPr fontId="1"/>
  </si>
  <si>
    <t>献身的な家来</t>
  </si>
  <si>
    <t>新参の武士</t>
  </si>
  <si>
    <t>名誉の手</t>
  </si>
  <si>
    <t>内室の護衛</t>
  </si>
  <si>
    <t>荒場の蛾乗り</t>
  </si>
  <si>
    <t>残虐の手</t>
  </si>
  <si>
    <t>薄青幕の侍</t>
  </si>
  <si>
    <t>笑む猫、憲太郎</t>
  </si>
  <si>
    <t>今田の旗本</t>
  </si>
  <si>
    <t>戦に狂える浪人</t>
  </si>
  <si>
    <t>苦弄の心酔者</t>
  </si>
  <si>
    <t>鼠の浪人</t>
  </si>
  <si>
    <t>梅澤俊郎</t>
  </si>
  <si>
    <t>悟りの武士、勲雄</t>
  </si>
  <si>
    <t>今田の用心棒、乳眼</t>
  </si>
  <si>
    <t>狐の刃遣い</t>
  </si>
  <si>
    <t>浪人の犬師</t>
  </si>
  <si>
    <t>霜剣山の背教者</t>
  </si>
  <si>
    <t>武野の騎兵</t>
  </si>
  <si>
    <t>呪われた浪人</t>
  </si>
  <si>
    <t>蛾乗りの侍</t>
  </si>
  <si>
    <t>卑血の芙巳子</t>
  </si>
  <si>
    <t>義理に縛られし者、長雄</t>
  </si>
  <si>
    <t>恩義ある侍</t>
  </si>
  <si>
    <t>沼居ののけ者</t>
  </si>
  <si>
    <t>浪人の崖乗り</t>
  </si>
  <si>
    <t>霜剣山の呪刃</t>
  </si>
  <si>
    <t>狐の明け刃</t>
  </si>
  <si>
    <t>侍の処罰者</t>
  </si>
  <si>
    <t>浪人の洞守り</t>
  </si>
  <si>
    <t>銀嵐の侍</t>
  </si>
  <si>
    <t>永岩城の君主、今田</t>
  </si>
  <si>
    <t>WW</t>
  </si>
  <si>
    <t>1WW</t>
  </si>
  <si>
    <t>4WW</t>
  </si>
  <si>
    <t>5W</t>
  </si>
  <si>
    <t>5WW</t>
  </si>
  <si>
    <t>2RR</t>
  </si>
  <si>
    <t>3RR</t>
  </si>
  <si>
    <t>4R</t>
  </si>
  <si>
    <t>BB</t>
  </si>
  <si>
    <t>1BB</t>
  </si>
  <si>
    <t>CHK</t>
    <phoneticPr fontId="1"/>
  </si>
  <si>
    <t>slv</t>
    <phoneticPr fontId="1"/>
  </si>
  <si>
    <t>除去</t>
    <rPh sb="0" eb="2">
      <t>ジョキョ</t>
    </rPh>
    <phoneticPr fontId="1"/>
  </si>
  <si>
    <t>人間</t>
    <rPh sb="0" eb="2">
      <t>ニンゲン</t>
    </rPh>
    <phoneticPr fontId="1"/>
  </si>
  <si>
    <t>武士道</t>
    <rPh sb="0" eb="3">
      <t>ブシドウ</t>
    </rPh>
    <phoneticPr fontId="1"/>
  </si>
  <si>
    <t>条件反転</t>
    <rPh sb="0" eb="2">
      <t>ジョウケン</t>
    </rPh>
    <rPh sb="2" eb="4">
      <t>ハンテン</t>
    </rPh>
    <phoneticPr fontId="1"/>
  </si>
  <si>
    <t>冷酷なる者、謙造</t>
  </si>
  <si>
    <t>プロ黒</t>
    <rPh sb="2" eb="3">
      <t>クロ</t>
    </rPh>
    <phoneticPr fontId="1"/>
  </si>
  <si>
    <t>飛行</t>
    <rPh sb="0" eb="2">
      <t>ヒコウ</t>
    </rPh>
    <phoneticPr fontId="1"/>
  </si>
  <si>
    <t>狐</t>
    <rPh sb="0" eb="1">
      <t>キツネ</t>
    </rPh>
    <phoneticPr fontId="1"/>
  </si>
  <si>
    <t>T:add武士道1</t>
    <rPh sb="5" eb="8">
      <t>ブシドウ</t>
    </rPh>
    <phoneticPr fontId="1"/>
  </si>
  <si>
    <t>プロ白</t>
    <rPh sb="2" eb="3">
      <t>シロ</t>
    </rPh>
    <phoneticPr fontId="1"/>
  </si>
  <si>
    <t>死亡追放</t>
    <rPh sb="0" eb="2">
      <t>シボウ</t>
    </rPh>
    <rPh sb="2" eb="4">
      <t>ツイホウ</t>
    </rPh>
    <phoneticPr fontId="1"/>
  </si>
  <si>
    <t>侍無色支払</t>
    <rPh sb="0" eb="1">
      <t>サムライ</t>
    </rPh>
    <rPh sb="1" eb="3">
      <t>ムショク</t>
    </rPh>
    <rPh sb="3" eb="5">
      <t>シハライ</t>
    </rPh>
    <phoneticPr fontId="1"/>
  </si>
  <si>
    <t>伝侍がいると+1/+2警</t>
    <rPh sb="0" eb="1">
      <t>デン</t>
    </rPh>
    <rPh sb="1" eb="2">
      <t>サムライ</t>
    </rPh>
    <rPh sb="11" eb="12">
      <t>ケイ</t>
    </rPh>
    <phoneticPr fontId="1"/>
  </si>
  <si>
    <t>強制攻撃</t>
    <rPh sb="0" eb="2">
      <t>キョウセイ</t>
    </rPh>
    <rPh sb="2" eb="4">
      <t>コウゲキ</t>
    </rPh>
    <phoneticPr fontId="1"/>
  </si>
  <si>
    <t>ネズミ</t>
    <phoneticPr fontId="1"/>
  </si>
  <si>
    <t>1B:再生</t>
    <rPh sb="3" eb="5">
      <t>サイセイ</t>
    </rPh>
    <phoneticPr fontId="1"/>
  </si>
  <si>
    <t>同名+2/+2速攻</t>
    <rPh sb="0" eb="2">
      <t>ドウメイ</t>
    </rPh>
    <rPh sb="7" eb="9">
      <t>ソッコウ</t>
    </rPh>
    <phoneticPr fontId="1"/>
  </si>
  <si>
    <t>敵軍死亡誘FB</t>
    <rPh sb="0" eb="2">
      <t>テキグン</t>
    </rPh>
    <rPh sb="2" eb="4">
      <t>シボウ</t>
    </rPh>
    <rPh sb="4" eb="5">
      <t>イザナ</t>
    </rPh>
    <phoneticPr fontId="1"/>
  </si>
  <si>
    <t>非打消　2：侍再生</t>
    <rPh sb="0" eb="1">
      <t>ヒ</t>
    </rPh>
    <rPh sb="1" eb="3">
      <t>ウチケ</t>
    </rPh>
    <rPh sb="6" eb="7">
      <t>サムライ</t>
    </rPh>
    <rPh sb="7" eb="9">
      <t>サイセイ</t>
    </rPh>
    <phoneticPr fontId="1"/>
  </si>
  <si>
    <t>防衛　T：打点偏向　1W:1軽減</t>
    <rPh sb="0" eb="2">
      <t>ボウエイ</t>
    </rPh>
    <rPh sb="5" eb="7">
      <t>ダテン</t>
    </rPh>
    <rPh sb="7" eb="9">
      <t>ヘンコウ</t>
    </rPh>
    <rPh sb="14" eb="16">
      <t>ケイゲン</t>
    </rPh>
    <phoneticPr fontId="1"/>
  </si>
  <si>
    <t>先制</t>
    <rPh sb="0" eb="2">
      <t>センセイ</t>
    </rPh>
    <phoneticPr fontId="1"/>
  </si>
  <si>
    <t>速攻</t>
    <rPh sb="0" eb="2">
      <t>ソッコウ</t>
    </rPh>
    <phoneticPr fontId="1"/>
  </si>
  <si>
    <t>オーガ</t>
    <phoneticPr fontId="1"/>
  </si>
  <si>
    <t>自UPK手札多いPLのCTL</t>
    <rPh sb="0" eb="1">
      <t>ジ</t>
    </rPh>
    <rPh sb="4" eb="6">
      <t>テフダ</t>
    </rPh>
    <rPh sb="6" eb="7">
      <t>オオ</t>
    </rPh>
    <phoneticPr fontId="1"/>
  </si>
  <si>
    <t>T:霊体限定レンジ</t>
    <rPh sb="2" eb="3">
      <t>レイ</t>
    </rPh>
    <rPh sb="3" eb="4">
      <t>タイ</t>
    </rPh>
    <rPh sb="4" eb="6">
      <t>ゲンテイ</t>
    </rPh>
    <phoneticPr fontId="1"/>
  </si>
  <si>
    <t>B：+1/+1</t>
    <phoneticPr fontId="1"/>
  </si>
  <si>
    <t>X</t>
    <phoneticPr fontId="1"/>
  </si>
  <si>
    <t>X=攻撃生物　敵軍全員強制攻撃</t>
    <rPh sb="2" eb="4">
      <t>コウゲキ</t>
    </rPh>
    <rPh sb="4" eb="6">
      <t>セイブツ</t>
    </rPh>
    <rPh sb="7" eb="9">
      <t>テキグン</t>
    </rPh>
    <rPh sb="9" eb="11">
      <t>ゼンイン</t>
    </rPh>
    <rPh sb="11" eb="13">
      <t>キョウセイ</t>
    </rPh>
    <rPh sb="13" eb="15">
      <t>コウゲキ</t>
    </rPh>
    <phoneticPr fontId="1"/>
  </si>
  <si>
    <t>自軍侍死亡誘自身+1/+1C</t>
    <rPh sb="0" eb="1">
      <t>ジ</t>
    </rPh>
    <rPh sb="1" eb="2">
      <t>グン</t>
    </rPh>
    <rPh sb="2" eb="3">
      <t>サムライ</t>
    </rPh>
    <rPh sb="3" eb="5">
      <t>シボウ</t>
    </rPh>
    <rPh sb="5" eb="6">
      <t>イザナ</t>
    </rPh>
    <rPh sb="6" eb="8">
      <t>ジシン</t>
    </rPh>
    <phoneticPr fontId="1"/>
  </si>
  <si>
    <t>B,Pay5：再生</t>
    <rPh sb="7" eb="9">
      <t>サイセイ</t>
    </rPh>
    <phoneticPr fontId="1"/>
  </si>
  <si>
    <t>攻撃時敵軍全1点</t>
    <rPh sb="0" eb="2">
      <t>コウゲキ</t>
    </rPh>
    <rPh sb="2" eb="3">
      <t>ジ</t>
    </rPh>
    <rPh sb="3" eb="5">
      <t>テキグン</t>
    </rPh>
    <rPh sb="5" eb="6">
      <t>ゼン</t>
    </rPh>
    <rPh sb="7" eb="8">
      <t>テン</t>
    </rPh>
    <phoneticPr fontId="1"/>
  </si>
  <si>
    <t>1R：P+手札</t>
    <rPh sb="5" eb="7">
      <t>テフダ</t>
    </rPh>
    <phoneticPr fontId="1"/>
  </si>
  <si>
    <t>CIP　生物1タップ</t>
    <rPh sb="4" eb="6">
      <t>セイブツ</t>
    </rPh>
    <phoneticPr fontId="1"/>
  </si>
  <si>
    <t>瞬速</t>
    <rPh sb="0" eb="1">
      <t>シュン</t>
    </rPh>
    <rPh sb="1" eb="2">
      <t>ソク</t>
    </rPh>
    <phoneticPr fontId="1"/>
  </si>
  <si>
    <t>自軍侍、武士道分+X/+X</t>
    <rPh sb="0" eb="1">
      <t>ジ</t>
    </rPh>
    <rPh sb="1" eb="2">
      <t>グン</t>
    </rPh>
    <rPh sb="2" eb="3">
      <t>サムライ</t>
    </rPh>
    <rPh sb="4" eb="7">
      <t>ブシドウ</t>
    </rPh>
    <rPh sb="7" eb="8">
      <t>ブン</t>
    </rPh>
    <phoneticPr fontId="1"/>
  </si>
  <si>
    <t>伝説</t>
    <rPh sb="0" eb="2">
      <t>デンセツ</t>
    </rPh>
    <phoneticPr fontId="1"/>
  </si>
  <si>
    <t>二段</t>
    <rPh sb="0" eb="2">
      <t>ニダン</t>
    </rPh>
    <phoneticPr fontId="1"/>
  </si>
  <si>
    <t>攻撃時自軍侍+1/+1</t>
    <rPh sb="0" eb="2">
      <t>コウゲキ</t>
    </rPh>
    <rPh sb="2" eb="3">
      <t>ジ</t>
    </rPh>
    <rPh sb="3" eb="4">
      <t>ジ</t>
    </rPh>
    <rPh sb="4" eb="5">
      <t>グン</t>
    </rPh>
    <rPh sb="5" eb="6">
      <t>サムライ</t>
    </rPh>
    <phoneticPr fontId="1"/>
  </si>
  <si>
    <t>2R,侍S：自軍侍二段</t>
    <rPh sb="3" eb="4">
      <t>サムライ</t>
    </rPh>
    <rPh sb="6" eb="7">
      <t>ジ</t>
    </rPh>
    <rPh sb="7" eb="8">
      <t>グン</t>
    </rPh>
    <rPh sb="8" eb="9">
      <t>サムライ</t>
    </rPh>
    <rPh sb="9" eb="11">
      <t>ニダン</t>
    </rPh>
    <phoneticPr fontId="1"/>
  </si>
  <si>
    <t>MR</t>
    <phoneticPr fontId="1"/>
  </si>
  <si>
    <t>破壊不能　警戒</t>
    <rPh sb="0" eb="2">
      <t>ハカイ</t>
    </rPh>
    <rPh sb="2" eb="4">
      <t>フノウ</t>
    </rPh>
    <rPh sb="5" eb="7">
      <t>ケイカイ</t>
    </rPh>
    <phoneticPr fontId="1"/>
  </si>
  <si>
    <t>*</t>
  </si>
  <si>
    <t>N</t>
    <phoneticPr fontId="1"/>
  </si>
  <si>
    <t>L</t>
    <phoneticPr fontId="1"/>
  </si>
  <si>
    <t>M2</t>
    <phoneticPr fontId="1"/>
  </si>
  <si>
    <t>R</t>
    <phoneticPr fontId="1"/>
  </si>
  <si>
    <t>WB+G</t>
    <phoneticPr fontId="1"/>
  </si>
  <si>
    <t>UR+W</t>
    <phoneticPr fontId="1"/>
  </si>
  <si>
    <t>BG+U</t>
    <phoneticPr fontId="1"/>
  </si>
  <si>
    <t>RW+B</t>
    <phoneticPr fontId="1"/>
  </si>
  <si>
    <t>GU+R</t>
    <phoneticPr fontId="1"/>
  </si>
  <si>
    <t>A単C</t>
    <rPh sb="1" eb="2">
      <t>タン</t>
    </rPh>
    <phoneticPr fontId="1"/>
  </si>
  <si>
    <t>B単C</t>
    <rPh sb="1" eb="2">
      <t>タン</t>
    </rPh>
    <phoneticPr fontId="1"/>
  </si>
  <si>
    <t>C単C</t>
    <rPh sb="1" eb="2">
      <t>タン</t>
    </rPh>
    <phoneticPr fontId="1"/>
  </si>
  <si>
    <t>A単</t>
    <rPh sb="1" eb="2">
      <t>タン</t>
    </rPh>
    <phoneticPr fontId="1"/>
  </si>
  <si>
    <t>B単</t>
    <rPh sb="1" eb="2">
      <t>タン</t>
    </rPh>
    <phoneticPr fontId="1"/>
  </si>
  <si>
    <t>+</t>
    <phoneticPr fontId="1"/>
  </si>
  <si>
    <t>他</t>
    <rPh sb="0" eb="1">
      <t>タ</t>
    </rPh>
    <phoneticPr fontId="1"/>
  </si>
  <si>
    <t>C</t>
    <phoneticPr fontId="1"/>
  </si>
  <si>
    <t>生物</t>
    <rPh sb="0" eb="2">
      <t>セイブツ</t>
    </rPh>
    <phoneticPr fontId="1"/>
  </si>
  <si>
    <t>スピリット</t>
    <phoneticPr fontId="1"/>
  </si>
  <si>
    <t>感染</t>
  </si>
  <si>
    <t>ｺﾓﾝ</t>
  </si>
  <si>
    <t>ｱﾝｺﾓﾝ</t>
  </si>
  <si>
    <t>ﾚｱ</t>
  </si>
  <si>
    <t>神話</t>
  </si>
  <si>
    <t>墨蛾の生息地</t>
  </si>
  <si>
    <t>エルフ</t>
    <phoneticPr fontId="1"/>
  </si>
  <si>
    <t>.1/1</t>
    <phoneticPr fontId="1"/>
  </si>
  <si>
    <t>I</t>
    <phoneticPr fontId="1"/>
  </si>
  <si>
    <t>生物1体P+1+感</t>
    <rPh sb="0" eb="2">
      <t>セイブツ</t>
    </rPh>
    <rPh sb="3" eb="4">
      <t>タイ</t>
    </rPh>
    <rPh sb="8" eb="9">
      <t>カン</t>
    </rPh>
    <phoneticPr fontId="1"/>
  </si>
  <si>
    <t>E</t>
    <phoneticPr fontId="1"/>
  </si>
  <si>
    <t>オーラ</t>
    <phoneticPr fontId="1"/>
  </si>
  <si>
    <t>グレムリン</t>
    <phoneticPr fontId="1"/>
  </si>
  <si>
    <t>.1/1</t>
    <phoneticPr fontId="1"/>
  </si>
  <si>
    <t>蛇</t>
    <rPh sb="0" eb="1">
      <t>ヘビ</t>
    </rPh>
    <phoneticPr fontId="1"/>
  </si>
  <si>
    <t>.1/1</t>
    <phoneticPr fontId="1"/>
  </si>
  <si>
    <t>1G：再生</t>
    <rPh sb="3" eb="5">
      <t>サイセイ</t>
    </rPh>
    <phoneticPr fontId="1"/>
  </si>
  <si>
    <t>昆虫</t>
    <rPh sb="0" eb="2">
      <t>コンチュウ</t>
    </rPh>
    <phoneticPr fontId="1"/>
  </si>
  <si>
    <t>ホラー</t>
    <phoneticPr fontId="1"/>
  </si>
  <si>
    <t>.1/1</t>
    <phoneticPr fontId="1"/>
  </si>
  <si>
    <t>1GG</t>
  </si>
  <si>
    <t>.3/1</t>
    <phoneticPr fontId="1"/>
  </si>
  <si>
    <t>敵毒状態なら感染</t>
    <rPh sb="0" eb="1">
      <t>テキ</t>
    </rPh>
    <rPh sb="1" eb="2">
      <t>ドク</t>
    </rPh>
    <rPh sb="2" eb="4">
      <t>ジョウタイ</t>
    </rPh>
    <rPh sb="6" eb="8">
      <t>カンセン</t>
    </rPh>
    <phoneticPr fontId="1"/>
  </si>
  <si>
    <t>ビースト</t>
    <phoneticPr fontId="1"/>
  </si>
  <si>
    <t>.2/3</t>
    <phoneticPr fontId="1"/>
  </si>
  <si>
    <t>ゾンビ</t>
    <phoneticPr fontId="1"/>
  </si>
  <si>
    <t>.2/2</t>
    <phoneticPr fontId="1"/>
  </si>
  <si>
    <t>狼</t>
    <rPh sb="0" eb="1">
      <t>オオカミ</t>
    </rPh>
    <phoneticPr fontId="1"/>
  </si>
  <si>
    <t>.2/2</t>
    <phoneticPr fontId="1"/>
  </si>
  <si>
    <t>戦D→敵死誘ドロー</t>
    <rPh sb="0" eb="1">
      <t>セン</t>
    </rPh>
    <rPh sb="3" eb="4">
      <t>テキ</t>
    </rPh>
    <rPh sb="4" eb="5">
      <t>シ</t>
    </rPh>
    <rPh sb="5" eb="6">
      <t>イザナ</t>
    </rPh>
    <phoneticPr fontId="1"/>
  </si>
  <si>
    <t>蜘蛛</t>
    <rPh sb="0" eb="2">
      <t>クモ</t>
    </rPh>
    <phoneticPr fontId="1"/>
  </si>
  <si>
    <t>.2/4</t>
    <phoneticPr fontId="1"/>
  </si>
  <si>
    <t>プロファクト</t>
    <phoneticPr fontId="1"/>
  </si>
  <si>
    <t>ゴブリン</t>
    <phoneticPr fontId="1"/>
  </si>
  <si>
    <t>.2/1</t>
    <phoneticPr fontId="1"/>
  </si>
  <si>
    <t>.3/3</t>
    <phoneticPr fontId="1"/>
  </si>
  <si>
    <t>.4/1</t>
    <phoneticPr fontId="1"/>
  </si>
  <si>
    <t>B：再生</t>
    <rPh sb="2" eb="4">
      <t>サイセイ</t>
    </rPh>
    <phoneticPr fontId="1"/>
  </si>
  <si>
    <t>B：感染</t>
    <rPh sb="2" eb="4">
      <t>カンセン</t>
    </rPh>
    <phoneticPr fontId="1"/>
  </si>
  <si>
    <t>マイア</t>
    <phoneticPr fontId="1"/>
  </si>
  <si>
    <t>ブロックされるとPT+2</t>
    <phoneticPr fontId="1"/>
  </si>
  <si>
    <t>構築物</t>
    <rPh sb="0" eb="3">
      <t>コウチクブツ</t>
    </rPh>
    <phoneticPr fontId="1"/>
  </si>
  <si>
    <t>.2/1</t>
    <phoneticPr fontId="1"/>
  </si>
  <si>
    <t>猟犬</t>
    <rPh sb="0" eb="2">
      <t>リョウケン</t>
    </rPh>
    <phoneticPr fontId="1"/>
  </si>
  <si>
    <t>.2/2</t>
    <phoneticPr fontId="1"/>
  </si>
  <si>
    <t>CIP墓感生物回収</t>
    <rPh sb="3" eb="4">
      <t>ハカ</t>
    </rPh>
    <rPh sb="4" eb="5">
      <t>カン</t>
    </rPh>
    <rPh sb="5" eb="7">
      <t>セイブツ</t>
    </rPh>
    <rPh sb="7" eb="9">
      <t>カイシュウ</t>
    </rPh>
    <phoneticPr fontId="1"/>
  </si>
  <si>
    <t>.3/3</t>
    <phoneticPr fontId="1"/>
  </si>
  <si>
    <t>B/P：感染</t>
    <rPh sb="4" eb="6">
      <t>カンセン</t>
    </rPh>
    <phoneticPr fontId="1"/>
  </si>
  <si>
    <t>スペクター</t>
    <phoneticPr fontId="1"/>
  </si>
  <si>
    <t>飛行　P戦D誘S：毒分ハンデス</t>
    <rPh sb="0" eb="2">
      <t>ヒコウ</t>
    </rPh>
    <rPh sb="4" eb="5">
      <t>セン</t>
    </rPh>
    <rPh sb="6" eb="7">
      <t>イザナ</t>
    </rPh>
    <rPh sb="9" eb="10">
      <t>ドク</t>
    </rPh>
    <rPh sb="10" eb="11">
      <t>ブン</t>
    </rPh>
    <phoneticPr fontId="1"/>
  </si>
  <si>
    <t>.2/1</t>
    <phoneticPr fontId="1"/>
  </si>
  <si>
    <t>CIP　全PL毒1</t>
    <rPh sb="4" eb="5">
      <t>ゼン</t>
    </rPh>
    <rPh sb="7" eb="8">
      <t>ドク</t>
    </rPh>
    <phoneticPr fontId="1"/>
  </si>
  <si>
    <t>CIP　ファクト1破壊</t>
    <rPh sb="9" eb="11">
      <t>ハカイ</t>
    </rPh>
    <phoneticPr fontId="1"/>
  </si>
  <si>
    <t>.2/2</t>
    <phoneticPr fontId="1"/>
  </si>
  <si>
    <t>攻撃時、敵毒状態→PT+1</t>
    <rPh sb="0" eb="2">
      <t>コウゲキ</t>
    </rPh>
    <rPh sb="2" eb="3">
      <t>ジ</t>
    </rPh>
    <rPh sb="4" eb="5">
      <t>テキ</t>
    </rPh>
    <rPh sb="5" eb="6">
      <t>ドク</t>
    </rPh>
    <rPh sb="6" eb="8">
      <t>ジョウタイ</t>
    </rPh>
    <phoneticPr fontId="1"/>
  </si>
  <si>
    <t>インプ</t>
    <phoneticPr fontId="1"/>
  </si>
  <si>
    <t>飛行　生物S：PT+1</t>
    <rPh sb="0" eb="2">
      <t>ヒコウ</t>
    </rPh>
    <rPh sb="3" eb="5">
      <t>セイブツ</t>
    </rPh>
    <phoneticPr fontId="1"/>
  </si>
  <si>
    <t>自軍生物PT+1+感染</t>
    <rPh sb="0" eb="1">
      <t>ジ</t>
    </rPh>
    <rPh sb="1" eb="2">
      <t>グン</t>
    </rPh>
    <rPh sb="2" eb="4">
      <t>セイブツ</t>
    </rPh>
    <rPh sb="9" eb="11">
      <t>カンセン</t>
    </rPh>
    <phoneticPr fontId="1"/>
  </si>
  <si>
    <t>.1/5</t>
    <phoneticPr fontId="1"/>
  </si>
  <si>
    <t>G：ルアー</t>
    <phoneticPr fontId="1"/>
  </si>
  <si>
    <t>2体感染1/1昆虫</t>
    <rPh sb="1" eb="2">
      <t>タイ</t>
    </rPh>
    <rPh sb="2" eb="4">
      <t>カンセン</t>
    </rPh>
    <rPh sb="7" eb="9">
      <t>コンチュウ</t>
    </rPh>
    <phoneticPr fontId="1"/>
  </si>
  <si>
    <t>.2/5</t>
    <phoneticPr fontId="1"/>
  </si>
  <si>
    <t>D受誘→発生源毒1</t>
    <rPh sb="1" eb="2">
      <t>ウ</t>
    </rPh>
    <rPh sb="2" eb="3">
      <t>イザナ</t>
    </rPh>
    <rPh sb="4" eb="7">
      <t>ハッセイゲン</t>
    </rPh>
    <rPh sb="7" eb="8">
      <t>ドク</t>
    </rPh>
    <phoneticPr fontId="1"/>
  </si>
  <si>
    <t>ビースト</t>
    <phoneticPr fontId="1"/>
  </si>
  <si>
    <t>.3/4</t>
    <phoneticPr fontId="1"/>
  </si>
  <si>
    <t>スーパートランプル</t>
    <phoneticPr fontId="1"/>
  </si>
  <si>
    <t>.1/1</t>
    <phoneticPr fontId="1"/>
  </si>
  <si>
    <t>RIP　1体-1/-1C</t>
    <rPh sb="5" eb="6">
      <t>タイ</t>
    </rPh>
    <phoneticPr fontId="1"/>
  </si>
  <si>
    <t>T:C</t>
    <phoneticPr fontId="1"/>
  </si>
  <si>
    <t>.2/2</t>
    <phoneticPr fontId="1"/>
  </si>
  <si>
    <t>RIP　増殖</t>
    <rPh sb="4" eb="6">
      <t>ゾウショク</t>
    </rPh>
    <phoneticPr fontId="1"/>
  </si>
  <si>
    <t>CIP　3C　GGT:addC 2T-1C：感染1/1昆虫</t>
    <rPh sb="22" eb="24">
      <t>カンセン</t>
    </rPh>
    <rPh sb="27" eb="29">
      <t>コンチュウ</t>
    </rPh>
    <phoneticPr fontId="1"/>
  </si>
  <si>
    <t>装備品</t>
    <rPh sb="0" eb="3">
      <t>ソウビヒン</t>
    </rPh>
    <phoneticPr fontId="1"/>
  </si>
  <si>
    <t>感染+2/+2　外れるとS　2：装備</t>
    <rPh sb="0" eb="2">
      <t>カンセン</t>
    </rPh>
    <rPh sb="8" eb="9">
      <t>ハズ</t>
    </rPh>
    <rPh sb="16" eb="18">
      <t>ソウビ</t>
    </rPh>
    <phoneticPr fontId="1"/>
  </si>
  <si>
    <t>巨大洗車</t>
    <rPh sb="0" eb="2">
      <t>キョダイ</t>
    </rPh>
    <rPh sb="2" eb="4">
      <t>センシャ</t>
    </rPh>
    <phoneticPr fontId="1"/>
  </si>
  <si>
    <t>.5/5</t>
    <phoneticPr fontId="1"/>
  </si>
  <si>
    <t>スカウト</t>
    <phoneticPr fontId="1"/>
  </si>
  <si>
    <t>伝説　毒/-1/-1/感染無効</t>
    <rPh sb="0" eb="2">
      <t>デンセツ</t>
    </rPh>
    <rPh sb="3" eb="4">
      <t>ドク</t>
    </rPh>
    <rPh sb="11" eb="13">
      <t>カンセン</t>
    </rPh>
    <rPh sb="13" eb="15">
      <t>ムコウ</t>
    </rPh>
    <phoneticPr fontId="1"/>
  </si>
  <si>
    <t>感染　UPK毎-1/-1C　ｴﾀｰﾅﾙｴﾝﾁｬ</t>
    <rPh sb="0" eb="2">
      <t>カンセン</t>
    </rPh>
    <rPh sb="6" eb="7">
      <t>ゴト</t>
    </rPh>
    <phoneticPr fontId="1"/>
  </si>
  <si>
    <t>騎士</t>
    <rPh sb="0" eb="2">
      <t>キシ</t>
    </rPh>
    <phoneticPr fontId="1"/>
  </si>
  <si>
    <t>先制　プロ白赤</t>
    <rPh sb="0" eb="2">
      <t>センセイ</t>
    </rPh>
    <rPh sb="5" eb="6">
      <t>シロ</t>
    </rPh>
    <rPh sb="6" eb="7">
      <t>アカ</t>
    </rPh>
    <phoneticPr fontId="1"/>
  </si>
  <si>
    <t>.3/2</t>
    <phoneticPr fontId="1"/>
  </si>
  <si>
    <t>感染ﾛｰﾄﾞ　感染生物唱誘→PL毒1</t>
    <rPh sb="0" eb="2">
      <t>カンセン</t>
    </rPh>
    <rPh sb="7" eb="9">
      <t>カンセン</t>
    </rPh>
    <rPh sb="9" eb="11">
      <t>セイブツ</t>
    </rPh>
    <rPh sb="11" eb="12">
      <t>トナ</t>
    </rPh>
    <rPh sb="12" eb="13">
      <t>ヤジルシ</t>
    </rPh>
    <rPh sb="16" eb="17">
      <t>１</t>
    </rPh>
    <phoneticPr fontId="1"/>
  </si>
  <si>
    <t>.4/5</t>
    <phoneticPr fontId="1"/>
  </si>
  <si>
    <t>UPK毎自毒1</t>
    <rPh sb="3" eb="4">
      <t>ゴト</t>
    </rPh>
    <rPh sb="4" eb="5">
      <t>ジ</t>
    </rPh>
    <rPh sb="5" eb="6">
      <t>ドク</t>
    </rPh>
    <phoneticPr fontId="1"/>
  </si>
  <si>
    <t>ハイドラ</t>
    <phoneticPr fontId="1"/>
  </si>
  <si>
    <t>.7/7</t>
    <phoneticPr fontId="1"/>
  </si>
  <si>
    <t>.5/3</t>
    <phoneticPr fontId="1"/>
  </si>
  <si>
    <t>.4/4</t>
    <phoneticPr fontId="1"/>
  </si>
  <si>
    <t>UPK毎敵毒分感染1/1昆虫</t>
    <rPh sb="3" eb="4">
      <t>ゴト</t>
    </rPh>
    <rPh sb="4" eb="5">
      <t>テキ</t>
    </rPh>
    <rPh sb="5" eb="6">
      <t>ドク</t>
    </rPh>
    <rPh sb="6" eb="7">
      <t>ブン</t>
    </rPh>
    <rPh sb="7" eb="9">
      <t>カンセン</t>
    </rPh>
    <rPh sb="12" eb="14">
      <t>コンチュウ</t>
    </rPh>
    <phoneticPr fontId="1"/>
  </si>
  <si>
    <t>T：C　1：飛行感染1/1化</t>
    <rPh sb="6" eb="8">
      <t>ヒコウ</t>
    </rPh>
    <rPh sb="8" eb="10">
      <t>カンセン</t>
    </rPh>
    <rPh sb="13" eb="14">
      <t>カ</t>
    </rPh>
    <phoneticPr fontId="1"/>
  </si>
  <si>
    <t>ドラゴン</t>
    <phoneticPr fontId="1"/>
  </si>
  <si>
    <t>スケルトン</t>
    <phoneticPr fontId="1"/>
  </si>
  <si>
    <t>.4/4</t>
    <phoneticPr fontId="1"/>
  </si>
  <si>
    <t>伝説飛行　B：速攻　BB：再生</t>
    <rPh sb="0" eb="2">
      <t>デンセツ</t>
    </rPh>
    <rPh sb="2" eb="4">
      <t>ヒコウ</t>
    </rPh>
    <rPh sb="7" eb="9">
      <t>ソッコウ</t>
    </rPh>
    <rPh sb="13" eb="15">
      <t>サイセイ</t>
    </rPh>
    <phoneticPr fontId="1"/>
  </si>
  <si>
    <t>ゴーレム</t>
    <phoneticPr fontId="1"/>
  </si>
  <si>
    <t>.11/11</t>
    <phoneticPr fontId="1"/>
  </si>
  <si>
    <t>貫通　破壊不能　RIP置換山札行</t>
    <rPh sb="0" eb="2">
      <t>カンツウ</t>
    </rPh>
    <rPh sb="3" eb="5">
      <t>ハカイ</t>
    </rPh>
    <rPh sb="5" eb="7">
      <t>フノウ</t>
    </rPh>
    <rPh sb="11" eb="13">
      <t>チカン</t>
    </rPh>
    <rPh sb="13" eb="14">
      <t>ヤマ</t>
    </rPh>
    <rPh sb="14" eb="15">
      <t>フダ</t>
    </rPh>
    <rPh sb="15" eb="16">
      <t>イキ</t>
    </rPh>
    <phoneticPr fontId="1"/>
  </si>
  <si>
    <t>貫通　速攻　T終了時S</t>
    <rPh sb="0" eb="2">
      <t>カンツウ</t>
    </rPh>
    <rPh sb="3" eb="5">
      <t>ソッコウ</t>
    </rPh>
    <rPh sb="7" eb="10">
      <t>シュウリョウジ</t>
    </rPh>
    <phoneticPr fontId="1"/>
  </si>
  <si>
    <t>ダメージ分萎縮</t>
    <rPh sb="4" eb="5">
      <t>ブン</t>
    </rPh>
    <rPh sb="5" eb="7">
      <t>イシュク</t>
    </rPh>
    <phoneticPr fontId="1"/>
  </si>
  <si>
    <t>ぎらつかせのｴﾙﾌ</t>
  </si>
  <si>
    <t>汚れた一撃</t>
  </si>
  <si>
    <t>ﾌｧｲﾚｸｼｱ化</t>
  </si>
  <si>
    <t>解剖妖魔</t>
  </si>
  <si>
    <t>荒廃のﾏﾝﾊﾞ</t>
  </si>
  <si>
    <t>疫病のとげ刺し</t>
  </si>
  <si>
    <t>ヴｨﾘｼﾞｱﾝの背信者</t>
  </si>
  <si>
    <t>嚢胞抱え</t>
  </si>
  <si>
    <t>伝染病の屍賊</t>
  </si>
  <si>
    <t>腐敗狼</t>
  </si>
  <si>
    <t>荒廃後家蜘蛛</t>
  </si>
  <si>
    <t>ﾃﾙ=ｼﾞﾗｰﾄﾞの堕ちたる者</t>
  </si>
  <si>
    <t>2GG</t>
  </si>
  <si>
    <t>黒割れのｺﾞﾌﾞﾘﾝ</t>
  </si>
  <si>
    <t>災いの召使い</t>
  </si>
  <si>
    <t>毒の屍賊</t>
  </si>
  <si>
    <t>4BB</t>
  </si>
  <si>
    <t>媒介のｱｽﾌﾟ</t>
  </si>
  <si>
    <t>胆液爪のﾏｲｱ</t>
  </si>
  <si>
    <t>ﾌｧｲﾚｸｼｱの消化者</t>
  </si>
  <si>
    <t>死体の野犬</t>
  </si>
  <si>
    <t>黒死病の魂喰い</t>
  </si>
  <si>
    <t>囁く死霊</t>
  </si>
  <si>
    <t>胆液の鼠</t>
  </si>
  <si>
    <t>ヴｨﾘｼﾞｱﾝの堕落者</t>
  </si>
  <si>
    <t>敗血のﾈｽﾞﾐ</t>
  </si>
  <si>
    <t>肉食いｲﾝﾌﾟ</t>
  </si>
  <si>
    <t>大軍の功績</t>
  </si>
  <si>
    <t>絡み森の鮟鱇</t>
  </si>
  <si>
    <t>屍肉の呼び声</t>
  </si>
  <si>
    <t>ｼｪｵﾙﾄﾞﾚｯﾄﾞの刈り取るもの</t>
  </si>
  <si>
    <t>脊柱噛み</t>
  </si>
  <si>
    <t>4GG</t>
  </si>
  <si>
    <t>屍百足</t>
  </si>
  <si>
    <t>疫病のﾏｲｱ</t>
  </si>
  <si>
    <t>核をうろつくもの</t>
  </si>
  <si>
    <t>感染の三角護符</t>
  </si>
  <si>
    <t>生体融合外骨格</t>
  </si>
  <si>
    <t>ﾌｧｲﾚｸｼｱの巨大戦車</t>
  </si>
  <si>
    <t>ｼﾙヴｫｸののけ者､ﾒﾘｰﾗ</t>
  </si>
  <si>
    <t>ぎらつく油</t>
  </si>
  <si>
    <t>ﾌｧｲﾚｸｼｱの十字軍</t>
  </si>
  <si>
    <t>法務官の手</t>
  </si>
  <si>
    <t>ﾌｧｲﾚｸｼｱの槽母</t>
  </si>
  <si>
    <t>ﾌｧｲﾚｸｼｱのﾊｲﾄﾞﾗ</t>
  </si>
  <si>
    <t>3GG</t>
  </si>
  <si>
    <t>化膿獣</t>
  </si>
  <si>
    <t>ﾌｧｲﾚｸｼｱの群れの王</t>
  </si>
  <si>
    <t>荒廃のﾄﾞﾗｺﾞﾝ､ｽｷｼﾞﾘｸｽ</t>
  </si>
  <si>
    <t>3BB</t>
  </si>
  <si>
    <t>荒廃鋼の巨像</t>
  </si>
  <si>
    <t>6</t>
    <phoneticPr fontId="1"/>
  </si>
  <si>
    <t>多</t>
    <rPh sb="0" eb="1">
      <t>タ</t>
    </rPh>
    <phoneticPr fontId="1"/>
  </si>
  <si>
    <t>コモン</t>
  </si>
  <si>
    <t>確約の神主</t>
  </si>
  <si>
    <t>人間</t>
  </si>
  <si>
    <t>ドルイド</t>
  </si>
  <si>
    <t>転生7</t>
  </si>
  <si>
    <t>死の鐘音の神</t>
  </si>
  <si>
    <t>スピリット</t>
  </si>
  <si>
    <t>0/1</t>
  </si>
  <si>
    <t>飛行　転生1　2：+1/+1+終了時S</t>
  </si>
  <si>
    <t>樹海の古松</t>
  </si>
  <si>
    <t>SC-DT3内土地手札残DB　転生2</t>
  </si>
  <si>
    <t>希望の盗人</t>
  </si>
  <si>
    <t>SC-1吸　転生2</t>
  </si>
  <si>
    <t>空の墓の神</t>
  </si>
  <si>
    <t>転生3</t>
  </si>
  <si>
    <t>つぶやく神</t>
  </si>
  <si>
    <t>飛行　転生3</t>
  </si>
  <si>
    <t>月明かりの徘徊者</t>
  </si>
  <si>
    <t>S:生物1任意色プロ　転生3</t>
  </si>
  <si>
    <t>刻みを継ぐもの</t>
  </si>
  <si>
    <t>S:生物1+2/+2　転生3</t>
  </si>
  <si>
    <t>小走りの死神</t>
  </si>
  <si>
    <t>S:生物1-1/-1　転生4</t>
  </si>
  <si>
    <t>春の先駆け</t>
  </si>
  <si>
    <t>プロ非スピリット　転生4</t>
  </si>
  <si>
    <t>鳥居を見張るもの</t>
  </si>
  <si>
    <t>警戒　転生4</t>
  </si>
  <si>
    <t>尊い蜘蛛</t>
  </si>
  <si>
    <t>到達　転生4</t>
  </si>
  <si>
    <t>百爪の神</t>
  </si>
  <si>
    <t>飛行　転生4</t>
  </si>
  <si>
    <t>夜泥の神</t>
  </si>
  <si>
    <t>転生5</t>
  </si>
  <si>
    <t>這い回る不浄</t>
  </si>
  <si>
    <t>畏怖　転生5</t>
  </si>
  <si>
    <t>蔦の神</t>
  </si>
  <si>
    <t>6G</t>
  </si>
  <si>
    <t>威迫　転生6</t>
  </si>
  <si>
    <t>アンコモン</t>
  </si>
  <si>
    <t>根走り</t>
  </si>
  <si>
    <t>GGS:根絶やし　転生3</t>
  </si>
  <si>
    <t>手入れされた庭の神</t>
  </si>
  <si>
    <t>維持コストG　転生3</t>
  </si>
  <si>
    <t>別れ枝絡み</t>
  </si>
  <si>
    <t>転生4　転生4</t>
  </si>
  <si>
    <t>宮殿の野の神</t>
  </si>
  <si>
    <t>飛行　先制　転生5</t>
  </si>
  <si>
    <t>狂気の神</t>
  </si>
  <si>
    <t>飛行　転生5</t>
  </si>
  <si>
    <t>膿の神</t>
  </si>
  <si>
    <t>5BB</t>
  </si>
  <si>
    <t>BS:闇への追放　転生6</t>
  </si>
  <si>
    <t>名誉ある死者の神</t>
  </si>
  <si>
    <t>飛行　逆絆魂　転生6</t>
  </si>
  <si>
    <t>千脚の神</t>
  </si>
  <si>
    <t>6GG</t>
  </si>
  <si>
    <t>樹海の胴</t>
  </si>
  <si>
    <t>7GG</t>
  </si>
  <si>
    <t>貫通　転生8</t>
  </si>
  <si>
    <t>レア</t>
  </si>
  <si>
    <t>中の樹の木霊</t>
  </si>
  <si>
    <t>*/*</t>
  </si>
  <si>
    <t>伝説　転生*　*=スピリット数</t>
  </si>
  <si>
    <t>飢えたるもの、卑堕硫</t>
  </si>
  <si>
    <t>伝説　飛行　1スピリットS：選択ハンデス　転生4</t>
  </si>
  <si>
    <t>1/1</t>
  </si>
  <si>
    <t>2/1</t>
  </si>
  <si>
    <t>2/2</t>
  </si>
  <si>
    <t>4/1</t>
  </si>
  <si>
    <t>1/4</t>
  </si>
  <si>
    <t>4/2</t>
  </si>
  <si>
    <t>3/3</t>
  </si>
  <si>
    <t>2/3</t>
  </si>
  <si>
    <t>6/4</t>
  </si>
  <si>
    <t>4/4</t>
  </si>
  <si>
    <t>3/2</t>
  </si>
  <si>
    <t>3/5</t>
  </si>
  <si>
    <t>6/6</t>
  </si>
  <si>
    <t>8/5</t>
  </si>
  <si>
    <t>WB-コモン</t>
  </si>
  <si>
    <t>亡霊招き</t>
  </si>
  <si>
    <t>W/B</t>
  </si>
  <si>
    <t>I</t>
  </si>
  <si>
    <t>墓地1追放　飛行1/1スピリット</t>
  </si>
  <si>
    <t>御身の刃</t>
  </si>
  <si>
    <t>E</t>
  </si>
  <si>
    <t>オーラ</t>
  </si>
  <si>
    <t>白+1/+2　黒+2/+1</t>
  </si>
  <si>
    <t>つねるグウィリオン</t>
  </si>
  <si>
    <t>絆魂</t>
  </si>
  <si>
    <t>処刑人の一振り</t>
  </si>
  <si>
    <t>D与えた生物を-5/-5</t>
  </si>
  <si>
    <t>酷評</t>
  </si>
  <si>
    <t>S</t>
  </si>
  <si>
    <t>土地でないカード追放ハンデス</t>
  </si>
  <si>
    <t>税収飲み</t>
  </si>
  <si>
    <t>DGM</t>
  </si>
  <si>
    <t>吸血鬼</t>
  </si>
  <si>
    <t>絆魂　強請</t>
  </si>
  <si>
    <t>哀悼のスラル</t>
  </si>
  <si>
    <t>1W/B</t>
  </si>
  <si>
    <t>スラル</t>
  </si>
  <si>
    <t>飛行　絆魂</t>
  </si>
  <si>
    <t>夜空のミミック</t>
  </si>
  <si>
    <t>多相の戦士</t>
  </si>
  <si>
    <t>白or黒唱誘→4/4飛行</t>
  </si>
  <si>
    <t>過酷な命の糧</t>
  </si>
  <si>
    <t>１WB</t>
  </si>
  <si>
    <t>生物総数ドレイン</t>
  </si>
  <si>
    <t>ヴェクティスの威圧者</t>
  </si>
  <si>
    <t>FC</t>
  </si>
  <si>
    <t>ウィザード</t>
  </si>
  <si>
    <t>0/2</t>
  </si>
  <si>
    <t>T：タッパーただし2点ペイで無効</t>
  </si>
  <si>
    <t>損ない</t>
  </si>
  <si>
    <t>W/BW/BW/B</t>
  </si>
  <si>
    <t>生物1追放</t>
  </si>
  <si>
    <t>重要人物のペット</t>
  </si>
  <si>
    <t>飛行　強請</t>
  </si>
  <si>
    <t>不眠の晒し台</t>
  </si>
  <si>
    <t>なべ　UPK1ルーズ</t>
  </si>
  <si>
    <t>収穫のグウィリオン</t>
  </si>
  <si>
    <t>2W/BW/B</t>
  </si>
  <si>
    <t>ハッグ</t>
  </si>
  <si>
    <t>萎縮</t>
  </si>
  <si>
    <t>盲目の狩人</t>
  </si>
  <si>
    <t>2WB</t>
  </si>
  <si>
    <t>コウモリ</t>
  </si>
  <si>
    <t>飛行　憑依　CIP憑依2点吸</t>
  </si>
  <si>
    <t>不敬の粛清</t>
  </si>
  <si>
    <t>2ハンデス　2回復</t>
  </si>
  <si>
    <t>2/4</t>
  </si>
  <si>
    <t>UR-コモン</t>
  </si>
  <si>
    <t>天主の勢力</t>
  </si>
  <si>
    <t>U/R</t>
  </si>
  <si>
    <t>青+1/+1被覆　赤+1/+1速攻</t>
  </si>
  <si>
    <t>小川跳ね</t>
  </si>
  <si>
    <t>ゴブリン</t>
  </si>
  <si>
    <t>U/R：飛行</t>
  </si>
  <si>
    <t>飛び火</t>
  </si>
  <si>
    <t>複製UR　生物1P+1飛行先制</t>
  </si>
  <si>
    <t>薬術師の計略</t>
  </si>
  <si>
    <t>敵生物1P-2+強制攻撃　超過3UR</t>
  </si>
  <si>
    <t>裏返し</t>
  </si>
  <si>
    <t>1U/R</t>
  </si>
  <si>
    <t>生物1PT入替　1泥</t>
  </si>
  <si>
    <t>魔術火の翼</t>
  </si>
  <si>
    <t>P+2　飛行</t>
  </si>
  <si>
    <t>ゴブリンの電術師</t>
  </si>
  <si>
    <t>I/Sコスト-1</t>
  </si>
  <si>
    <t>川滝のミミック</t>
  </si>
  <si>
    <t>青赤唱誘→3/3アンブロ</t>
  </si>
  <si>
    <t>凍結燃焼の奇魔</t>
  </si>
  <si>
    <t>U/RU/R</t>
  </si>
  <si>
    <t>奇魔</t>
  </si>
  <si>
    <t>U/R：流動石</t>
  </si>
  <si>
    <t>1U/RU/R</t>
  </si>
  <si>
    <t>ノッグル</t>
  </si>
  <si>
    <t>ならず者</t>
  </si>
  <si>
    <t>防衛以外アンブロ</t>
  </si>
  <si>
    <t>ニヴィックスのサイクロプス</t>
  </si>
  <si>
    <t>サイクロプス</t>
  </si>
  <si>
    <t>防衛　I/S唱誘P+3+攻撃可</t>
  </si>
  <si>
    <t>小柄な竜装者</t>
  </si>
  <si>
    <t>フェアリー</t>
  </si>
  <si>
    <t>1/3</t>
  </si>
  <si>
    <t>飛行　I/S唱誘P+2</t>
  </si>
  <si>
    <t>本質の反発</t>
  </si>
  <si>
    <t>2UR</t>
  </si>
  <si>
    <t>生物呪文打消　P分打点</t>
  </si>
  <si>
    <t>鉱岩流液獣</t>
  </si>
  <si>
    <t>3U/R</t>
  </si>
  <si>
    <t>対象誘バウンス</t>
  </si>
  <si>
    <t>ノッグルの橋壊し</t>
  </si>
  <si>
    <t>2U/RU/R</t>
  </si>
  <si>
    <t>4/3</t>
  </si>
  <si>
    <t>CIP自土地バウンス</t>
  </si>
  <si>
    <t>イゼットの時術師</t>
  </si>
  <si>
    <t>3UR</t>
  </si>
  <si>
    <t>CIP墓地I/S回収</t>
  </si>
  <si>
    <t>狡猾な一撃</t>
  </si>
  <si>
    <t>PL&amp;C2点　1泥</t>
  </si>
  <si>
    <t>BG-コモン</t>
  </si>
  <si>
    <t>憎まれ者のトロウ</t>
  </si>
  <si>
    <t>B/G</t>
  </si>
  <si>
    <t>トロール</t>
  </si>
  <si>
    <t>1B/G：再生</t>
  </si>
  <si>
    <t>朽ちゆくヒル</t>
  </si>
  <si>
    <t>ゾンビ</t>
  </si>
  <si>
    <t>ヒル</t>
  </si>
  <si>
    <t>2Pay：+2/+2ターン1</t>
  </si>
  <si>
    <t>汚濁まみれ</t>
  </si>
  <si>
    <t>DT4LO　生物1に墓地土地数PT-X</t>
  </si>
  <si>
    <t>森潜みのミミック</t>
  </si>
  <si>
    <t>1B/G</t>
  </si>
  <si>
    <t>黒緑唱誘→4/5萎縮</t>
  </si>
  <si>
    <t>忌まわしい回収</t>
  </si>
  <si>
    <t>DT5からCorL回収残墓地</t>
  </si>
  <si>
    <t>よろめく殻</t>
  </si>
  <si>
    <t>1BG</t>
  </si>
  <si>
    <t>植物</t>
  </si>
  <si>
    <t>3/1</t>
  </si>
  <si>
    <t>S：+1/+1C　発掘3</t>
  </si>
  <si>
    <t>無残な競争</t>
  </si>
  <si>
    <t>タフネス格闘</t>
  </si>
  <si>
    <t>構脚のトロール</t>
  </si>
  <si>
    <t>防衛　到達　1BG：再生</t>
  </si>
  <si>
    <t>裂き爪のトロウ</t>
  </si>
  <si>
    <t>2B/G</t>
  </si>
  <si>
    <t>萎縮　頑強</t>
  </si>
  <si>
    <t>森の悪霊の絞殺者</t>
  </si>
  <si>
    <t>自墓C1追放：再生</t>
  </si>
  <si>
    <t>井戸の汲みつくし</t>
  </si>
  <si>
    <t>2B/GB/G</t>
  </si>
  <si>
    <t>土地1破壊　2点回復</t>
  </si>
  <si>
    <t>冒涜するハッグ</t>
  </si>
  <si>
    <t>CIP　自墓地最大P生物1回収</t>
  </si>
  <si>
    <t>水路の蠍</t>
  </si>
  <si>
    <t>2BG</t>
  </si>
  <si>
    <t>蠍</t>
  </si>
  <si>
    <t>接死　活用1BG</t>
  </si>
  <si>
    <t>ゴルゴンの凝視</t>
  </si>
  <si>
    <t>3B/G</t>
  </si>
  <si>
    <t>生物1再生　接触生物破壊</t>
  </si>
  <si>
    <t>神性の贈り物</t>
  </si>
  <si>
    <t>4B/G</t>
  </si>
  <si>
    <t>黒+1/+1接死　緑+1/+1ルアー</t>
  </si>
  <si>
    <t>ゴルガリの長脚</t>
  </si>
  <si>
    <t>3B/GB/G</t>
  </si>
  <si>
    <t>昆虫</t>
  </si>
  <si>
    <t>5/4</t>
  </si>
  <si>
    <t>ゴルガリの腐れワーム</t>
  </si>
  <si>
    <t>3BG</t>
  </si>
  <si>
    <t>ワーム</t>
  </si>
  <si>
    <t>B生物1S：PL1ルーズ</t>
  </si>
  <si>
    <t>RW-コモン</t>
  </si>
  <si>
    <t>デュルガーの通り魔</t>
  </si>
  <si>
    <t>R/W</t>
  </si>
  <si>
    <t>ドワーフ</t>
  </si>
  <si>
    <t>兵士</t>
  </si>
  <si>
    <t>S:レンジストライク1点</t>
  </si>
  <si>
    <t>ボロスの補充兵</t>
  </si>
  <si>
    <t>先制</t>
  </si>
  <si>
    <t>軍部の栄光</t>
  </si>
  <si>
    <t>生物1+3/+0、生物1+0/+3</t>
  </si>
  <si>
    <t>雷楽のラッパ吹き</t>
  </si>
  <si>
    <t>T:生物1非攻撃防御</t>
  </si>
  <si>
    <t>二度裂き</t>
  </si>
  <si>
    <t>1R/W</t>
  </si>
  <si>
    <t>生物1二段</t>
  </si>
  <si>
    <t>セロドンの一年仔</t>
  </si>
  <si>
    <t>ビースト</t>
  </si>
  <si>
    <t>警戒　速攻</t>
  </si>
  <si>
    <t>戦門のミミック</t>
  </si>
  <si>
    <t>赤白唱誘→4/2先化</t>
  </si>
  <si>
    <t>破壊的一撃</t>
  </si>
  <si>
    <t>ファクト破壊</t>
  </si>
  <si>
    <t>ウォジェクの矛槍兵</t>
  </si>
  <si>
    <t>大隊-先制</t>
  </si>
  <si>
    <t>正義の再興</t>
  </si>
  <si>
    <t>1RW</t>
  </si>
  <si>
    <t>光輝-+2/+0</t>
  </si>
  <si>
    <t>貴神の神罰</t>
  </si>
  <si>
    <t>2R/W</t>
  </si>
  <si>
    <t>赤なら+1/+1+R/W：+1/+0　白なら+1/+1絆魂</t>
  </si>
  <si>
    <t>ヴィーアシーノの初太刀</t>
  </si>
  <si>
    <t>ヴィーアシーノ</t>
  </si>
  <si>
    <t>速攻　CIP自+2/+2</t>
  </si>
  <si>
    <t>空騎士の軍団兵</t>
  </si>
  <si>
    <t>騎士</t>
  </si>
  <si>
    <t>飛行　速攻</t>
  </si>
  <si>
    <t>ホブゴブリンの竜騎兵</t>
  </si>
  <si>
    <t>1/2</t>
  </si>
  <si>
    <t>飛行　先制</t>
  </si>
  <si>
    <t>意のままの射撃</t>
  </si>
  <si>
    <t>R/WR/WR/W</t>
  </si>
  <si>
    <t>レンジストライク3点割振</t>
  </si>
  <si>
    <t>戦乱の閃光</t>
  </si>
  <si>
    <t>2RW</t>
  </si>
  <si>
    <t>自軍全起+2/+1</t>
  </si>
  <si>
    <t>GU-コモン</t>
  </si>
  <si>
    <t>生体変化</t>
  </si>
  <si>
    <t>G/U</t>
  </si>
  <si>
    <t>_+1/+1C移植</t>
  </si>
  <si>
    <t>ぬめるボーグル</t>
  </si>
  <si>
    <t>呪禁</t>
  </si>
  <si>
    <t>水形</t>
  </si>
  <si>
    <t>土地3/3飛行化</t>
  </si>
  <si>
    <t>岸砕きのミミック</t>
  </si>
  <si>
    <t>1G/U</t>
  </si>
  <si>
    <t>緑青唱誘→5/3貫通</t>
  </si>
  <si>
    <t>超者の意向</t>
  </si>
  <si>
    <t>緑+1/+1警戒　青+1/+1飛行</t>
  </si>
  <si>
    <t>シュラバザメ</t>
  </si>
  <si>
    <t>魚</t>
  </si>
  <si>
    <t>カニ</t>
  </si>
  <si>
    <t>瞬速　進化</t>
  </si>
  <si>
    <t>とぐろ巻きの巫女</t>
  </si>
  <si>
    <t>蛇</t>
  </si>
  <si>
    <t>エルフ</t>
  </si>
  <si>
    <t>CIPDT土地なら場、他は手札</t>
  </si>
  <si>
    <t>ドレイク翼の混成体</t>
  </si>
  <si>
    <t>1GU</t>
  </si>
  <si>
    <t>トカゲ</t>
  </si>
  <si>
    <t>ドレイク</t>
  </si>
  <si>
    <t>飛行　貫通</t>
  </si>
  <si>
    <t>ヴィグの水植物</t>
  </si>
  <si>
    <t>ミュータント</t>
  </si>
  <si>
    <t>0/0</t>
  </si>
  <si>
    <t>移植5　非戦闘</t>
  </si>
  <si>
    <t>翼のコアトル</t>
  </si>
  <si>
    <t>飛行　瞬速　接死</t>
  </si>
  <si>
    <t>甲虫体の魔道士</t>
  </si>
  <si>
    <t>GU：+2/+2飛行ターン1</t>
  </si>
  <si>
    <t>遮蔽する粘体</t>
  </si>
  <si>
    <t>2G/U</t>
  </si>
  <si>
    <t>1泥　呪禁</t>
  </si>
  <si>
    <t>蛇変化</t>
  </si>
  <si>
    <t>生物1　1/1蛇化</t>
  </si>
  <si>
    <t>突撃ゼッペリド</t>
  </si>
  <si>
    <t>2GU</t>
  </si>
  <si>
    <t>貫通</t>
  </si>
  <si>
    <t>放牧のケルピー</t>
  </si>
  <si>
    <t>3G/U</t>
  </si>
  <si>
    <t>G/US：墓地カード1DB送り　頑強</t>
  </si>
  <si>
    <t>天上の待ち伏せ</t>
  </si>
  <si>
    <t>3GU</t>
  </si>
  <si>
    <t>DT2予示</t>
  </si>
  <si>
    <t>罠顎のケルピー</t>
  </si>
  <si>
    <t>4G/UG/U</t>
  </si>
  <si>
    <t>瞬速　頑強</t>
  </si>
  <si>
    <t>W</t>
    <phoneticPr fontId="1"/>
  </si>
  <si>
    <t>R</t>
    <phoneticPr fontId="1"/>
  </si>
  <si>
    <t>U</t>
    <phoneticPr fontId="1"/>
  </si>
  <si>
    <t>G</t>
    <phoneticPr fontId="1"/>
  </si>
  <si>
    <t>B</t>
    <phoneticPr fontId="1"/>
  </si>
  <si>
    <t>|</t>
    <phoneticPr fontId="1"/>
  </si>
  <si>
    <t>.1/1</t>
  </si>
  <si>
    <t>.3/4</t>
  </si>
  <si>
    <t>.2/2</t>
  </si>
  <si>
    <t>.0/2</t>
  </si>
  <si>
    <t>.2/1</t>
  </si>
  <si>
    <t>.1/2</t>
  </si>
  <si>
    <t>.3/1</t>
  </si>
  <si>
    <t>.1/4</t>
  </si>
  <si>
    <t>.3/3</t>
  </si>
  <si>
    <t>.3/2</t>
  </si>
  <si>
    <t>.2/3</t>
  </si>
  <si>
    <t>.4/4</t>
  </si>
  <si>
    <t>.4/3</t>
  </si>
  <si>
    <t>反転後</t>
    <rPh sb="0" eb="2">
      <t>ハンテン</t>
    </rPh>
    <rPh sb="2" eb="3">
      <t>ゴ</t>
    </rPh>
    <phoneticPr fontId="1"/>
  </si>
  <si>
    <t>コモン</t>
    <phoneticPr fontId="1"/>
  </si>
  <si>
    <t>アンコモン</t>
    <phoneticPr fontId="1"/>
  </si>
  <si>
    <t>レア</t>
    <phoneticPr fontId="1"/>
  </si>
  <si>
    <t>兵士</t>
    <rPh sb="0" eb="2">
      <t>ヘイシ</t>
    </rPh>
    <phoneticPr fontId="1"/>
  </si>
  <si>
    <t>侍</t>
    <rPh sb="0" eb="1">
      <t>サムライ</t>
    </rPh>
    <phoneticPr fontId="1"/>
  </si>
  <si>
    <t>|コモン||||||武士道|||</t>
  </si>
  <si>
    <t>|献身的な家来|W|CHK|人間|侍|.1/1|1|||</t>
  </si>
  <si>
    <t>|荒場の蛾乗り|1W|SOK|人間|侍|.1/1|1||飛行|</t>
  </si>
  <si>
    <t>|狐の刃遣い|2W|CHK|狐|侍|.2/2|1||先制|</t>
  </si>
  <si>
    <t>|武野の騎兵|3W|BOK|人間|侍|.1/1|1||T:霊体限定レンジ|</t>
  </si>
  <si>
    <t>|蛾乗りの侍|3W|CHK|人間|侍|.2/2|1||飛行|</t>
  </si>
  <si>
    <t>|狐の明け刃|4W|SOK|狐|侍|.2/3|1||CIP　生物1タップ|</t>
  </si>
  <si>
    <t>|銀嵐の侍|4WW|BOK|狐|侍|.3/3|1||瞬速|</t>
  </si>
  <si>
    <t>|苦弄の心酔者|1B|SOK|ネズミ|侍|.1/1|1||1B:再生|</t>
  </si>
  <si>
    <t>|鼠の浪人|2B|CHK|ネズミ|侍|.3/1|1|||</t>
  </si>
  <si>
    <t>|呪われた浪人|3B|CHK|人間|侍|.1/1|1||B：+1/+1|</t>
  </si>
  <si>
    <t>|戦に狂える浪人|1R|CHK|人間|侍|.1/1|2||強制攻撃|</t>
  </si>
  <si>
    <t>|浪人の犬師|2R|CHK|人間|侍|.2/2|1||速攻|</t>
  </si>
  <si>
    <t>|霜剣山の呪刃|4R|SOK|オーガ|侍|.2/3|1||1R：P+手札|</t>
  </si>
  <si>
    <t>|浪人の洞守り|5R|SOK|人間|侍|.4/3|2|||</t>
  </si>
  <si>
    <t>|アンコモン|||||||||</t>
  </si>
  <si>
    <t>|新参の武士|W|CHK|人間|兵士|.1/1|||条件反転|</t>
  </si>
  <si>
    <t>|冷酷なる者、謙造|反転後||人間|侍|.3/4|2|伝説|二段|</t>
  </si>
  <si>
    <t>|名誉の手|WW|SOK|人間|侍|.2/2|1||プロ黒|</t>
  </si>
  <si>
    <t>|内室の護衛|1W|SOK|人間|侍|.0/2|2|||</t>
  </si>
  <si>
    <t>|薄青幕の侍|WW|CHK|狐|侍|.2/2|1||死亡追放|</t>
  </si>
  <si>
    <t>|今田の旗本|1W|CHK|人間|侍|.1/2|1||伝侍がいると+1/+2警|</t>
  </si>
  <si>
    <t>|義理に縛られし者、長雄|3W|CHK|人間|侍|.3/3|1|伝説|攻撃時自軍侍+1/+1|</t>
  </si>
  <si>
    <t>|恩義ある侍|3W|BOK|人間|侍|.2/3|1||自軍侍死亡誘自身+1/+1C|</t>
  </si>
  <si>
    <t>|侍の処罰者|4WW|CHK|人間|侍|.4/4|2|||</t>
  </si>
  <si>
    <t>|残虐の手|BB|SOK|人間|侍|.2/2|1||プロ白|</t>
  </si>
  <si>
    <t>|沼居ののけ者|3B|CHK|人間|侍|.1/1|2||B,Pay5：再生|</t>
  </si>
  <si>
    <t>|山崎兄弟|2R|CHK|人間|侍|.2/1|1|伝説|同名+2/+2速攻|</t>
  </si>
  <si>
    <t>|霜剣山の背教者|2R|SOK|オーガ|侍|.3/3|1||自UPK手札多いPLのCTL|</t>
  </si>
  <si>
    <t>|浪人の崖乗り|3RR|BOK|人間|侍|.2/2|1||攻撃時敵軍全1点|</t>
  </si>
  <si>
    <t>|レア|||||||||</t>
  </si>
  <si>
    <t>|金之尾師範|1W|CHK|狐|侍|.2/1|1|伝説|T:add武士道1|</t>
  </si>
  <si>
    <t>|笑む猫、憲太郎|1W|BOK|人間|侍|.2/1|1|伝説|侍無色支払|</t>
  </si>
  <si>
    <t>|今田の用心棒、乳眼|1WW|BOK|狐|侍|.1/4|1|伝説|防衛　T：打点偏向　1W:1軽減|</t>
  </si>
  <si>
    <t>|侍の御大将、武野|5W|CHK|人間|侍|.3/3|2|伝説|自軍侍、武士道分+X/+X|</t>
  </si>
  <si>
    <t>|永岩城の君主、今田|5WW|CHK|人間|侍|.3/3|5|伝説|破壊不能　警戒|</t>
  </si>
  <si>
    <t>|梅澤俊郎|1BB|BOK|人間|侍|.2/2|1|伝説|敵軍死亡誘FB|</t>
  </si>
  <si>
    <t>|卑血の芙巳子|2RR|BOK|人間|侍|.3/2|X|伝説|X=攻撃生物　敵軍全員強制攻撃|</t>
  </si>
  <si>
    <t>|非情なる飯塚|3RR|SOK|人間|侍|.3/3|2|伝説|2R,侍S：自軍侍二段|</t>
  </si>
  <si>
    <t>|悟りの武士、勲雄|2G|BOK|人間|侍|.2/1|2|伝説|非打消　2：侍再生|</t>
  </si>
  <si>
    <t xml:space="preserve">ｲﾝｽﾀﾝﾄ ｰ 秘儀(Arcane) BOK, ｱﾝｺﾓﾝ </t>
  </si>
  <si>
    <t xml:space="preserve">ｿｰｻﾘｰ ｰ 秘儀(Arcane) CHK, ｱﾝｺﾓﾝ </t>
  </si>
  <si>
    <t xml:space="preserve">ｲﾝｽﾀﾝﾄ ｰ 秘儀(Arcane) SOK, ｱﾝｺﾓﾝ </t>
  </si>
  <si>
    <t xml:space="preserve">ｲﾝｽﾀﾝﾄ ｰ 秘儀(Arcane) BOK, ﾚｱ </t>
  </si>
  <si>
    <t>W</t>
    <phoneticPr fontId="1"/>
  </si>
  <si>
    <t>I</t>
    <phoneticPr fontId="1"/>
  </si>
  <si>
    <t>SOK</t>
    <phoneticPr fontId="1"/>
  </si>
  <si>
    <t>1/1spirit×1</t>
    <phoneticPr fontId="1"/>
  </si>
  <si>
    <t>W</t>
    <phoneticPr fontId="1"/>
  </si>
  <si>
    <t>CHK</t>
    <phoneticPr fontId="1"/>
  </si>
  <si>
    <t>I</t>
    <phoneticPr fontId="1"/>
  </si>
  <si>
    <t>E1破壊</t>
    <rPh sb="2" eb="4">
      <t>ハカイ</t>
    </rPh>
    <phoneticPr fontId="1"/>
  </si>
  <si>
    <t>W</t>
    <phoneticPr fontId="1"/>
  </si>
  <si>
    <t>BOK</t>
    <phoneticPr fontId="1"/>
  </si>
  <si>
    <t>I</t>
    <phoneticPr fontId="1"/>
  </si>
  <si>
    <t>生物1P+1+先制</t>
    <rPh sb="0" eb="2">
      <t>セイブツ</t>
    </rPh>
    <rPh sb="7" eb="9">
      <t>センセイ</t>
    </rPh>
    <phoneticPr fontId="1"/>
  </si>
  <si>
    <t>SHK</t>
    <phoneticPr fontId="1"/>
  </si>
  <si>
    <t>I</t>
    <phoneticPr fontId="1"/>
  </si>
  <si>
    <t>白生物1T</t>
    <rPh sb="0" eb="1">
      <t>シロ</t>
    </rPh>
    <rPh sb="1" eb="3">
      <t>セイブツ</t>
    </rPh>
    <phoneticPr fontId="1"/>
  </si>
  <si>
    <t>生物1任意色プロ</t>
    <rPh sb="0" eb="2">
      <t>セイブツ</t>
    </rPh>
    <rPh sb="3" eb="5">
      <t>ニンイ</t>
    </rPh>
    <rPh sb="5" eb="6">
      <t>ショク</t>
    </rPh>
    <phoneticPr fontId="1"/>
  </si>
  <si>
    <t>I</t>
    <phoneticPr fontId="1"/>
  </si>
  <si>
    <t>濃霧</t>
    <rPh sb="0" eb="2">
      <t>ノウム</t>
    </rPh>
    <phoneticPr fontId="1"/>
  </si>
  <si>
    <t>1W</t>
    <phoneticPr fontId="1"/>
  </si>
  <si>
    <t>SOK</t>
    <phoneticPr fontId="1"/>
  </si>
  <si>
    <t>平地掃引-生物1PT+X</t>
    <rPh sb="0" eb="2">
      <t>ヘイチ</t>
    </rPh>
    <rPh sb="2" eb="4">
      <t>ソウイン</t>
    </rPh>
    <rPh sb="5" eb="7">
      <t>セイブツ</t>
    </rPh>
    <phoneticPr fontId="1"/>
  </si>
  <si>
    <t>1W</t>
    <phoneticPr fontId="1"/>
  </si>
  <si>
    <t>ちらつき+1/+1C</t>
    <phoneticPr fontId="1"/>
  </si>
  <si>
    <t>2W</t>
    <phoneticPr fontId="1"/>
  </si>
  <si>
    <t>BOK</t>
    <phoneticPr fontId="1"/>
  </si>
  <si>
    <t>S</t>
    <phoneticPr fontId="1"/>
  </si>
  <si>
    <t>帰化+CMC回復</t>
    <rPh sb="0" eb="2">
      <t>キカ</t>
    </rPh>
    <rPh sb="6" eb="8">
      <t>カイフク</t>
    </rPh>
    <phoneticPr fontId="1"/>
  </si>
  <si>
    <t>3W</t>
    <phoneticPr fontId="1"/>
  </si>
  <si>
    <t>S</t>
    <phoneticPr fontId="1"/>
  </si>
  <si>
    <t>生物3T</t>
    <rPh sb="0" eb="2">
      <t>セイブツ</t>
    </rPh>
    <phoneticPr fontId="1"/>
  </si>
  <si>
    <t>1W</t>
    <phoneticPr fontId="1"/>
  </si>
  <si>
    <t>3点軽減+軽減分回復</t>
    <rPh sb="1" eb="2">
      <t>テン</t>
    </rPh>
    <rPh sb="2" eb="4">
      <t>ケイゲン</t>
    </rPh>
    <rPh sb="5" eb="7">
      <t>ケイゲン</t>
    </rPh>
    <rPh sb="7" eb="8">
      <t>ブン</t>
    </rPh>
    <rPh sb="8" eb="10">
      <t>カイフク</t>
    </rPh>
    <phoneticPr fontId="1"/>
  </si>
  <si>
    <t>BOK</t>
    <phoneticPr fontId="1"/>
  </si>
  <si>
    <t>P3↓破壊</t>
    <rPh sb="3" eb="5">
      <t>ハカイ</t>
    </rPh>
    <phoneticPr fontId="1"/>
  </si>
  <si>
    <t>全E破壊</t>
    <rPh sb="0" eb="1">
      <t>ゼン</t>
    </rPh>
    <rPh sb="2" eb="4">
      <t>ハカイ</t>
    </rPh>
    <phoneticPr fontId="1"/>
  </si>
  <si>
    <t>平地掃引-自軍PT+X</t>
    <rPh sb="0" eb="2">
      <t>ヘイチ</t>
    </rPh>
    <rPh sb="2" eb="4">
      <t>ソウイン</t>
    </rPh>
    <rPh sb="5" eb="6">
      <t>ジ</t>
    </rPh>
    <rPh sb="6" eb="7">
      <t>グン</t>
    </rPh>
    <phoneticPr fontId="1"/>
  </si>
  <si>
    <t>W</t>
    <phoneticPr fontId="1"/>
  </si>
  <si>
    <t>敵能力ハンデス無効</t>
    <rPh sb="0" eb="1">
      <t>テキ</t>
    </rPh>
    <rPh sb="1" eb="3">
      <t>ノウリョク</t>
    </rPh>
    <rPh sb="7" eb="9">
      <t>ムコウ</t>
    </rPh>
    <phoneticPr fontId="1"/>
  </si>
  <si>
    <t>XWW</t>
    <phoneticPr fontId="1"/>
  </si>
  <si>
    <t>ﾋﾟｯﾁW公開X=CMC　XD反射</t>
    <rPh sb="5" eb="7">
      <t>コウカイ</t>
    </rPh>
    <rPh sb="15" eb="17">
      <t>ハンシャ</t>
    </rPh>
    <phoneticPr fontId="1"/>
  </si>
  <si>
    <t>|</t>
    <phoneticPr fontId="1"/>
  </si>
  <si>
    <t>霊的な訪れ</t>
    <phoneticPr fontId="1"/>
  </si>
  <si>
    <t>物静かな純潔</t>
    <phoneticPr fontId="1"/>
  </si>
  <si>
    <t>百爪の一撃</t>
    <phoneticPr fontId="1"/>
  </si>
  <si>
    <t>祝福の息吹</t>
    <phoneticPr fontId="1"/>
  </si>
  <si>
    <t>天空のもや</t>
    <phoneticPr fontId="1"/>
  </si>
  <si>
    <t>霊都の驀進</t>
    <phoneticPr fontId="1"/>
  </si>
  <si>
    <t>来世への旅</t>
    <phoneticPr fontId="1"/>
  </si>
  <si>
    <t>天羅至の叫び</t>
    <phoneticPr fontId="1"/>
  </si>
  <si>
    <t>蝋燭の輝き</t>
    <phoneticPr fontId="1"/>
  </si>
  <si>
    <t>天羅志の評決</t>
    <phoneticPr fontId="1"/>
  </si>
  <si>
    <t>天羅至の掌握</t>
    <phoneticPr fontId="1"/>
  </si>
  <si>
    <t>清浄</t>
    <phoneticPr fontId="1"/>
  </si>
  <si>
    <t>荒場越えの突撃</t>
    <phoneticPr fontId="1"/>
  </si>
  <si>
    <t>純粋な意図</t>
    <phoneticPr fontId="1"/>
  </si>
  <si>
    <t>輝く群れ</t>
    <phoneticPr fontId="1"/>
  </si>
  <si>
    <t>U-秘儀</t>
  </si>
  <si>
    <t xml:space="preserve">地の縛めの切断/Cut the Earthly Bond  (U) </t>
  </si>
  <si>
    <t xml:space="preserve">霧中の到達/Reach Through Mists  (U) </t>
  </si>
  <si>
    <t xml:space="preserve">未達の目/Eye of Nowhere  (U)(U) </t>
  </si>
  <si>
    <t xml:space="preserve">深遠の覗き見/Peer Through Depths  (1)(U) </t>
  </si>
  <si>
    <t xml:space="preserve">精神のくぐつ/Psychic Puppetry  (1)(U) </t>
  </si>
  <si>
    <t xml:space="preserve">秘密の帷/Veil of Secrecy  (1)(U) </t>
  </si>
  <si>
    <t xml:space="preserve">留まらぬ発想/Ideas Unbound  (U)(U) </t>
  </si>
  <si>
    <t xml:space="preserve">消耗の渦/Consuming Vortex  (1)(U) </t>
  </si>
  <si>
    <t>連繋(秘儀(Arcane))(3)(U)</t>
  </si>
  <si>
    <t xml:space="preserve">思考の鈍化/Dampen Thought  (1)(U) </t>
  </si>
  <si>
    <t xml:space="preserve">彼方からの呟き/Murmurs from Beyond  (2)(U) </t>
  </si>
  <si>
    <t xml:space="preserve">砂のふるい分け/Sift Through Sands  (1)(U)(U) </t>
  </si>
  <si>
    <t xml:space="preserve">日夜の苦役/Toils of Night and Day  (2)(U) </t>
  </si>
  <si>
    <t xml:space="preserve">雲の上昇/Lifted by Clouds  (2)(U) </t>
  </si>
  <si>
    <t xml:space="preserve">洞察力の花弁/Petals of Insight  (4)(U) </t>
  </si>
  <si>
    <t xml:space="preserve">霊界の飾り紐/Ribbons of the Reikai  (4)(U) </t>
  </si>
  <si>
    <t xml:space="preserve">〔U〕 ｲﾝｽﾀﾝﾄ ｰ 秘儀(Arcane) SOK, ｱﾝｺﾓﾝ </t>
  </si>
  <si>
    <t xml:space="preserve">(存在しないﾏﾅ･ｺｽﾄは支払えない｡) </t>
  </si>
  <si>
    <t xml:space="preserve">ｶｰﾄﾞを1枚引く｡ </t>
  </si>
  <si>
    <t xml:space="preserve">意識の流れ/Stream of Consciousness  (1)(U) </t>
  </si>
  <si>
    <t>ﾌﾟﾚｲﾔｰ1人と､そのﾌﾟﾚｲﾔｰの墓地にあるｶｰﾄﾞを最大4枚まで対象とする｡そのﾌﾟﾚｲﾔｰは､それらのｶｰﾄﾞを自分のﾗｲﾌﾞﾗﾘｰに加えて切り直す｡</t>
  </si>
  <si>
    <t xml:space="preserve">不気味な行列/Eerie Procession  (2)(U) </t>
  </si>
  <si>
    <t>あなたのﾗｲﾌﾞﾗﾘｰから秘儀(Arcane)ｶｰﾄﾞを1枚探し､それを公開し､あなたの手札に加える｡その後あなたのﾗｲﾌﾞﾗﾘｰを切り直す｡</t>
  </si>
  <si>
    <t xml:space="preserve">変容する境界/Shifting Borders  (3)(U) </t>
  </si>
  <si>
    <t xml:space="preserve">土地2つを対象とする｡それらのｺﾝﾄﾛｰﾙを交換する｡ </t>
  </si>
  <si>
    <t xml:space="preserve">霧の用心/Heed the Mists  (3)(U)(U) </t>
  </si>
  <si>
    <t xml:space="preserve">ｿｰｻﾘｰ ｰ 秘儀(Arcane) BOK, ｱﾝｺﾓﾝ </t>
  </si>
  <si>
    <t>あなたのﾗｲﾌﾞﾗﾘｰの一番上のｶｰﾄﾞをあなたの墓地に置く｡その後そのｶｰﾄﾞの点数で見たﾏﾅ･ｺｽﾄに等しい枚数のｶｰﾄﾞを引く｡</t>
  </si>
  <si>
    <t xml:space="preserve">撹乱する群れ/Disrupting Shoal  (X)(U)(U) </t>
  </si>
  <si>
    <t xml:space="preserve">あなたは､撹乱する群れのﾏﾅ･ｺｽﾄを支払うのではなく､あなたの手札にある､点数で見たﾏﾅ･ｺｽﾄがXであるUのｶｰﾄﾞを1枚､追放することを選んでもよい｡ </t>
  </si>
  <si>
    <t>呪文1つを対象とする｡その点数で見たﾏﾅ･ｺｽﾄがXである場合､それを打ち消す｡</t>
  </si>
  <si>
    <t xml:space="preserve">帷の切断/Part the Veil  (3)(U) </t>
  </si>
  <si>
    <t xml:space="preserve">ｲﾝｽﾀﾝﾄ ｰ 秘儀(Arcane) CHK, ﾚｱ </t>
  </si>
  <si>
    <t>あなたがｺﾝﾄﾛｰﾙするすべてのｸﾘｰﾁｬｰをｵｰﾅｰの手札に戻す｡</t>
  </si>
  <si>
    <t xml:space="preserve">編直し/Reweave  (5)(U) </t>
  </si>
  <si>
    <t xml:space="preserve">ﾊﾟｰﾏﾈﾝﾄ1つを対象とする｡それのｺﾝﾄﾛｰﾗｰはそれを生け贄に捧げる｡そのﾌﾟﾚｲﾔｰがそうした場合､そのﾌﾟﾚｲﾔｰは自分のﾗｲﾌﾞﾗﾘｰを､生け贄に捧げたﾊﾟｰﾏﾈﾝﾄと共通するｶｰﾄﾞ･ﾀｲﾌﾟを持つﾊﾟｰﾏﾈﾝﾄ･ｶｰﾄﾞが公開されるまで上から1枚ずつ公開する｡そのｶｰﾄﾞを戦場に出し､その後自分のﾗｲﾌﾞﾗﾘｰを切り直す｡ </t>
  </si>
  <si>
    <t>連繋(秘儀(Arcane))(2)(U)(U)</t>
  </si>
  <si>
    <t>U</t>
    <phoneticPr fontId="1"/>
  </si>
  <si>
    <t>E付与Paバウンス</t>
    <rPh sb="1" eb="3">
      <t>フヨ</t>
    </rPh>
    <phoneticPr fontId="1"/>
  </si>
  <si>
    <t>1泥</t>
    <rPh sb="1" eb="2">
      <t>ドロ</t>
    </rPh>
    <phoneticPr fontId="1"/>
  </si>
  <si>
    <t>UU</t>
    <phoneticPr fontId="1"/>
  </si>
  <si>
    <t>ブーメラン</t>
    <phoneticPr fontId="1"/>
  </si>
  <si>
    <t>DT5見I/S回収残DB</t>
    <rPh sb="3" eb="4">
      <t>ミ</t>
    </rPh>
    <rPh sb="7" eb="9">
      <t>カイシュウ</t>
    </rPh>
    <rPh sb="9" eb="10">
      <t>ザン</t>
    </rPh>
    <phoneticPr fontId="1"/>
  </si>
  <si>
    <t>T/UT</t>
    <phoneticPr fontId="1"/>
  </si>
  <si>
    <t>自青生物バウンス</t>
    <rPh sb="0" eb="1">
      <t>ジ</t>
    </rPh>
    <rPh sb="1" eb="2">
      <t>アオ</t>
    </rPh>
    <rPh sb="2" eb="4">
      <t>セイブツ</t>
    </rPh>
    <phoneticPr fontId="1"/>
  </si>
  <si>
    <t>生物1被覆アンブロ</t>
    <rPh sb="0" eb="2">
      <t>セイブツ</t>
    </rPh>
    <rPh sb="3" eb="5">
      <t>ヒフク</t>
    </rPh>
    <phoneticPr fontId="1"/>
  </si>
  <si>
    <t>3泥　終了時3捨</t>
    <rPh sb="1" eb="2">
      <t>ドロ</t>
    </rPh>
    <rPh sb="3" eb="6">
      <t>シュウリョウジ</t>
    </rPh>
    <rPh sb="7" eb="8">
      <t>ス</t>
    </rPh>
    <phoneticPr fontId="1"/>
  </si>
  <si>
    <t>排撃</t>
    <rPh sb="0" eb="2">
      <t>ハイゲキ</t>
    </rPh>
    <phoneticPr fontId="1"/>
  </si>
  <si>
    <t>PL、DT4墓</t>
    <rPh sb="6" eb="7">
      <t>ハカ</t>
    </rPh>
    <phoneticPr fontId="1"/>
  </si>
  <si>
    <t>自DT3公開敵1選手札残墓</t>
    <rPh sb="0" eb="1">
      <t>ジ</t>
    </rPh>
    <rPh sb="4" eb="6">
      <t>コウカイ</t>
    </rPh>
    <rPh sb="6" eb="7">
      <t>テキ</t>
    </rPh>
    <rPh sb="8" eb="9">
      <t>セン</t>
    </rPh>
    <rPh sb="9" eb="11">
      <t>テフダ</t>
    </rPh>
    <rPh sb="11" eb="12">
      <t>ザン</t>
    </rPh>
    <rPh sb="12" eb="13">
      <t>ハカ</t>
    </rPh>
    <phoneticPr fontId="1"/>
  </si>
  <si>
    <t>1UU</t>
    <phoneticPr fontId="1"/>
  </si>
  <si>
    <t>2泥1捨　忌話図変身</t>
    <rPh sb="1" eb="2">
      <t>ドロ</t>
    </rPh>
    <rPh sb="3" eb="4">
      <t>ス</t>
    </rPh>
    <rPh sb="5" eb="6">
      <t>イミ</t>
    </rPh>
    <rPh sb="6" eb="7">
      <t>ハナシ</t>
    </rPh>
    <rPh sb="7" eb="8">
      <t>ズ</t>
    </rPh>
    <rPh sb="8" eb="10">
      <t>ヘンシン</t>
    </rPh>
    <phoneticPr fontId="1"/>
  </si>
  <si>
    <t>Pa2　T/UT</t>
    <phoneticPr fontId="1"/>
  </si>
  <si>
    <t>飛行付与</t>
    <rPh sb="0" eb="2">
      <t>ヒコウ</t>
    </rPh>
    <rPh sb="2" eb="4">
      <t>フヨ</t>
    </rPh>
    <phoneticPr fontId="1"/>
  </si>
  <si>
    <t>DT3見DTorDB後繰返</t>
    <rPh sb="3" eb="4">
      <t>ミ</t>
    </rPh>
    <rPh sb="10" eb="11">
      <t>ゴ</t>
    </rPh>
    <rPh sb="11" eb="12">
      <t>ク</t>
    </rPh>
    <rPh sb="12" eb="13">
      <t>カエ</t>
    </rPh>
    <phoneticPr fontId="1"/>
  </si>
  <si>
    <t>自軍Spirit数泥</t>
    <rPh sb="0" eb="1">
      <t>ジ</t>
    </rPh>
    <rPh sb="1" eb="2">
      <t>グン</t>
    </rPh>
    <rPh sb="8" eb="9">
      <t>スウ</t>
    </rPh>
    <rPh sb="9" eb="10">
      <t>ドロ</t>
    </rPh>
    <phoneticPr fontId="1"/>
  </si>
  <si>
    <t>連繋(秘儀(Arcane))(1)(U)</t>
    <phoneticPr fontId="1"/>
  </si>
  <si>
    <t>白熱の魂炊き</t>
  </si>
  <si>
    <t>煙束ね</t>
  </si>
  <si>
    <t>恨み唸り</t>
  </si>
  <si>
    <t>想起1RR</t>
    <rPh sb="0" eb="2">
      <t>ソウキ</t>
    </rPh>
    <phoneticPr fontId="1"/>
  </si>
  <si>
    <t>2R</t>
    <phoneticPr fontId="1"/>
  </si>
  <si>
    <t>雷叫び</t>
  </si>
  <si>
    <t>2RRR</t>
    <phoneticPr fontId="1"/>
  </si>
  <si>
    <t>波使い</t>
    <rPh sb="0" eb="1">
      <t>ナミ</t>
    </rPh>
    <rPh sb="1" eb="2">
      <t>ツカ</t>
    </rPh>
    <phoneticPr fontId="1"/>
  </si>
  <si>
    <t>エレメンタル</t>
  </si>
  <si>
    <t>エレメンタル</t>
    <phoneticPr fontId="1"/>
  </si>
  <si>
    <t>感染</t>
    <rPh sb="0" eb="2">
      <t>カンセン</t>
    </rPh>
    <phoneticPr fontId="1"/>
  </si>
  <si>
    <t>ランプ</t>
    <phoneticPr fontId="1"/>
  </si>
  <si>
    <t>コモン除去</t>
    <rPh sb="3" eb="5">
      <t>ジョキョ</t>
    </rPh>
    <phoneticPr fontId="1"/>
  </si>
  <si>
    <t>なべ</t>
    <phoneticPr fontId="1"/>
  </si>
  <si>
    <t>レンスト除去</t>
    <rPh sb="4" eb="6">
      <t>ジョキョ</t>
    </rPh>
    <phoneticPr fontId="1"/>
  </si>
  <si>
    <t>排撃</t>
    <rPh sb="0" eb="2">
      <t>ハイゲキ</t>
    </rPh>
    <phoneticPr fontId="1"/>
  </si>
  <si>
    <t>P-X</t>
    <phoneticPr fontId="1"/>
  </si>
  <si>
    <t>闇追放</t>
    <rPh sb="0" eb="1">
      <t>ヤミ</t>
    </rPh>
    <rPh sb="1" eb="3">
      <t>ツイホウ</t>
    </rPh>
    <phoneticPr fontId="1"/>
  </si>
  <si>
    <t>.-X</t>
    <phoneticPr fontId="1"/>
  </si>
  <si>
    <t>強制攻撃</t>
    <rPh sb="0" eb="2">
      <t>キョウセイ</t>
    </rPh>
    <rPh sb="2" eb="4">
      <t>コウゲキ</t>
    </rPh>
    <phoneticPr fontId="1"/>
  </si>
  <si>
    <t>防御不可</t>
    <rPh sb="0" eb="2">
      <t>ボウギョ</t>
    </rPh>
    <rPh sb="2" eb="4">
      <t>フカ</t>
    </rPh>
    <phoneticPr fontId="1"/>
  </si>
  <si>
    <t>格闘</t>
    <rPh sb="0" eb="2">
      <t>カクトウ</t>
    </rPh>
    <phoneticPr fontId="1"/>
  </si>
  <si>
    <t>ルアー</t>
    <phoneticPr fontId="1"/>
  </si>
  <si>
    <t>コモン2</t>
    <phoneticPr fontId="1"/>
  </si>
  <si>
    <t>アンコ1</t>
    <phoneticPr fontId="1"/>
  </si>
  <si>
    <t>レア1</t>
    <phoneticPr fontId="1"/>
  </si>
  <si>
    <t>単色カウンター</t>
    <rPh sb="0" eb="2">
      <t>タンショク</t>
    </rPh>
    <phoneticPr fontId="1"/>
  </si>
  <si>
    <t>否認</t>
    <rPh sb="0" eb="2">
      <t>ヒニン</t>
    </rPh>
    <phoneticPr fontId="1"/>
  </si>
  <si>
    <t>本質の錯乱</t>
    <rPh sb="0" eb="2">
      <t>ホンシツ</t>
    </rPh>
    <rPh sb="3" eb="5">
      <t>サクラン</t>
    </rPh>
    <phoneticPr fontId="1"/>
  </si>
  <si>
    <t>対抗呪文</t>
    <rPh sb="0" eb="2">
      <t>タイコウ</t>
    </rPh>
    <rPh sb="2" eb="4">
      <t>ジュモン</t>
    </rPh>
    <phoneticPr fontId="1"/>
  </si>
  <si>
    <t>追加効果カウンター</t>
    <rPh sb="0" eb="2">
      <t>ツイカ</t>
    </rPh>
    <rPh sb="2" eb="4">
      <t>コウカ</t>
    </rPh>
    <phoneticPr fontId="1"/>
  </si>
  <si>
    <t>帰化</t>
    <rPh sb="0" eb="2">
      <t>キカ</t>
    </rPh>
    <phoneticPr fontId="1"/>
  </si>
  <si>
    <t>エンチャ破壊</t>
    <rPh sb="4" eb="6">
      <t>ハカイ</t>
    </rPh>
    <phoneticPr fontId="1"/>
  </si>
  <si>
    <t>ファクト破壊</t>
    <rPh sb="4" eb="6">
      <t>ハカイ</t>
    </rPh>
    <phoneticPr fontId="1"/>
  </si>
  <si>
    <t>W02</t>
  </si>
  <si>
    <t>W03</t>
  </si>
  <si>
    <t>W04</t>
  </si>
  <si>
    <t>W05</t>
  </si>
  <si>
    <t>W06</t>
  </si>
  <si>
    <t>W07</t>
  </si>
  <si>
    <t>W08</t>
  </si>
  <si>
    <t>W09</t>
  </si>
  <si>
    <t>W10</t>
  </si>
  <si>
    <t>W11</t>
  </si>
  <si>
    <t>W12</t>
  </si>
  <si>
    <t>W13</t>
  </si>
  <si>
    <t>W14</t>
  </si>
  <si>
    <t>W15</t>
  </si>
  <si>
    <t>W16</t>
  </si>
  <si>
    <t>W17</t>
  </si>
  <si>
    <t>W18</t>
  </si>
  <si>
    <t>W19</t>
  </si>
  <si>
    <t>W20</t>
  </si>
  <si>
    <t>U02</t>
  </si>
  <si>
    <t>U03</t>
  </si>
  <si>
    <t>U04</t>
  </si>
  <si>
    <t>U05</t>
  </si>
  <si>
    <t>U06</t>
  </si>
  <si>
    <t>U07</t>
  </si>
  <si>
    <t>U08</t>
  </si>
  <si>
    <t>U09</t>
  </si>
  <si>
    <t>U10</t>
  </si>
  <si>
    <t>U11</t>
  </si>
  <si>
    <t>U12</t>
  </si>
  <si>
    <t>U13</t>
  </si>
  <si>
    <t>U14</t>
  </si>
  <si>
    <t>U15</t>
  </si>
  <si>
    <t>U16</t>
  </si>
  <si>
    <t>U17</t>
  </si>
  <si>
    <t>U18</t>
  </si>
  <si>
    <t>U19</t>
  </si>
  <si>
    <t>U20</t>
  </si>
  <si>
    <t>B02</t>
  </si>
  <si>
    <t>B03</t>
  </si>
  <si>
    <t>B04</t>
  </si>
  <si>
    <t>B05</t>
  </si>
  <si>
    <t>B06</t>
  </si>
  <si>
    <t>B07</t>
  </si>
  <si>
    <t>B08</t>
  </si>
  <si>
    <t>B09</t>
  </si>
  <si>
    <t>B10</t>
  </si>
  <si>
    <t>B11</t>
  </si>
  <si>
    <t>B12</t>
  </si>
  <si>
    <t>B13</t>
  </si>
  <si>
    <t>B14</t>
  </si>
  <si>
    <t>B15</t>
  </si>
  <si>
    <t>B16</t>
  </si>
  <si>
    <t>B17</t>
  </si>
  <si>
    <t>B18</t>
  </si>
  <si>
    <t>B19</t>
  </si>
  <si>
    <t>B20</t>
  </si>
  <si>
    <t>R02</t>
  </si>
  <si>
    <t>R03</t>
  </si>
  <si>
    <t>R04</t>
  </si>
  <si>
    <t>R05</t>
  </si>
  <si>
    <t>R06</t>
  </si>
  <si>
    <t>R07</t>
  </si>
  <si>
    <t>R08</t>
  </si>
  <si>
    <t>R09</t>
  </si>
  <si>
    <t>R10</t>
  </si>
  <si>
    <t>R11</t>
  </si>
  <si>
    <t>R12</t>
  </si>
  <si>
    <t>R13</t>
  </si>
  <si>
    <t>R14</t>
  </si>
  <si>
    <t>R15</t>
  </si>
  <si>
    <t>R16</t>
  </si>
  <si>
    <t>R17</t>
  </si>
  <si>
    <t>R18</t>
  </si>
  <si>
    <t>R19</t>
  </si>
  <si>
    <t>R20</t>
  </si>
  <si>
    <t>G02</t>
  </si>
  <si>
    <t>G03</t>
  </si>
  <si>
    <t>G04</t>
  </si>
  <si>
    <t>G05</t>
  </si>
  <si>
    <t>G06</t>
  </si>
  <si>
    <t>G07</t>
  </si>
  <si>
    <t>G08</t>
  </si>
  <si>
    <t>G09</t>
  </si>
  <si>
    <t>G10</t>
  </si>
  <si>
    <t>G11</t>
  </si>
  <si>
    <t>G12</t>
  </si>
  <si>
    <t>G13</t>
  </si>
  <si>
    <t>G14</t>
  </si>
  <si>
    <t>G15</t>
  </si>
  <si>
    <t>G16</t>
  </si>
  <si>
    <t>G17</t>
  </si>
  <si>
    <t>G18</t>
  </si>
  <si>
    <t>G19</t>
  </si>
  <si>
    <t>G20</t>
  </si>
  <si>
    <t>WB2</t>
  </si>
  <si>
    <t>WB3</t>
  </si>
  <si>
    <t>WB4</t>
  </si>
  <si>
    <t>UR2</t>
  </si>
  <si>
    <t>UR3</t>
  </si>
  <si>
    <t>UR4</t>
  </si>
  <si>
    <t>BG2</t>
  </si>
  <si>
    <t>BG3</t>
  </si>
  <si>
    <t>BG4</t>
  </si>
  <si>
    <t>RW2</t>
  </si>
  <si>
    <t>RW3</t>
  </si>
  <si>
    <t>RW4</t>
  </si>
  <si>
    <t>GU2</t>
  </si>
  <si>
    <t>GU3</t>
  </si>
  <si>
    <t>GU4</t>
  </si>
  <si>
    <t>N02</t>
  </si>
  <si>
    <t>N03</t>
  </si>
  <si>
    <t>N04</t>
  </si>
  <si>
    <t>N05</t>
  </si>
  <si>
    <t>N06</t>
  </si>
  <si>
    <t>N07</t>
  </si>
  <si>
    <t>L02</t>
  </si>
  <si>
    <t>L03</t>
  </si>
  <si>
    <t>L04</t>
  </si>
  <si>
    <t>L05</t>
  </si>
  <si>
    <t>L06</t>
  </si>
  <si>
    <t>L07</t>
  </si>
  <si>
    <t>WBL</t>
  </si>
  <si>
    <t>URL</t>
  </si>
  <si>
    <t>BGL</t>
  </si>
  <si>
    <t>RWL</t>
  </si>
  <si>
    <t>GUL</t>
  </si>
  <si>
    <t>オーガ</t>
  </si>
  <si>
    <t>天羅至の叫び</t>
  </si>
  <si>
    <t>信仰の足枷</t>
  </si>
  <si>
    <t>未練ある魂</t>
  </si>
  <si>
    <t>スリヴァー</t>
  </si>
  <si>
    <t>薄れ馬</t>
  </si>
  <si>
    <t>真っ逆さま</t>
  </si>
  <si>
    <t>突風の漂い</t>
  </si>
  <si>
    <t>二人戦術</t>
  </si>
  <si>
    <t>CMC</t>
    <phoneticPr fontId="1"/>
  </si>
  <si>
    <t>L</t>
    <phoneticPr fontId="1"/>
  </si>
  <si>
    <t>Ty</t>
    <phoneticPr fontId="1"/>
  </si>
  <si>
    <t>CT1</t>
    <phoneticPr fontId="1"/>
  </si>
  <si>
    <t>CT2</t>
    <phoneticPr fontId="1"/>
  </si>
  <si>
    <t>CT3</t>
    <phoneticPr fontId="1"/>
  </si>
  <si>
    <t>Exp</t>
    <phoneticPr fontId="1"/>
  </si>
  <si>
    <t>MC</t>
    <phoneticPr fontId="1"/>
  </si>
  <si>
    <t>Name</t>
    <phoneticPr fontId="1"/>
  </si>
  <si>
    <t>PT</t>
    <phoneticPr fontId="1"/>
  </si>
  <si>
    <t>abrity</t>
    <phoneticPr fontId="1"/>
  </si>
  <si>
    <t>slv</t>
  </si>
  <si>
    <t>枠</t>
    <rPh sb="0" eb="1">
      <t>ワク</t>
    </rPh>
    <phoneticPr fontId="1"/>
  </si>
  <si>
    <t>氷河の光線</t>
  </si>
  <si>
    <t>打ち倒し</t>
  </si>
  <si>
    <t>鉱夫の破滅</t>
  </si>
  <si>
    <t>エンチャント（クリーチャー）</t>
  </si>
  <si>
    <t>感電の弧炎/Galvanic Arc 　(２)(赤)</t>
  </si>
  <si>
    <t>エンチャント ― オーラ(Aura)　RAV, コモン</t>
  </si>
  <si>
    <t>感電の弧炎が戦場に出たとき、クリーチャー１体かプレイヤー１人を対象とする。感電の弧炎はそれに３点のダメージを与える。</t>
  </si>
  <si>
    <t>エンチャントされているクリーチャーは先制攻撃を持つ。</t>
  </si>
  <si>
    <t>Illus.Michael Sutfin (126/306)</t>
  </si>
  <si>
    <t>5R</t>
    <phoneticPr fontId="1"/>
  </si>
  <si>
    <t>JOU</t>
    <phoneticPr fontId="1"/>
  </si>
  <si>
    <t>E</t>
    <phoneticPr fontId="1"/>
  </si>
  <si>
    <t>オーラ</t>
    <phoneticPr fontId="1"/>
  </si>
  <si>
    <t>CIP2点　+2/+2</t>
    <rPh sb="4" eb="5">
      <t>テン</t>
    </rPh>
    <phoneticPr fontId="1"/>
  </si>
  <si>
    <t>稲妻の髪飾り</t>
    <phoneticPr fontId="1"/>
  </si>
  <si>
    <t>沸き立つ大地</t>
  </si>
  <si>
    <t>*</t>
    <phoneticPr fontId="1"/>
  </si>
  <si>
    <t>木霊の手の内</t>
  </si>
  <si>
    <t>魂無き蘇生</t>
  </si>
  <si>
    <t>絞首</t>
  </si>
  <si>
    <t>ホラー</t>
  </si>
  <si>
    <t>氷河の壊し屋</t>
  </si>
  <si>
    <t>上昇気流の精霊</t>
  </si>
  <si>
    <t>F</t>
    <phoneticPr fontId="1"/>
  </si>
  <si>
    <t>輝く光波</t>
  </si>
  <si>
    <t>掴み掛かる水流</t>
  </si>
  <si>
    <t>W01</t>
  </si>
  <si>
    <t>侍</t>
  </si>
  <si>
    <t>側面攻撃</t>
  </si>
  <si>
    <t>WT:タッパー</t>
  </si>
  <si>
    <t>除去</t>
  </si>
  <si>
    <t>攻撃生物破壊</t>
  </si>
  <si>
    <t>生物2+1/+2+2回復</t>
  </si>
  <si>
    <t>狐</t>
  </si>
  <si>
    <t>先制　武1</t>
  </si>
  <si>
    <t>CIP:E破　想起W</t>
  </si>
  <si>
    <t>飛行Spilit1/1×2　1B:FB</t>
  </si>
  <si>
    <t>寝生物破壊　5W:覚醒3</t>
  </si>
  <si>
    <t>他</t>
  </si>
  <si>
    <t>飛行</t>
  </si>
  <si>
    <t>飛行　武１</t>
  </si>
  <si>
    <t>多相</t>
  </si>
  <si>
    <t>秘儀</t>
  </si>
  <si>
    <t>生物3T</t>
  </si>
  <si>
    <t>Pa 攻防起不可　4回復</t>
  </si>
  <si>
    <t>吸収</t>
  </si>
  <si>
    <t>U01</t>
  </si>
  <si>
    <t>排撃　4U:覚醒3</t>
  </si>
  <si>
    <t>荒廃の工作員</t>
  </si>
  <si>
    <t>1U</t>
  </si>
  <si>
    <t>感染　アンブロ</t>
  </si>
  <si>
    <t>かき鳴らし鳥</t>
  </si>
  <si>
    <t>鳥</t>
  </si>
  <si>
    <t>飛行　敵戦D誘増殖</t>
  </si>
  <si>
    <t>否認</t>
  </si>
  <si>
    <t>非生物呪文打消し</t>
  </si>
  <si>
    <t>未達の目</t>
  </si>
  <si>
    <t>UU</t>
  </si>
  <si>
    <t>ブーメラン</t>
  </si>
  <si>
    <t>着実な進歩</t>
  </si>
  <si>
    <t>増殖　1泥</t>
  </si>
  <si>
    <t>計算された放逐</t>
  </si>
  <si>
    <t>3リーク　魔巧占術2</t>
  </si>
  <si>
    <t>閉所恐怖症</t>
  </si>
  <si>
    <t>1UU</t>
  </si>
  <si>
    <t>タップ、非UT</t>
  </si>
  <si>
    <t>防衛　進化</t>
  </si>
  <si>
    <t>消術</t>
  </si>
  <si>
    <t>収斂泥　後2捨</t>
  </si>
  <si>
    <t>目的のための燃料</t>
  </si>
  <si>
    <t>呪文打消　増殖</t>
  </si>
  <si>
    <t>熟考漂い</t>
  </si>
  <si>
    <t>飛行CIP2泥　想起2U</t>
  </si>
  <si>
    <t>移植3　1:+1C乗生物飛行</t>
  </si>
  <si>
    <t>警戒</t>
  </si>
  <si>
    <t>4UU</t>
  </si>
  <si>
    <t>貫通　生息条件山</t>
  </si>
  <si>
    <t>3UU</t>
  </si>
  <si>
    <t>飛行　CIP+1/+1Cor排撃</t>
  </si>
  <si>
    <t>B01</t>
  </si>
  <si>
    <t>死の重み</t>
  </si>
  <si>
    <t>.-2/-2</t>
  </si>
  <si>
    <t>戦士</t>
  </si>
  <si>
    <t>CIP寝　強襲-CIPハンデス</t>
  </si>
  <si>
    <t>激情</t>
  </si>
  <si>
    <t>墓地生物1回収　1B:連繋</t>
  </si>
  <si>
    <t>闇への追放</t>
  </si>
  <si>
    <t>非黒生物破壊</t>
  </si>
  <si>
    <t>忌まわしい容貌</t>
  </si>
  <si>
    <t>自軍威嚇</t>
  </si>
  <si>
    <t>骨読み</t>
  </si>
  <si>
    <t>占術2　2泥　2失</t>
  </si>
  <si>
    <t>速攻</t>
  </si>
  <si>
    <t>生物1-4/-4</t>
  </si>
  <si>
    <t>B：再生</t>
  </si>
  <si>
    <t>R01</t>
  </si>
  <si>
    <t>シャーマン</t>
  </si>
  <si>
    <t>T:El呪文/能力用任意色2マナ</t>
  </si>
  <si>
    <t>強制攻撃　武2</t>
  </si>
  <si>
    <t>敵軍1点　6R：覚醒4</t>
  </si>
  <si>
    <t>威迫</t>
  </si>
  <si>
    <t>上陸C　3C除-7/1ボーライ</t>
  </si>
  <si>
    <t>2点　連繋1R</t>
  </si>
  <si>
    <t>先制　高名1</t>
  </si>
  <si>
    <t>攻生物P+2</t>
  </si>
  <si>
    <t>大変異2R　表時1点</t>
  </si>
  <si>
    <t>生物3点、+1C乗り→追加2</t>
  </si>
  <si>
    <t>1R：P+手札　武1</t>
  </si>
  <si>
    <t>溶岩の斧</t>
  </si>
  <si>
    <t>PL5点</t>
  </si>
  <si>
    <t>4RR</t>
  </si>
  <si>
    <t>2R:P+1+貫通</t>
  </si>
  <si>
    <t>G01</t>
  </si>
  <si>
    <t>有毒</t>
  </si>
  <si>
    <t>ランパン</t>
  </si>
  <si>
    <t>帰化</t>
  </si>
  <si>
    <t>EorF破壊</t>
  </si>
  <si>
    <t>剛力化</t>
  </si>
  <si>
    <t>_+4/+4</t>
  </si>
  <si>
    <t>耕作</t>
  </si>
  <si>
    <t>垂直落下　毒1</t>
  </si>
  <si>
    <t>蜘蛛</t>
  </si>
  <si>
    <t>到達　感染</t>
  </si>
  <si>
    <t>順応する跳ね顎</t>
  </si>
  <si>
    <t>進化</t>
  </si>
  <si>
    <t>7G</t>
  </si>
  <si>
    <t>WB1</t>
  </si>
  <si>
    <t>UR1</t>
  </si>
  <si>
    <t>BG1</t>
  </si>
  <si>
    <t>RW1</t>
  </si>
  <si>
    <t>GU1</t>
  </si>
  <si>
    <t>N01</t>
  </si>
  <si>
    <t>F</t>
  </si>
  <si>
    <t>T:addW,B</t>
  </si>
  <si>
    <t>T:addU,R</t>
  </si>
  <si>
    <t>T:addB,G</t>
  </si>
  <si>
    <t>T:addR,W</t>
  </si>
  <si>
    <t>T:addG,U</t>
  </si>
  <si>
    <t>L01</t>
  </si>
  <si>
    <t>5/5</t>
  </si>
  <si>
    <t>5/1</t>
  </si>
  <si>
    <t>6/3</t>
  </si>
  <si>
    <t>6/2</t>
  </si>
  <si>
    <t>7/6</t>
  </si>
  <si>
    <t>ネズミ</t>
  </si>
  <si>
    <t>NPH</t>
    <phoneticPr fontId="1"/>
  </si>
  <si>
    <t>7↑</t>
  </si>
  <si>
    <t>7↑</t>
    <phoneticPr fontId="1"/>
  </si>
  <si>
    <t>蝋燭の輝き</t>
  </si>
  <si>
    <t xml:space="preserve">常在精神/Evermind   </t>
    <phoneticPr fontId="1"/>
  </si>
  <si>
    <t>捨て身の儀式</t>
  </si>
  <si>
    <t>変わり身の勇士</t>
  </si>
  <si>
    <t>変わり身の狂戦士</t>
  </si>
  <si>
    <t>変わり身のタイタン</t>
  </si>
  <si>
    <t>アメーバの変わり身</t>
  </si>
  <si>
    <t>幽霊の変わり身</t>
  </si>
  <si>
    <t>CMC計</t>
    <rPh sb="3" eb="4">
      <t>ケイ</t>
    </rPh>
    <phoneticPr fontId="1"/>
  </si>
  <si>
    <t>残忍な稲妻</t>
  </si>
  <si>
    <t>潮力の精霊</t>
  </si>
  <si>
    <t>沿岸の発見</t>
  </si>
  <si>
    <t>明敏な雛</t>
  </si>
  <si>
    <t>大食の雛</t>
  </si>
  <si>
    <t>有毒の雛</t>
  </si>
  <si>
    <t>好戦的な雛</t>
  </si>
  <si>
    <t>頑丈な雛</t>
  </si>
  <si>
    <t>払拭の光</t>
  </si>
  <si>
    <t>雄鹿の蹄の跡</t>
  </si>
  <si>
    <t>取り囲む地割れ</t>
  </si>
  <si>
    <t>血の訴え</t>
  </si>
  <si>
    <t>神秘の蛇</t>
    <phoneticPr fontId="1"/>
  </si>
  <si>
    <t>天使の贈り物</t>
  </si>
  <si>
    <t>飛行　1泥</t>
  </si>
  <si>
    <t>安全な道</t>
  </si>
  <si>
    <t>自軍受Dのみ無効</t>
  </si>
  <si>
    <t>追コス-CS　T分-X/-X</t>
  </si>
  <si>
    <t>糾弾</t>
  </si>
  <si>
    <t>攻撃生物DB　体分回復</t>
  </si>
  <si>
    <t>プロ黒　武1</t>
  </si>
  <si>
    <t>T:レンジ</t>
  </si>
  <si>
    <t>3点軽減+軽減分回復　1W:連繋</t>
  </si>
  <si>
    <t>リング</t>
  </si>
  <si>
    <t>安全な道　4W:覚醒2</t>
  </si>
  <si>
    <t>伝説　攻撃時自軍侍PT+1　武1</t>
  </si>
  <si>
    <t>多相　覇権　絆魂</t>
  </si>
  <si>
    <t>セラの天使</t>
  </si>
  <si>
    <t>天使</t>
  </si>
  <si>
    <t>飛行　警戒</t>
  </si>
  <si>
    <t>多相　T:生物1多相or非多相</t>
  </si>
  <si>
    <t>U:生物T/UT　上陸UT</t>
  </si>
  <si>
    <t>2泥　5U:覚醒4</t>
  </si>
  <si>
    <t>飛行　感染　3U:増殖</t>
  </si>
  <si>
    <t>蔑み</t>
  </si>
  <si>
    <t>CorPWハンデス</t>
  </si>
  <si>
    <t>CIP　全PL毒1　感染</t>
  </si>
  <si>
    <t>多相　1B：+1/+1</t>
  </si>
  <si>
    <t>吸血能力</t>
  </si>
  <si>
    <t>忌まわしい笑い</t>
  </si>
  <si>
    <t>全-2/-2　3BB:連繋</t>
  </si>
  <si>
    <t>リアニ　生物3S:FB</t>
  </si>
  <si>
    <t>MMA</t>
  </si>
  <si>
    <t>RRR　1R:連繋</t>
  </si>
  <si>
    <t>伝説　同名+2/+2速攻　武1</t>
  </si>
  <si>
    <t>Elロード　1RT:El騙し討ち</t>
  </si>
  <si>
    <t>5/3</t>
  </si>
  <si>
    <t>多相　覇権　速攻</t>
  </si>
  <si>
    <t>二段</t>
  </si>
  <si>
    <t>3RRR</t>
  </si>
  <si>
    <t>3/1速攻ElエンドS×3</t>
  </si>
  <si>
    <t>攻撃の元型</t>
  </si>
  <si>
    <t>1RR</t>
  </si>
  <si>
    <t>自軍貫通　敵軍非貫通</t>
  </si>
  <si>
    <t>紅蓮地獄</t>
  </si>
  <si>
    <t>全生物2点</t>
  </si>
  <si>
    <t>手綱取り</t>
  </si>
  <si>
    <t>脅しつけ/投げ飛ばし　2R:双呪</t>
  </si>
  <si>
    <t>爆発的植生</t>
  </si>
  <si>
    <t>2倍ランパン</t>
  </si>
  <si>
    <t>自軍生物PT+1+感染</t>
  </si>
  <si>
    <t>7/7</t>
  </si>
  <si>
    <t>多相　覇権</t>
  </si>
  <si>
    <t>杉の力</t>
  </si>
  <si>
    <t>生物1自土地分PT+X</t>
  </si>
  <si>
    <t>3/4</t>
  </si>
  <si>
    <t>感染　超貫通</t>
  </si>
  <si>
    <t>実験体</t>
  </si>
  <si>
    <t>ウーズ</t>
  </si>
  <si>
    <t>進化　2C除:再生</t>
  </si>
  <si>
    <t>WU1</t>
  </si>
  <si>
    <t>呪文対象誘1泥</t>
  </si>
  <si>
    <t>UB1</t>
  </si>
  <si>
    <t>BR1</t>
  </si>
  <si>
    <t>無色化</t>
  </si>
  <si>
    <t>RG1</t>
  </si>
  <si>
    <t>ヤヴィマヤの木</t>
  </si>
  <si>
    <t>GW1</t>
  </si>
  <si>
    <t>CIP帰化</t>
  </si>
  <si>
    <t>3S:パー割</t>
  </si>
  <si>
    <t>3W/B</t>
  </si>
  <si>
    <t>_-1C×4　絆魂　白呪唱-1C除、黒同様</t>
  </si>
  <si>
    <t>利得+損失</t>
  </si>
  <si>
    <t>1W+2B</t>
  </si>
  <si>
    <t>自軍+1/+1/敵軍-1/-1　融合</t>
  </si>
  <si>
    <t>_-1C×4　U/R:防不　青呪唱-1C除、赤同様</t>
  </si>
  <si>
    <t>変化+点火</t>
  </si>
  <si>
    <t>2U+1R</t>
  </si>
  <si>
    <t>生物10/1化/2点火力　融合</t>
  </si>
  <si>
    <t>_-1C×4　萎縮　黒呪唱-1C除、緑同様</t>
  </si>
  <si>
    <t>有害+不潔</t>
  </si>
  <si>
    <t>3B+2G</t>
  </si>
  <si>
    <t>2ハンデス/墓地1回収　融合</t>
  </si>
  <si>
    <t>1S：1ダメor軽減</t>
  </si>
  <si>
    <t>3R/W</t>
  </si>
  <si>
    <t>_-1C×4　先制　赤呪唱-1C除、白同様</t>
  </si>
  <si>
    <t>摩耗+損耗</t>
  </si>
  <si>
    <t>1R+W</t>
  </si>
  <si>
    <t>F破壊/E破壊　融合</t>
  </si>
  <si>
    <t>防衛+CIP1D</t>
  </si>
  <si>
    <t>投与+享受</t>
  </si>
  <si>
    <t>2G+2U</t>
  </si>
  <si>
    <t>生物+1C3/+1C分泥　融合</t>
  </si>
  <si>
    <t>_-1C×4　G/U:被覆　緑呪唱-1C除、青同様</t>
  </si>
  <si>
    <t>装備品</t>
  </si>
  <si>
    <t>感染+2/+2　外れるとS　2：装備</t>
  </si>
  <si>
    <t>マナ力の鎚鉾</t>
  </si>
  <si>
    <t>版図+1/+1　3：装備</t>
  </si>
  <si>
    <t>アブザン土地</t>
  </si>
  <si>
    <t>ジェスカイ土地</t>
  </si>
  <si>
    <t>スゥルタイ土地</t>
  </si>
  <si>
    <t>マルドゥ土地</t>
  </si>
  <si>
    <t>ティムール土地</t>
  </si>
  <si>
    <t>伝説　T:add武士道1　武1</t>
  </si>
  <si>
    <t>伝説　自軍侍、武分+X/+X　武2</t>
  </si>
  <si>
    <t>泥誘C　2W4C除:4/4El</t>
  </si>
  <si>
    <t>神の怒り</t>
  </si>
  <si>
    <t>2WW</t>
  </si>
  <si>
    <t>ラスゴ</t>
  </si>
  <si>
    <t>飛行+死誘デッキトップ</t>
  </si>
  <si>
    <t>2点、自3点</t>
  </si>
  <si>
    <t>伝説　武X=攻生物　敵軍全強制攻撃</t>
  </si>
  <si>
    <t>伝説　武2　2R,侍S：自軍侍二段</t>
  </si>
  <si>
    <t>シヴ山のドラゴン</t>
  </si>
  <si>
    <t>8ED</t>
  </si>
  <si>
    <t>ドラゴン</t>
  </si>
  <si>
    <t>飛行　ブレス</t>
  </si>
  <si>
    <t>沼コンPT+1+B：再生</t>
  </si>
  <si>
    <t>XGGG</t>
  </si>
  <si>
    <t>DTX公開　CMCX↓Pa戦場　残墓地</t>
  </si>
  <si>
    <t>スケルトン</t>
  </si>
  <si>
    <t>墓地生物分+1/+1C　1+1C除:再生　発掘6</t>
  </si>
  <si>
    <t>D受毎+1/+1C</t>
  </si>
  <si>
    <t>壊滅させるものヌーマット</t>
  </si>
  <si>
    <t>狩るものヴォラシュ</t>
  </si>
  <si>
    <t>報復するものオロス</t>
  </si>
  <si>
    <t>夢見るものインテット</t>
  </si>
  <si>
    <t>収穫するものテネブ</t>
  </si>
  <si>
    <t>巣石</t>
  </si>
  <si>
    <t>自軍生物はslv化</t>
  </si>
  <si>
    <t>ニクソス</t>
  </si>
  <si>
    <t>スリヴァーの巣</t>
  </si>
  <si>
    <t>T:C　T:Slvマナ　5T:1/1Slv</t>
  </si>
  <si>
    <t>魂の捕縛</t>
  </si>
  <si>
    <t>武士道</t>
    <rPh sb="0" eb="3">
      <t>ブシドウ</t>
    </rPh>
    <phoneticPr fontId="1"/>
  </si>
  <si>
    <t>側面攻撃</t>
    <rPh sb="0" eb="2">
      <t>ソクメン</t>
    </rPh>
    <rPh sb="2" eb="4">
      <t>コウゲキ</t>
    </rPh>
    <phoneticPr fontId="1"/>
  </si>
  <si>
    <t>飛行</t>
    <rPh sb="0" eb="2">
      <t>ヒコウ</t>
    </rPh>
    <phoneticPr fontId="1"/>
  </si>
  <si>
    <t>先制攻撃</t>
    <rPh sb="0" eb="2">
      <t>センセイ</t>
    </rPh>
    <rPh sb="2" eb="4">
      <t>コウゲキ</t>
    </rPh>
    <phoneticPr fontId="1"/>
  </si>
  <si>
    <t>想起</t>
    <rPh sb="0" eb="2">
      <t>ソウキ</t>
    </rPh>
    <phoneticPr fontId="1"/>
  </si>
  <si>
    <t>協議</t>
    <rPh sb="0" eb="2">
      <t>キョウギ</t>
    </rPh>
    <phoneticPr fontId="1"/>
  </si>
  <si>
    <t>覚醒</t>
    <rPh sb="0" eb="2">
      <t>カクセイ</t>
    </rPh>
    <phoneticPr fontId="1"/>
  </si>
  <si>
    <t>プロテク</t>
  </si>
  <si>
    <t>多相</t>
    <rPh sb="0" eb="2">
      <t>タソウ</t>
    </rPh>
    <phoneticPr fontId="1"/>
  </si>
  <si>
    <t>警戒</t>
    <rPh sb="0" eb="2">
      <t>ケイカイ</t>
    </rPh>
    <phoneticPr fontId="1"/>
  </si>
  <si>
    <t>転生</t>
    <rPh sb="0" eb="2">
      <t>テンセイ</t>
    </rPh>
    <phoneticPr fontId="1"/>
  </si>
  <si>
    <t>感染</t>
    <rPh sb="0" eb="2">
      <t>カンセン</t>
    </rPh>
    <phoneticPr fontId="1"/>
  </si>
  <si>
    <t>増殖</t>
    <rPh sb="0" eb="2">
      <t>ゾウショク</t>
    </rPh>
    <phoneticPr fontId="1"/>
  </si>
  <si>
    <t>魔巧</t>
    <rPh sb="0" eb="1">
      <t>マ</t>
    </rPh>
    <rPh sb="1" eb="2">
      <t>コウ</t>
    </rPh>
    <phoneticPr fontId="1"/>
  </si>
  <si>
    <t>占術</t>
    <rPh sb="0" eb="2">
      <t>センジュツ</t>
    </rPh>
    <phoneticPr fontId="1"/>
  </si>
  <si>
    <t>防衛</t>
    <rPh sb="0" eb="2">
      <t>ボウエイ</t>
    </rPh>
    <phoneticPr fontId="1"/>
  </si>
  <si>
    <t>進化</t>
    <rPh sb="0" eb="2">
      <t>シンカ</t>
    </rPh>
    <phoneticPr fontId="1"/>
  </si>
  <si>
    <t>消術</t>
    <rPh sb="0" eb="1">
      <t>キ</t>
    </rPh>
    <rPh sb="1" eb="2">
      <t>ジュツ</t>
    </rPh>
    <phoneticPr fontId="1"/>
  </si>
  <si>
    <t>収斂</t>
    <rPh sb="0" eb="2">
      <t>シュウレン</t>
    </rPh>
    <phoneticPr fontId="1"/>
  </si>
  <si>
    <t>移植</t>
    <rPh sb="0" eb="2">
      <t>イショク</t>
    </rPh>
    <phoneticPr fontId="1"/>
  </si>
  <si>
    <t>貫通</t>
    <rPh sb="0" eb="2">
      <t>カンツウ</t>
    </rPh>
    <phoneticPr fontId="1"/>
  </si>
  <si>
    <t>強襲</t>
    <rPh sb="0" eb="2">
      <t>キョウシュウ</t>
    </rPh>
    <phoneticPr fontId="1"/>
  </si>
  <si>
    <t>激情</t>
    <rPh sb="0" eb="2">
      <t>ゲキジョウ</t>
    </rPh>
    <phoneticPr fontId="1"/>
  </si>
  <si>
    <t>連繋</t>
    <rPh sb="0" eb="2">
      <t>レンケイ</t>
    </rPh>
    <phoneticPr fontId="1"/>
  </si>
  <si>
    <t>潜伏</t>
    <rPh sb="0" eb="2">
      <t>センプク</t>
    </rPh>
    <phoneticPr fontId="1"/>
  </si>
  <si>
    <t>魂絆</t>
    <rPh sb="0" eb="1">
      <t>タマシイ</t>
    </rPh>
    <rPh sb="1" eb="2">
      <t>キズナ</t>
    </rPh>
    <phoneticPr fontId="1"/>
  </si>
  <si>
    <t>接死</t>
    <rPh sb="0" eb="1">
      <t>セツ</t>
    </rPh>
    <rPh sb="1" eb="2">
      <t>シ</t>
    </rPh>
    <phoneticPr fontId="1"/>
  </si>
  <si>
    <t>威嚇</t>
    <rPh sb="0" eb="2">
      <t>イカク</t>
    </rPh>
    <phoneticPr fontId="1"/>
  </si>
  <si>
    <t>速攻</t>
    <rPh sb="0" eb="2">
      <t>ソッコウ</t>
    </rPh>
    <phoneticPr fontId="1"/>
  </si>
  <si>
    <t>再生</t>
    <rPh sb="0" eb="2">
      <t>サイセイ</t>
    </rPh>
    <phoneticPr fontId="1"/>
  </si>
  <si>
    <t>上陸</t>
    <rPh sb="0" eb="2">
      <t>ジョウリク</t>
    </rPh>
    <phoneticPr fontId="1"/>
  </si>
  <si>
    <t>高名</t>
    <rPh sb="0" eb="2">
      <t>コウメイ</t>
    </rPh>
    <phoneticPr fontId="1"/>
  </si>
  <si>
    <t>タイプサイクリング</t>
  </si>
  <si>
    <t>大変異</t>
    <rPh sb="0" eb="1">
      <t>ダイ</t>
    </rPh>
    <rPh sb="1" eb="3">
      <t>ヘンイ</t>
    </rPh>
    <phoneticPr fontId="1"/>
  </si>
  <si>
    <t>有毒</t>
    <rPh sb="0" eb="2">
      <t>ユウドク</t>
    </rPh>
    <phoneticPr fontId="1"/>
  </si>
  <si>
    <t>格闘</t>
    <rPh sb="0" eb="2">
      <t>カクトウ</t>
    </rPh>
    <phoneticPr fontId="1"/>
  </si>
  <si>
    <t>到達</t>
    <rPh sb="0" eb="2">
      <t>トウタツ</t>
    </rPh>
    <phoneticPr fontId="1"/>
  </si>
  <si>
    <t>強請</t>
    <rPh sb="0" eb="2">
      <t>ゴウセイ</t>
    </rPh>
    <phoneticPr fontId="1"/>
  </si>
  <si>
    <t>憑依</t>
    <rPh sb="0" eb="2">
      <t>ヒョウイ</t>
    </rPh>
    <phoneticPr fontId="1"/>
  </si>
  <si>
    <t>被覆</t>
    <rPh sb="0" eb="2">
      <t>ヒフク</t>
    </rPh>
    <phoneticPr fontId="1"/>
  </si>
  <si>
    <t>発掘</t>
    <rPh sb="0" eb="2">
      <t>ハックツ</t>
    </rPh>
    <phoneticPr fontId="1"/>
  </si>
  <si>
    <t>萎縮</t>
    <rPh sb="0" eb="2">
      <t>イシュク</t>
    </rPh>
    <phoneticPr fontId="1"/>
  </si>
  <si>
    <t>頑強</t>
    <rPh sb="0" eb="2">
      <t>ガンキョウ</t>
    </rPh>
    <phoneticPr fontId="1"/>
  </si>
  <si>
    <t>烈日</t>
    <rPh sb="0" eb="2">
      <t>レツジツ</t>
    </rPh>
    <phoneticPr fontId="1"/>
  </si>
  <si>
    <t>瞬速</t>
  </si>
  <si>
    <t>FB</t>
  </si>
  <si>
    <t>覇権</t>
    <rPh sb="0" eb="2">
      <t>ハケン</t>
    </rPh>
    <phoneticPr fontId="1"/>
  </si>
  <si>
    <t>変異</t>
    <rPh sb="0" eb="2">
      <t>ヘンイ</t>
    </rPh>
    <phoneticPr fontId="1"/>
  </si>
  <si>
    <t>刹那</t>
    <rPh sb="0" eb="2">
      <t>セツナ</t>
    </rPh>
    <phoneticPr fontId="1"/>
  </si>
  <si>
    <t>忍術</t>
    <rPh sb="0" eb="2">
      <t>ニンジュツ</t>
    </rPh>
    <phoneticPr fontId="1"/>
  </si>
  <si>
    <t>融合</t>
    <rPh sb="0" eb="2">
      <t>ユウゴウ</t>
    </rPh>
    <phoneticPr fontId="1"/>
  </si>
  <si>
    <t>装備</t>
    <rPh sb="0" eb="2">
      <t>ソウビ</t>
    </rPh>
    <phoneticPr fontId="1"/>
  </si>
  <si>
    <t>版図</t>
    <rPh sb="0" eb="2">
      <t>ハント</t>
    </rPh>
    <phoneticPr fontId="1"/>
  </si>
  <si>
    <t>授与</t>
    <rPh sb="0" eb="2">
      <t>ジュヨ</t>
    </rPh>
    <phoneticPr fontId="1"/>
  </si>
  <si>
    <t>再生</t>
    <rPh sb="0" eb="2">
      <t>サイセイ</t>
    </rPh>
    <phoneticPr fontId="1"/>
  </si>
  <si>
    <t>貫通</t>
    <rPh sb="0" eb="2">
      <t>カンツウ</t>
    </rPh>
    <phoneticPr fontId="1"/>
  </si>
  <si>
    <t>プロテク</t>
    <phoneticPr fontId="1"/>
  </si>
  <si>
    <t>FB</t>
    <phoneticPr fontId="1"/>
  </si>
  <si>
    <t>タイプサイクリング</t>
    <phoneticPr fontId="1"/>
  </si>
  <si>
    <t>調査</t>
    <rPh sb="0" eb="2">
      <t>チョウサ</t>
    </rPh>
    <phoneticPr fontId="1"/>
  </si>
  <si>
    <t>放浪する森林</t>
  </si>
  <si>
    <t>召集</t>
  </si>
  <si>
    <t>T:CC</t>
  </si>
  <si>
    <t>拭い捨て</t>
  </si>
  <si>
    <t>刹那　ブーメラン</t>
  </si>
  <si>
    <t>サファイアのドレイク</t>
  </si>
  <si>
    <t>5U</t>
  </si>
  <si>
    <t>飛行　自軍+1C乗飛行</t>
  </si>
  <si>
    <t>悪意に満ちた蘇りし者</t>
  </si>
  <si>
    <t>3B:授与　攻撃時敵2失</t>
  </si>
  <si>
    <t>影の中の貪り</t>
  </si>
  <si>
    <t>生物1破壊非再生　体分自失</t>
  </si>
  <si>
    <t>増え続ける荒廃</t>
  </si>
  <si>
    <t>生物3　-1Cを1.2.3と振分</t>
  </si>
  <si>
    <t>嵐血の狂戦士</t>
  </si>
  <si>
    <t>狂戦士</t>
  </si>
  <si>
    <t>狂喜2　威迫</t>
  </si>
  <si>
    <t>血暴れの巨人</t>
  </si>
  <si>
    <t>巨人</t>
  </si>
  <si>
    <t>貫通　解鎖</t>
  </si>
  <si>
    <t>カル・シスマの風</t>
  </si>
  <si>
    <t>濃霧　獰猛-敵軍のみ濃霧</t>
  </si>
  <si>
    <t>アナの戦闘魔道士</t>
  </si>
  <si>
    <t>追2U:3ハンデス　追1B:P火力</t>
  </si>
  <si>
    <t>永遠溢れの杯</t>
  </si>
  <si>
    <t>多重キッカー2　C分無マナ</t>
  </si>
  <si>
    <t>信号の邪魔者</t>
  </si>
  <si>
    <t>邪魔者</t>
  </si>
  <si>
    <t>喊声　到達飛行のみ防御可</t>
  </si>
  <si>
    <t>CIP2点　T:1マナ</t>
  </si>
  <si>
    <t>永劫の年代史家</t>
  </si>
  <si>
    <t>アバター</t>
  </si>
  <si>
    <t>X3U:待機X　待機C除1泥　*=自手札</t>
  </si>
  <si>
    <t>墓忍び</t>
  </si>
  <si>
    <t>6BB</t>
  </si>
  <si>
    <t>デーモン</t>
  </si>
  <si>
    <t>飛行　探査</t>
  </si>
  <si>
    <t>非白黒生物破壊　1/1spri　憑依</t>
  </si>
  <si>
    <t>警戒　貫通　収斂</t>
  </si>
  <si>
    <t>オルゾフの御曹子、テイサ</t>
  </si>
  <si>
    <t>アドバイザー</t>
  </si>
  <si>
    <t>伝説　白生物3S:生物3追放　黒死誘→1/1spri</t>
  </si>
  <si>
    <t>空砕きの呼び声</t>
  </si>
  <si>
    <t>5U/RU/R</t>
  </si>
  <si>
    <t>飛行5/5El　回顧</t>
  </si>
  <si>
    <t>花崗岩の凝視</t>
  </si>
  <si>
    <t>XBBG</t>
  </si>
  <si>
    <t>CMCX以下の非土地Pa破壊</t>
  </si>
  <si>
    <t>炎まといの報復者</t>
  </si>
  <si>
    <t>飛行　大隊-稲妻のらせん</t>
  </si>
  <si>
    <t>もう一人の自分</t>
  </si>
  <si>
    <t>X2GU</t>
  </si>
  <si>
    <t>3WUR</t>
  </si>
  <si>
    <t>3UBG</t>
  </si>
  <si>
    <t>3BRW</t>
  </si>
  <si>
    <t>3RGU</t>
  </si>
  <si>
    <t>3GWB</t>
  </si>
  <si>
    <t>怒りの反射</t>
    <rPh sb="0" eb="1">
      <t>イカ</t>
    </rPh>
    <rPh sb="3" eb="5">
      <t>ハンシャ</t>
    </rPh>
    <phoneticPr fontId="1"/>
  </si>
  <si>
    <t>4RR</t>
    <phoneticPr fontId="1"/>
  </si>
  <si>
    <t>SHM</t>
    <phoneticPr fontId="1"/>
  </si>
  <si>
    <t>E</t>
    <phoneticPr fontId="1"/>
  </si>
  <si>
    <t>自軍二段攻撃</t>
    <rPh sb="0" eb="1">
      <t>ジ</t>
    </rPh>
    <rPh sb="1" eb="2">
      <t>グン</t>
    </rPh>
    <rPh sb="2" eb="4">
      <t>ニダン</t>
    </rPh>
    <rPh sb="4" eb="6">
      <t>コウゲキ</t>
    </rPh>
    <phoneticPr fontId="1"/>
  </si>
  <si>
    <t>E</t>
    <phoneticPr fontId="1"/>
  </si>
  <si>
    <t>各PLUPK1命1手札捨　暴勇-UPK飛　狂気:2BB</t>
    <rPh sb="0" eb="1">
      <t>カク</t>
    </rPh>
    <rPh sb="7" eb="8">
      <t>イノチ</t>
    </rPh>
    <rPh sb="9" eb="11">
      <t>テフダ</t>
    </rPh>
    <rPh sb="11" eb="12">
      <t>ス</t>
    </rPh>
    <rPh sb="13" eb="15">
      <t>ボウユウ</t>
    </rPh>
    <rPh sb="19" eb="20">
      <t>ト</t>
    </rPh>
    <rPh sb="21" eb="23">
      <t>キョウキ</t>
    </rPh>
    <phoneticPr fontId="1"/>
  </si>
  <si>
    <t>惑乱のセイレーン</t>
    <rPh sb="0" eb="2">
      <t>ワクラン</t>
    </rPh>
    <phoneticPr fontId="1"/>
  </si>
  <si>
    <t>U</t>
    <phoneticPr fontId="1"/>
  </si>
  <si>
    <t>JOU</t>
    <phoneticPr fontId="1"/>
  </si>
  <si>
    <t>EC</t>
    <phoneticPr fontId="1"/>
  </si>
  <si>
    <t>セイレーン</t>
    <phoneticPr fontId="1"/>
  </si>
  <si>
    <t>1/1</t>
    <phoneticPr fontId="1"/>
  </si>
  <si>
    <t>飛行　5UU:授与　支配魔法</t>
    <rPh sb="7" eb="9">
      <t>ジュヨ</t>
    </rPh>
    <rPh sb="10" eb="12">
      <t>シハイ</t>
    </rPh>
    <rPh sb="12" eb="14">
      <t>マホウ</t>
    </rPh>
    <phoneticPr fontId="1"/>
  </si>
  <si>
    <t>硬化した鱗</t>
    <rPh sb="0" eb="2">
      <t>コウカ</t>
    </rPh>
    <rPh sb="4" eb="5">
      <t>ウロコ</t>
    </rPh>
    <phoneticPr fontId="1"/>
  </si>
  <si>
    <t>G</t>
    <phoneticPr fontId="1"/>
  </si>
  <si>
    <t>KTK</t>
    <phoneticPr fontId="1"/>
  </si>
  <si>
    <t>_+1C乗誘発追加+1C</t>
    <rPh sb="4" eb="5">
      <t>ノ</t>
    </rPh>
    <rPh sb="5" eb="7">
      <t>ユウハツ</t>
    </rPh>
    <rPh sb="7" eb="9">
      <t>ツイカ</t>
    </rPh>
    <phoneticPr fontId="1"/>
  </si>
  <si>
    <t>C</t>
    <phoneticPr fontId="1"/>
  </si>
  <si>
    <t>C</t>
    <phoneticPr fontId="1"/>
  </si>
  <si>
    <t>MW1</t>
  </si>
  <si>
    <t>MW2</t>
  </si>
  <si>
    <t>黄金たてがみのアジャニ</t>
  </si>
  <si>
    <t>MU1</t>
  </si>
  <si>
    <t>MU2</t>
  </si>
  <si>
    <t>ジェイス・ベレレン</t>
  </si>
  <si>
    <t>MB1</t>
  </si>
  <si>
    <t>MB2</t>
  </si>
  <si>
    <t>リリアナ・ヴェス</t>
  </si>
  <si>
    <t>MR1</t>
  </si>
  <si>
    <t>MR2</t>
  </si>
  <si>
    <t>チャンドラ・ナラー</t>
  </si>
  <si>
    <t>MG1</t>
  </si>
  <si>
    <t>世界を喰らう者、ポルクラノス</t>
  </si>
  <si>
    <t>MG2</t>
  </si>
  <si>
    <t>野生語りのガラク</t>
  </si>
  <si>
    <t>MWU</t>
  </si>
  <si>
    <t>MBR</t>
  </si>
  <si>
    <t>MRG</t>
  </si>
  <si>
    <t>MGW</t>
  </si>
  <si>
    <t>MWB</t>
  </si>
  <si>
    <t>MBG</t>
  </si>
  <si>
    <t>MRW</t>
  </si>
  <si>
    <t>MGU</t>
  </si>
  <si>
    <t>PW</t>
  </si>
  <si>
    <t>I</t>
    <phoneticPr fontId="1"/>
  </si>
  <si>
    <t>PW</t>
    <phoneticPr fontId="1"/>
  </si>
  <si>
    <t>|</t>
  </si>
  <si>
    <t>プロ白黒　絆魂</t>
    <rPh sb="2" eb="3">
      <t>シロ</t>
    </rPh>
    <rPh sb="3" eb="4">
      <t>クロ</t>
    </rPh>
    <rPh sb="5" eb="6">
      <t>キズナ</t>
    </rPh>
    <rPh sb="6" eb="7">
      <t>タマシイ</t>
    </rPh>
    <phoneticPr fontId="1"/>
  </si>
  <si>
    <t>後続+1CX乗　X=自P</t>
    <rPh sb="0" eb="2">
      <t>コウゾク</t>
    </rPh>
    <rPh sb="6" eb="7">
      <t>ノ</t>
    </rPh>
    <rPh sb="10" eb="11">
      <t>ジ</t>
    </rPh>
    <phoneticPr fontId="1"/>
  </si>
  <si>
    <t>3U</t>
    <phoneticPr fontId="1"/>
  </si>
  <si>
    <t>マーフォーク</t>
    <phoneticPr fontId="1"/>
  </si>
  <si>
    <t>2/1</t>
    <phoneticPr fontId="1"/>
  </si>
  <si>
    <t>プロ赤　Elロード　信心分1/0El</t>
    <rPh sb="2" eb="3">
      <t>アカ</t>
    </rPh>
    <rPh sb="10" eb="12">
      <t>シンジン</t>
    </rPh>
    <rPh sb="12" eb="13">
      <t>ブン</t>
    </rPh>
    <phoneticPr fontId="1"/>
  </si>
  <si>
    <t>THS</t>
    <phoneticPr fontId="1"/>
  </si>
  <si>
    <t>伝説　破壊不能　警戒　武5</t>
    <rPh sb="0" eb="2">
      <t>デンセツ</t>
    </rPh>
    <rPh sb="3" eb="5">
      <t>ハカイ</t>
    </rPh>
    <rPh sb="5" eb="7">
      <t>フノウ</t>
    </rPh>
    <rPh sb="8" eb="10">
      <t>ケイカイ</t>
    </rPh>
    <rPh sb="11" eb="12">
      <t>ブ</t>
    </rPh>
    <phoneticPr fontId="1"/>
  </si>
  <si>
    <t>1UU</t>
    <phoneticPr fontId="1"/>
  </si>
  <si>
    <t>伝説　飛行　CS:破壊不能</t>
    <rPh sb="0" eb="2">
      <t>デンセツ</t>
    </rPh>
    <rPh sb="3" eb="5">
      <t>ヒコウ</t>
    </rPh>
    <rPh sb="9" eb="11">
      <t>ハカイ</t>
    </rPh>
    <rPh sb="11" eb="13">
      <t>フノウ</t>
    </rPh>
    <phoneticPr fontId="1"/>
  </si>
  <si>
    <t>XWUU</t>
    <phoneticPr fontId="1"/>
  </si>
  <si>
    <t>RTR</t>
    <phoneticPr fontId="1"/>
  </si>
  <si>
    <t>X泥　X回復</t>
    <rPh sb="1" eb="2">
      <t>ドロ</t>
    </rPh>
    <rPh sb="4" eb="6">
      <t>カイフク</t>
    </rPh>
    <phoneticPr fontId="1"/>
  </si>
  <si>
    <t>風への散乱</t>
    <phoneticPr fontId="1"/>
  </si>
  <si>
    <t>BFZ</t>
    <phoneticPr fontId="1"/>
  </si>
  <si>
    <t>打消　4UU:覚醒3</t>
    <rPh sb="0" eb="2">
      <t>ウチケ</t>
    </rPh>
    <rPh sb="7" eb="9">
      <t>カクセイ</t>
    </rPh>
    <phoneticPr fontId="1"/>
  </si>
  <si>
    <t>族樹の精霊､ｱﾅﾌｪﾝｻﾞ</t>
    <phoneticPr fontId="1"/>
  </si>
  <si>
    <t>WW</t>
    <phoneticPr fontId="1"/>
  </si>
  <si>
    <t>DTK</t>
    <phoneticPr fontId="1"/>
  </si>
  <si>
    <t>スピリット</t>
    <phoneticPr fontId="1"/>
  </si>
  <si>
    <t>兵士</t>
    <rPh sb="0" eb="2">
      <t>ヘイシ</t>
    </rPh>
    <phoneticPr fontId="1"/>
  </si>
  <si>
    <t>2/2</t>
    <phoneticPr fontId="1"/>
  </si>
  <si>
    <t>伝説　他生物CIP鼓舞</t>
    <rPh sb="0" eb="2">
      <t>デンセツ</t>
    </rPh>
    <rPh sb="3" eb="4">
      <t>タ</t>
    </rPh>
    <rPh sb="4" eb="6">
      <t>セイブツ</t>
    </rPh>
    <rPh sb="9" eb="11">
      <t>コブ</t>
    </rPh>
    <phoneticPr fontId="1"/>
  </si>
  <si>
    <t>0/0</t>
    <phoneticPr fontId="1"/>
  </si>
  <si>
    <t>クローン　X分+1C</t>
    <rPh sb="6" eb="7">
      <t>ブン</t>
    </rPh>
    <phoneticPr fontId="1"/>
  </si>
  <si>
    <t>大笑いの写し身</t>
    <phoneticPr fontId="1"/>
  </si>
  <si>
    <t>大笑いの写し身</t>
    <phoneticPr fontId="1"/>
  </si>
  <si>
    <t>ISD</t>
    <phoneticPr fontId="1"/>
  </si>
  <si>
    <t>自生物複製　5UU:FB</t>
    <rPh sb="0" eb="1">
      <t>ジ</t>
    </rPh>
    <rPh sb="1" eb="3">
      <t>セイブツ</t>
    </rPh>
    <rPh sb="3" eb="5">
      <t>フクセイ</t>
    </rPh>
    <phoneticPr fontId="1"/>
  </si>
  <si>
    <t>修復の天使</t>
    <phoneticPr fontId="1"/>
  </si>
  <si>
    <t>修復の天使</t>
    <phoneticPr fontId="1"/>
  </si>
  <si>
    <t>3W</t>
    <phoneticPr fontId="1"/>
  </si>
  <si>
    <t>AVR</t>
    <phoneticPr fontId="1"/>
  </si>
  <si>
    <t>天使</t>
    <phoneticPr fontId="1"/>
  </si>
  <si>
    <t>3/4</t>
    <phoneticPr fontId="1"/>
  </si>
  <si>
    <t>飛行　CIP非天使明滅</t>
    <rPh sb="0" eb="2">
      <t>ヒコウ</t>
    </rPh>
    <rPh sb="6" eb="7">
      <t>ヒ</t>
    </rPh>
    <rPh sb="7" eb="9">
      <t>テンシ</t>
    </rPh>
    <rPh sb="9" eb="11">
      <t>メイメツ</t>
    </rPh>
    <phoneticPr fontId="1"/>
  </si>
  <si>
    <t>溶岩核の精霊</t>
  </si>
  <si>
    <t>LRW</t>
    <phoneticPr fontId="1"/>
  </si>
  <si>
    <t>XR</t>
    <phoneticPr fontId="1"/>
  </si>
  <si>
    <t>S</t>
    <phoneticPr fontId="1"/>
  </si>
  <si>
    <t>X点火力　獰猛+2点</t>
    <rPh sb="1" eb="2">
      <t>テン</t>
    </rPh>
    <rPh sb="2" eb="4">
      <t>カリョク</t>
    </rPh>
    <rPh sb="5" eb="7">
      <t>ドウモウ</t>
    </rPh>
    <rPh sb="9" eb="10">
      <t>テン</t>
    </rPh>
    <phoneticPr fontId="1"/>
  </si>
  <si>
    <t>戦導者オレリア</t>
    <phoneticPr fontId="1"/>
  </si>
  <si>
    <t>2RRWW</t>
    <phoneticPr fontId="1"/>
  </si>
  <si>
    <t>GTC</t>
    <phoneticPr fontId="1"/>
  </si>
  <si>
    <t>C</t>
    <phoneticPr fontId="1"/>
  </si>
  <si>
    <t>天使</t>
    <rPh sb="0" eb="2">
      <t>テンシ</t>
    </rPh>
    <phoneticPr fontId="1"/>
  </si>
  <si>
    <t>3/4</t>
    <phoneticPr fontId="1"/>
  </si>
  <si>
    <t>練達の生術師</t>
    <phoneticPr fontId="1"/>
  </si>
  <si>
    <t>2GU</t>
    <phoneticPr fontId="1"/>
  </si>
  <si>
    <t>エルフ</t>
    <phoneticPr fontId="1"/>
  </si>
  <si>
    <t>ウィザード</t>
    <phoneticPr fontId="1"/>
  </si>
  <si>
    <t>2/4</t>
    <phoneticPr fontId="1"/>
  </si>
  <si>
    <t>ヴィズコーパの血男爵</t>
    <phoneticPr fontId="1"/>
  </si>
  <si>
    <t>3WB</t>
    <phoneticPr fontId="1"/>
  </si>
  <si>
    <t>吸血鬼</t>
    <rPh sb="0" eb="3">
      <t>キュウケツキ</t>
    </rPh>
    <phoneticPr fontId="1"/>
  </si>
  <si>
    <t>4/4</t>
    <phoneticPr fontId="1"/>
  </si>
  <si>
    <t>強欲なるスロモック</t>
    <phoneticPr fontId="1"/>
  </si>
  <si>
    <t>3RG</t>
    <phoneticPr fontId="1"/>
  </si>
  <si>
    <t>ヘリオン</t>
    <phoneticPr fontId="1"/>
  </si>
  <si>
    <t>PC2</t>
    <phoneticPr fontId="1"/>
  </si>
  <si>
    <t>0/0</t>
    <phoneticPr fontId="1"/>
  </si>
  <si>
    <t>ファルケンラスの貴種</t>
    <phoneticPr fontId="1"/>
  </si>
  <si>
    <t>4/1</t>
    <phoneticPr fontId="1"/>
  </si>
  <si>
    <t>2BR</t>
    <phoneticPr fontId="1"/>
  </si>
  <si>
    <t>DKA</t>
    <phoneticPr fontId="1"/>
  </si>
  <si>
    <t>2GG</t>
    <phoneticPr fontId="1"/>
  </si>
  <si>
    <t>THS</t>
    <phoneticPr fontId="1"/>
  </si>
  <si>
    <t>ハイドラ</t>
    <phoneticPr fontId="1"/>
  </si>
  <si>
    <t>伝説　貫通　怪物的XXG</t>
    <rPh sb="0" eb="2">
      <t>デンセツ</t>
    </rPh>
    <rPh sb="3" eb="5">
      <t>カンツウ</t>
    </rPh>
    <rPh sb="6" eb="9">
      <t>カイブツテキ</t>
    </rPh>
    <phoneticPr fontId="1"/>
  </si>
  <si>
    <t>マナの合流点</t>
    <rPh sb="3" eb="6">
      <t>ゴウリュウテン</t>
    </rPh>
    <phoneticPr fontId="1"/>
  </si>
  <si>
    <t>C</t>
    <phoneticPr fontId="1"/>
  </si>
  <si>
    <t>I</t>
    <phoneticPr fontId="1"/>
  </si>
  <si>
    <t>S</t>
    <phoneticPr fontId="1"/>
  </si>
  <si>
    <t>変位の波</t>
  </si>
  <si>
    <t>XUU</t>
    <phoneticPr fontId="1"/>
  </si>
  <si>
    <t>ORI</t>
    <phoneticPr fontId="1"/>
  </si>
  <si>
    <t>CMCX以下非土地Paバウンス</t>
    <rPh sb="4" eb="6">
      <t>イカ</t>
    </rPh>
    <rPh sb="6" eb="7">
      <t>ヒ</t>
    </rPh>
    <rPh sb="7" eb="9">
      <t>トチ</t>
    </rPh>
    <phoneticPr fontId="1"/>
  </si>
  <si>
    <t>忌むべきものの篝火</t>
    <phoneticPr fontId="1"/>
  </si>
  <si>
    <t>忌むべき者のかがり火</t>
    <phoneticPr fontId="1"/>
  </si>
  <si>
    <t>AVR</t>
    <phoneticPr fontId="1"/>
  </si>
  <si>
    <t>敵&amp;敵軍X点　XR:奇跡</t>
    <rPh sb="0" eb="1">
      <t>テキ</t>
    </rPh>
    <rPh sb="2" eb="4">
      <t>テキグン</t>
    </rPh>
    <rPh sb="5" eb="6">
      <t>テン</t>
    </rPh>
    <rPh sb="10" eb="12">
      <t>キセキ</t>
    </rPh>
    <phoneticPr fontId="1"/>
  </si>
  <si>
    <t>XXR</t>
    <phoneticPr fontId="1"/>
  </si>
  <si>
    <t>ドラゴン</t>
    <phoneticPr fontId="1"/>
  </si>
  <si>
    <t>6/6</t>
    <phoneticPr fontId="1"/>
  </si>
  <si>
    <t>PL戦D与毎中心色払うと能力起動</t>
    <rPh sb="2" eb="3">
      <t>セン</t>
    </rPh>
    <rPh sb="4" eb="5">
      <t>アタ</t>
    </rPh>
    <rPh sb="5" eb="6">
      <t>ゴト</t>
    </rPh>
    <rPh sb="6" eb="8">
      <t>チュウシン</t>
    </rPh>
    <rPh sb="8" eb="9">
      <t>ショク</t>
    </rPh>
    <rPh sb="9" eb="10">
      <t>ハラ</t>
    </rPh>
    <rPh sb="12" eb="14">
      <t>ノウリョク</t>
    </rPh>
    <rPh sb="14" eb="16">
      <t>キドウ</t>
    </rPh>
    <phoneticPr fontId="1"/>
  </si>
  <si>
    <t>天使の嗜み</t>
    <phoneticPr fontId="1"/>
  </si>
  <si>
    <t>W</t>
    <phoneticPr fontId="1"/>
  </si>
  <si>
    <t>MMA</t>
    <phoneticPr fontId="1"/>
  </si>
  <si>
    <t>刹那　現ターン不敗</t>
    <rPh sb="0" eb="2">
      <t>セツナ</t>
    </rPh>
    <rPh sb="3" eb="4">
      <t>ゲン</t>
    </rPh>
    <rPh sb="7" eb="9">
      <t>フハイ</t>
    </rPh>
    <phoneticPr fontId="1"/>
  </si>
  <si>
    <t>ヘリオッドの槍</t>
    <rPh sb="6" eb="7">
      <t>ヤリ</t>
    </rPh>
    <phoneticPr fontId="1"/>
  </si>
  <si>
    <t>1WW</t>
    <phoneticPr fontId="1"/>
  </si>
  <si>
    <t>E</t>
    <phoneticPr fontId="1"/>
  </si>
  <si>
    <t>自軍+1/+1　1WWT:打与生物破壊</t>
    <rPh sb="0" eb="1">
      <t>ジ</t>
    </rPh>
    <rPh sb="1" eb="2">
      <t>グン</t>
    </rPh>
    <rPh sb="13" eb="14">
      <t>ダ</t>
    </rPh>
    <rPh sb="14" eb="15">
      <t>アタ</t>
    </rPh>
    <rPh sb="15" eb="17">
      <t>セイブツ</t>
    </rPh>
    <rPh sb="17" eb="19">
      <t>ハカイ</t>
    </rPh>
    <phoneticPr fontId="1"/>
  </si>
  <si>
    <t>複製の儀式</t>
    <phoneticPr fontId="1"/>
  </si>
  <si>
    <t>2UU</t>
    <phoneticPr fontId="1"/>
  </si>
  <si>
    <t>ZEN</t>
    <phoneticPr fontId="1"/>
  </si>
  <si>
    <t>生物複製　キッカー5:5複製　</t>
    <rPh sb="0" eb="2">
      <t>セイブツ</t>
    </rPh>
    <rPh sb="2" eb="4">
      <t>フクセイ</t>
    </rPh>
    <rPh sb="12" eb="14">
      <t>フクセイ</t>
    </rPh>
    <phoneticPr fontId="1"/>
  </si>
  <si>
    <t>潮流の先駆け</t>
    <phoneticPr fontId="1"/>
  </si>
  <si>
    <t>UU</t>
    <phoneticPr fontId="1"/>
  </si>
  <si>
    <t>ORI</t>
    <phoneticPr fontId="1"/>
  </si>
  <si>
    <t>マーフォーク</t>
    <phoneticPr fontId="1"/>
  </si>
  <si>
    <t>2/2</t>
    <phoneticPr fontId="1"/>
  </si>
  <si>
    <t>追加2:瞬速　寝生物バウンス</t>
    <rPh sb="0" eb="2">
      <t>ツイカ</t>
    </rPh>
    <rPh sb="4" eb="5">
      <t>シュン</t>
    </rPh>
    <rPh sb="5" eb="6">
      <t>ソク</t>
    </rPh>
    <rPh sb="7" eb="8">
      <t>ネ</t>
    </rPh>
    <rPh sb="8" eb="10">
      <t>セイブツ</t>
    </rPh>
    <phoneticPr fontId="1"/>
  </si>
  <si>
    <t>ケデレクトのリバイアサン</t>
    <phoneticPr fontId="1"/>
  </si>
  <si>
    <t>6UU</t>
    <phoneticPr fontId="1"/>
  </si>
  <si>
    <t>ALA</t>
    <phoneticPr fontId="1"/>
  </si>
  <si>
    <t>リヴァイアサン</t>
    <phoneticPr fontId="1"/>
  </si>
  <si>
    <t>5/5</t>
    <phoneticPr fontId="1"/>
  </si>
  <si>
    <t>CIP非土地バウンス　6U:蘇生</t>
    <rPh sb="3" eb="4">
      <t>ヒ</t>
    </rPh>
    <rPh sb="4" eb="6">
      <t>トチ</t>
    </rPh>
    <rPh sb="14" eb="16">
      <t>ソセイ</t>
    </rPh>
    <phoneticPr fontId="1"/>
  </si>
  <si>
    <t>スカースダグの高僧</t>
    <phoneticPr fontId="1"/>
  </si>
  <si>
    <t>1B</t>
    <phoneticPr fontId="1"/>
  </si>
  <si>
    <t>ISD</t>
    <phoneticPr fontId="1"/>
  </si>
  <si>
    <t>人間</t>
    <rPh sb="0" eb="2">
      <t>ニンゲン</t>
    </rPh>
    <phoneticPr fontId="1"/>
  </si>
  <si>
    <t>クレリック</t>
    <phoneticPr fontId="1"/>
  </si>
  <si>
    <t>1/2</t>
    <phoneticPr fontId="1"/>
  </si>
  <si>
    <t>陰鬱-生物2T+T:5/5悪魔</t>
    <rPh sb="0" eb="2">
      <t>インウツ</t>
    </rPh>
    <rPh sb="3" eb="5">
      <t>セイブツ</t>
    </rPh>
    <rPh sb="13" eb="15">
      <t>アクマ</t>
    </rPh>
    <phoneticPr fontId="1"/>
  </si>
  <si>
    <t>黒の太陽の頂点</t>
    <phoneticPr fontId="1"/>
  </si>
  <si>
    <t>XBB</t>
    <phoneticPr fontId="1"/>
  </si>
  <si>
    <t>MBS</t>
    <phoneticPr fontId="1"/>
  </si>
  <si>
    <t>全生物-1/-1CX分</t>
    <rPh sb="0" eb="1">
      <t>ゼン</t>
    </rPh>
    <rPh sb="1" eb="3">
      <t>セイブツ</t>
    </rPh>
    <rPh sb="10" eb="11">
      <t>ブン</t>
    </rPh>
    <phoneticPr fontId="1"/>
  </si>
  <si>
    <t>英雄の破滅</t>
    <phoneticPr fontId="1"/>
  </si>
  <si>
    <t>1BB</t>
    <phoneticPr fontId="1"/>
  </si>
  <si>
    <t>生物orPW破壊</t>
    <rPh sb="0" eb="2">
      <t>セイブツ</t>
    </rPh>
    <rPh sb="6" eb="8">
      <t>ハカイ</t>
    </rPh>
    <phoneticPr fontId="1"/>
  </si>
  <si>
    <t>ミジウムの迫撃砲</t>
    <phoneticPr fontId="1"/>
  </si>
  <si>
    <t>1R</t>
    <phoneticPr fontId="1"/>
  </si>
  <si>
    <t>RTR</t>
    <phoneticPr fontId="1"/>
  </si>
  <si>
    <t>生物4点　3RRR:超過</t>
    <rPh sb="0" eb="2">
      <t>セイブツ</t>
    </rPh>
    <rPh sb="3" eb="4">
      <t>テン</t>
    </rPh>
    <rPh sb="10" eb="12">
      <t>チョウカ</t>
    </rPh>
    <phoneticPr fontId="1"/>
  </si>
  <si>
    <t>伝説　貪食X</t>
    <rPh sb="0" eb="2">
      <t>デンセツ</t>
    </rPh>
    <rPh sb="3" eb="5">
      <t>ドンショク</t>
    </rPh>
    <phoneticPr fontId="1"/>
  </si>
  <si>
    <t>伝説飛行警戒速攻　T初攻撃で自軍UT追加攻撃</t>
    <rPh sb="0" eb="2">
      <t>デンセツ</t>
    </rPh>
    <rPh sb="2" eb="4">
      <t>ヒコウ</t>
    </rPh>
    <rPh sb="4" eb="6">
      <t>ケイカイ</t>
    </rPh>
    <rPh sb="6" eb="8">
      <t>ソッコウ</t>
    </rPh>
    <rPh sb="10" eb="11">
      <t>ハツ</t>
    </rPh>
    <rPh sb="11" eb="13">
      <t>コウゲキ</t>
    </rPh>
    <rPh sb="14" eb="15">
      <t>ジ</t>
    </rPh>
    <rPh sb="15" eb="16">
      <t>グン</t>
    </rPh>
    <rPh sb="18" eb="20">
      <t>ツイカ</t>
    </rPh>
    <rPh sb="20" eb="22">
      <t>コウゲキ</t>
    </rPh>
    <phoneticPr fontId="1"/>
  </si>
  <si>
    <t>UBR</t>
    <phoneticPr fontId="1"/>
  </si>
  <si>
    <t>プレインズウォーカー、二コル・ボーラス</t>
    <rPh sb="11" eb="12">
      <t>ニ</t>
    </rPh>
    <phoneticPr fontId="1"/>
  </si>
  <si>
    <t>3UBBR</t>
    <phoneticPr fontId="1"/>
  </si>
  <si>
    <t>CON</t>
    <phoneticPr fontId="1"/>
  </si>
  <si>
    <t>PW</t>
    <phoneticPr fontId="1"/>
  </si>
  <si>
    <t>アジャニ</t>
    <phoneticPr fontId="1"/>
  </si>
  <si>
    <t>ジェイス</t>
    <phoneticPr fontId="1"/>
  </si>
  <si>
    <t>リリアナ</t>
    <phoneticPr fontId="1"/>
  </si>
  <si>
    <t>チャンドラ</t>
    <phoneticPr fontId="1"/>
  </si>
  <si>
    <t>ガラク</t>
    <phoneticPr fontId="1"/>
  </si>
  <si>
    <t>ボーラス</t>
    <phoneticPr fontId="1"/>
  </si>
  <si>
    <t>MN1</t>
    <phoneticPr fontId="1"/>
  </si>
  <si>
    <t>紅蓮術士のゴーグル</t>
    <phoneticPr fontId="1"/>
  </si>
  <si>
    <t>精霊信者の剣</t>
    <phoneticPr fontId="1"/>
  </si>
  <si>
    <t>精霊信者の剣</t>
    <phoneticPr fontId="1"/>
  </si>
  <si>
    <t>装備品</t>
    <rPh sb="0" eb="3">
      <t>ソウビヒン</t>
    </rPh>
    <phoneticPr fontId="1"/>
  </si>
  <si>
    <t>攻毎ランパン　+1/+1　2:装備</t>
    <rPh sb="0" eb="1">
      <t>オサム</t>
    </rPh>
    <rPh sb="1" eb="2">
      <t>ゴト</t>
    </rPh>
    <rPh sb="15" eb="17">
      <t>ソウビ</t>
    </rPh>
    <phoneticPr fontId="1"/>
  </si>
  <si>
    <t>F</t>
    <phoneticPr fontId="1"/>
  </si>
  <si>
    <t>紅蓮術士のゴーグル</t>
    <phoneticPr fontId="1"/>
  </si>
  <si>
    <t>ミラーリの目覚め</t>
    <phoneticPr fontId="1"/>
  </si>
  <si>
    <t>3GW</t>
    <phoneticPr fontId="1"/>
  </si>
  <si>
    <t>アンセム　マナ倍加</t>
    <rPh sb="7" eb="9">
      <t>バイカ</t>
    </rPh>
    <phoneticPr fontId="1"/>
  </si>
  <si>
    <t>ギトラグの怪物</t>
    <phoneticPr fontId="1"/>
  </si>
  <si>
    <t>3BG</t>
    <phoneticPr fontId="1"/>
  </si>
  <si>
    <t>SOI</t>
    <phoneticPr fontId="1"/>
  </si>
  <si>
    <t>カエル</t>
    <phoneticPr fontId="1"/>
  </si>
  <si>
    <t>ホラー</t>
    <phoneticPr fontId="1"/>
  </si>
  <si>
    <t>接死　土地加速　UPK土地S</t>
    <rPh sb="0" eb="1">
      <t>セッ</t>
    </rPh>
    <rPh sb="1" eb="2">
      <t>シ</t>
    </rPh>
    <rPh sb="3" eb="5">
      <t>トチ</t>
    </rPh>
    <rPh sb="5" eb="7">
      <t>カソク</t>
    </rPh>
    <rPh sb="11" eb="13">
      <t>トチ</t>
    </rPh>
    <phoneticPr fontId="1"/>
  </si>
  <si>
    <t>戦の大聖堂</t>
    <phoneticPr fontId="1"/>
  </si>
  <si>
    <t>タミヨウの日誌</t>
    <phoneticPr fontId="1"/>
  </si>
  <si>
    <t>UPK調査</t>
    <rPh sb="3" eb="5">
      <t>チョウサ</t>
    </rPh>
    <phoneticPr fontId="1"/>
  </si>
  <si>
    <t>真面目な身代わり</t>
    <rPh sb="0" eb="3">
      <t>マジメ</t>
    </rPh>
    <rPh sb="4" eb="6">
      <t>ミガ</t>
    </rPh>
    <phoneticPr fontId="1"/>
  </si>
  <si>
    <t>M12</t>
    <phoneticPr fontId="1"/>
  </si>
  <si>
    <t>FC</t>
    <phoneticPr fontId="1"/>
  </si>
  <si>
    <t>ランパンマン</t>
    <phoneticPr fontId="1"/>
  </si>
  <si>
    <t>セテッサ式戦術</t>
    <rPh sb="4" eb="5">
      <t>シキ</t>
    </rPh>
    <rPh sb="5" eb="7">
      <t>センジュツ</t>
    </rPh>
    <phoneticPr fontId="1"/>
  </si>
  <si>
    <t>1G</t>
    <phoneticPr fontId="1"/>
  </si>
  <si>
    <t>JOU</t>
    <phoneticPr fontId="1"/>
  </si>
  <si>
    <t>奮励G　+1/+1+T:格闘</t>
    <rPh sb="0" eb="2">
      <t>フンレイ</t>
    </rPh>
    <rPh sb="12" eb="14">
      <t>カクトウ</t>
    </rPh>
    <phoneticPr fontId="1"/>
  </si>
  <si>
    <t>除去</t>
    <phoneticPr fontId="1"/>
  </si>
  <si>
    <t>WB</t>
    <phoneticPr fontId="1"/>
  </si>
  <si>
    <t>ニッサの復興</t>
    <rPh sb="4" eb="6">
      <t>フッコウ</t>
    </rPh>
    <phoneticPr fontId="1"/>
  </si>
  <si>
    <t>5G</t>
    <phoneticPr fontId="1"/>
  </si>
  <si>
    <t>BFZ</t>
    <phoneticPr fontId="1"/>
  </si>
  <si>
    <t>3ランパン　7回復</t>
    <rPh sb="7" eb="9">
      <t>カイフク</t>
    </rPh>
    <phoneticPr fontId="1"/>
  </si>
  <si>
    <t>3RRR</t>
    <phoneticPr fontId="1"/>
  </si>
  <si>
    <t>10E</t>
    <phoneticPr fontId="1"/>
  </si>
  <si>
    <t>追生物S　S生物P分火力</t>
    <rPh sb="0" eb="1">
      <t>ツイ</t>
    </rPh>
    <rPh sb="1" eb="3">
      <t>セイブツ</t>
    </rPh>
    <rPh sb="6" eb="8">
      <t>セイブツ</t>
    </rPh>
    <rPh sb="9" eb="10">
      <t>ブン</t>
    </rPh>
    <rPh sb="10" eb="12">
      <t>カリョク</t>
    </rPh>
    <phoneticPr fontId="1"/>
  </si>
  <si>
    <t>M13</t>
    <phoneticPr fontId="1"/>
  </si>
  <si>
    <t>M15</t>
    <phoneticPr fontId="1"/>
  </si>
  <si>
    <t>　</t>
    <phoneticPr fontId="1"/>
  </si>
  <si>
    <t>　</t>
    <phoneticPr fontId="1"/>
  </si>
  <si>
    <t>未知の岸</t>
  </si>
  <si>
    <t>思考の鈍化</t>
  </si>
  <si>
    <t>4石臼　1U:連繋</t>
  </si>
  <si>
    <t>意思の激突</t>
  </si>
  <si>
    <t>XU</t>
  </si>
  <si>
    <t>Xリーク</t>
  </si>
  <si>
    <t>雲変化</t>
  </si>
  <si>
    <t>予示　飛行呪禁</t>
  </si>
  <si>
    <t>隷属</t>
  </si>
  <si>
    <t>支配魔法　UPKオーナー1失</t>
  </si>
  <si>
    <t>EC</t>
  </si>
  <si>
    <t>消失1　自軍生物PL戦D時間C乗</t>
  </si>
  <si>
    <t>怒りの発散</t>
  </si>
  <si>
    <t>自軍貫通</t>
  </si>
  <si>
    <t>進化する未開地</t>
  </si>
  <si>
    <t>BFZ</t>
    <phoneticPr fontId="1"/>
  </si>
  <si>
    <t>THS</t>
    <phoneticPr fontId="1"/>
  </si>
  <si>
    <t>色マナフィルター</t>
    <rPh sb="0" eb="1">
      <t>イロ</t>
    </rPh>
    <phoneticPr fontId="1"/>
  </si>
  <si>
    <t>フェッチ</t>
  </si>
  <si>
    <t>潮流の先駆け</t>
  </si>
  <si>
    <t>XUU</t>
  </si>
  <si>
    <t>大笑いの写し身</t>
  </si>
  <si>
    <t>複製の儀式</t>
  </si>
  <si>
    <t>6UU</t>
  </si>
  <si>
    <t>XBB</t>
  </si>
  <si>
    <t>英雄の破滅</t>
  </si>
  <si>
    <t>火口の爪</t>
  </si>
  <si>
    <t>XR</t>
  </si>
  <si>
    <t>5G</t>
  </si>
  <si>
    <t>精霊信者の剣</t>
  </si>
  <si>
    <t>ランパンマン</t>
  </si>
  <si>
    <t>忌むべき者のかがり火</t>
  </si>
  <si>
    <t>XXR</t>
  </si>
  <si>
    <t>XWUU</t>
  </si>
  <si>
    <t>2BR</t>
  </si>
  <si>
    <t>3RG</t>
  </si>
  <si>
    <t>PC2</t>
  </si>
  <si>
    <t>3GW</t>
  </si>
  <si>
    <t>3WB</t>
  </si>
  <si>
    <t>2RRWW</t>
  </si>
  <si>
    <t>3UBBR</t>
  </si>
  <si>
    <t>KTK</t>
    <phoneticPr fontId="1"/>
  </si>
  <si>
    <t>UC</t>
    <phoneticPr fontId="1"/>
  </si>
  <si>
    <t>Co</t>
    <phoneticPr fontId="1"/>
  </si>
  <si>
    <t>KTK</t>
    <phoneticPr fontId="1"/>
  </si>
  <si>
    <t>族樹の精霊､ｱﾅﾌｪﾝｻﾞ</t>
  </si>
  <si>
    <t>Re</t>
    <phoneticPr fontId="1"/>
  </si>
  <si>
    <t>MR</t>
    <phoneticPr fontId="1"/>
  </si>
  <si>
    <t/>
  </si>
  <si>
    <t>X</t>
  </si>
  <si>
    <t>TSP</t>
    <phoneticPr fontId="1"/>
  </si>
  <si>
    <t>CNS</t>
    <phoneticPr fontId="1"/>
  </si>
  <si>
    <t>ノッグルの山賊</t>
    <phoneticPr fontId="1"/>
  </si>
  <si>
    <t>飛行 感染</t>
    <rPh sb="3" eb="5">
      <t>カンセン</t>
    </rPh>
    <phoneticPr fontId="1"/>
  </si>
  <si>
    <t>4WW</t>
    <phoneticPr fontId="1"/>
  </si>
  <si>
    <t>M15</t>
    <phoneticPr fontId="1"/>
  </si>
  <si>
    <t>召集　飛行1/1spri×3</t>
    <rPh sb="3" eb="5">
      <t>ヒコウ</t>
    </rPh>
    <phoneticPr fontId="1"/>
  </si>
  <si>
    <t>LorF追放　CTL2点</t>
    <rPh sb="4" eb="6">
      <t>ツイホウ</t>
    </rPh>
    <rPh sb="11" eb="12">
      <t>テン</t>
    </rPh>
    <phoneticPr fontId="1"/>
  </si>
  <si>
    <t>SOI</t>
    <phoneticPr fontId="1"/>
  </si>
  <si>
    <t>序列</t>
    <rPh sb="0" eb="2">
      <t>ジョレツ</t>
    </rPh>
    <phoneticPr fontId="1"/>
  </si>
  <si>
    <t>○</t>
  </si>
  <si>
    <t>2W</t>
    <phoneticPr fontId="1"/>
  </si>
  <si>
    <t>2/1</t>
    <phoneticPr fontId="1"/>
  </si>
  <si>
    <t>2/3</t>
    <phoneticPr fontId="1"/>
  </si>
  <si>
    <t>分離主義者の虚空魔道士</t>
  </si>
  <si>
    <t>ORI</t>
    <phoneticPr fontId="1"/>
  </si>
  <si>
    <t>C</t>
    <phoneticPr fontId="1"/>
  </si>
  <si>
    <t>2/2</t>
    <phoneticPr fontId="1"/>
  </si>
  <si>
    <t>CIP排撃</t>
    <rPh sb="3" eb="5">
      <t>ハイゲキ</t>
    </rPh>
    <phoneticPr fontId="1"/>
  </si>
  <si>
    <t>CIP調査</t>
    <rPh sb="3" eb="5">
      <t>チョウサ</t>
    </rPh>
    <phoneticPr fontId="1"/>
  </si>
  <si>
    <t>CIP1失1泥</t>
    <rPh sb="4" eb="5">
      <t>ウシナ</t>
    </rPh>
    <rPh sb="6" eb="7">
      <t>ドロ</t>
    </rPh>
    <phoneticPr fontId="1"/>
  </si>
  <si>
    <t>速攻　感染</t>
    <rPh sb="3" eb="5">
      <t>カンセン</t>
    </rPh>
    <phoneticPr fontId="1"/>
  </si>
  <si>
    <t>3B</t>
    <phoneticPr fontId="1"/>
  </si>
  <si>
    <t>MOR</t>
    <phoneticPr fontId="1"/>
  </si>
  <si>
    <t>飛行　CIPD受生物破壊</t>
    <rPh sb="0" eb="2">
      <t>ヒコウ</t>
    </rPh>
    <rPh sb="7" eb="8">
      <t>ウ</t>
    </rPh>
    <rPh sb="8" eb="10">
      <t>セイブツ</t>
    </rPh>
    <rPh sb="10" eb="12">
      <t>ハカイ</t>
    </rPh>
    <phoneticPr fontId="1"/>
  </si>
  <si>
    <t>心臓刺しの蚊</t>
  </si>
  <si>
    <t>飛行　キッカー2B:殺害</t>
    <rPh sb="0" eb="2">
      <t>ヒコウ</t>
    </rPh>
    <rPh sb="10" eb="12">
      <t>サツガイ</t>
    </rPh>
    <phoneticPr fontId="1"/>
  </si>
  <si>
    <t>鋳塊かじり</t>
  </si>
  <si>
    <t>4R</t>
    <phoneticPr fontId="1"/>
  </si>
  <si>
    <t>LRW</t>
    <phoneticPr fontId="1"/>
  </si>
  <si>
    <t>3/3</t>
    <phoneticPr fontId="1"/>
  </si>
  <si>
    <t>CIPF破壊　想起R</t>
    <rPh sb="4" eb="6">
      <t>ハカイ</t>
    </rPh>
    <rPh sb="7" eb="9">
      <t>ソウキ</t>
    </rPh>
    <phoneticPr fontId="1"/>
  </si>
  <si>
    <t>AVR</t>
    <phoneticPr fontId="1"/>
  </si>
  <si>
    <t>速攻　CIP生物1非防御</t>
    <rPh sb="0" eb="2">
      <t>ソッコウ</t>
    </rPh>
    <rPh sb="6" eb="8">
      <t>セイブツ</t>
    </rPh>
    <rPh sb="9" eb="10">
      <t>ヒ</t>
    </rPh>
    <rPh sb="10" eb="12">
      <t>ボウギョ</t>
    </rPh>
    <phoneticPr fontId="1"/>
  </si>
  <si>
    <t>5R</t>
    <phoneticPr fontId="1"/>
  </si>
  <si>
    <t>FRF</t>
    <phoneticPr fontId="1"/>
  </si>
  <si>
    <t>3/5</t>
    <phoneticPr fontId="1"/>
  </si>
  <si>
    <t>CIP+1CorF破壊</t>
    <rPh sb="9" eb="11">
      <t>ハカイ</t>
    </rPh>
    <phoneticPr fontId="1"/>
  </si>
  <si>
    <t>感電の弧炎</t>
  </si>
  <si>
    <t>2R</t>
    <phoneticPr fontId="1"/>
  </si>
  <si>
    <t>RAV</t>
    <phoneticPr fontId="1"/>
  </si>
  <si>
    <t>CIP3点　先制</t>
    <rPh sb="4" eb="5">
      <t>テン</t>
    </rPh>
    <rPh sb="6" eb="8">
      <t>センセイ</t>
    </rPh>
    <phoneticPr fontId="1"/>
  </si>
  <si>
    <t>L</t>
    <phoneticPr fontId="1"/>
  </si>
  <si>
    <t>N01</t>
    <phoneticPr fontId="1"/>
  </si>
  <si>
    <t>N02</t>
    <phoneticPr fontId="1"/>
  </si>
  <si>
    <t>WB5</t>
  </si>
  <si>
    <t>WB6</t>
  </si>
  <si>
    <t>UR5</t>
  </si>
  <si>
    <t>UR6</t>
  </si>
  <si>
    <t>BG5</t>
  </si>
  <si>
    <t>BG6</t>
  </si>
  <si>
    <t>RW5</t>
  </si>
  <si>
    <t>RW6</t>
  </si>
  <si>
    <t>GU5</t>
  </si>
  <si>
    <t>GU6</t>
  </si>
  <si>
    <t>1WB</t>
    <phoneticPr fontId="1"/>
  </si>
  <si>
    <t>W</t>
    <phoneticPr fontId="1"/>
  </si>
  <si>
    <t>森林地の先達</t>
  </si>
  <si>
    <t>AVR</t>
    <phoneticPr fontId="1"/>
  </si>
  <si>
    <t>エルフ</t>
    <phoneticPr fontId="1"/>
  </si>
  <si>
    <t>人間</t>
    <phoneticPr fontId="1"/>
  </si>
  <si>
    <t>CIP生物1+1C</t>
    <rPh sb="3" eb="5">
      <t>セイブツ</t>
    </rPh>
    <phoneticPr fontId="1"/>
  </si>
  <si>
    <t>4GG</t>
    <phoneticPr fontId="1"/>
  </si>
  <si>
    <t>C</t>
    <phoneticPr fontId="1"/>
  </si>
  <si>
    <t>6/4</t>
    <phoneticPr fontId="1"/>
  </si>
  <si>
    <t>結魂　結魂時貫通</t>
    <rPh sb="0" eb="1">
      <t>ケッ</t>
    </rPh>
    <rPh sb="1" eb="2">
      <t>コン</t>
    </rPh>
    <rPh sb="3" eb="4">
      <t>ケッ</t>
    </rPh>
    <rPh sb="4" eb="5">
      <t>コン</t>
    </rPh>
    <rPh sb="5" eb="6">
      <t>ジ</t>
    </rPh>
    <rPh sb="6" eb="8">
      <t>カンツウ</t>
    </rPh>
    <phoneticPr fontId="1"/>
  </si>
  <si>
    <t>I</t>
    <phoneticPr fontId="1"/>
  </si>
  <si>
    <t>3G</t>
    <phoneticPr fontId="1"/>
  </si>
  <si>
    <t>2G</t>
    <phoneticPr fontId="1"/>
  </si>
  <si>
    <t>M14</t>
    <phoneticPr fontId="1"/>
  </si>
  <si>
    <t>自生物+1C　格闘</t>
    <rPh sb="0" eb="1">
      <t>ジ</t>
    </rPh>
    <rPh sb="1" eb="3">
      <t>セイブツ</t>
    </rPh>
    <rPh sb="7" eb="9">
      <t>カクトウ</t>
    </rPh>
    <phoneticPr fontId="1"/>
  </si>
  <si>
    <t>新緑の安息所</t>
  </si>
  <si>
    <t>M15</t>
    <phoneticPr fontId="1"/>
  </si>
  <si>
    <t>CIP2回復　E土地追加マナ</t>
    <rPh sb="4" eb="6">
      <t>カイフク</t>
    </rPh>
    <rPh sb="8" eb="10">
      <t>トチ</t>
    </rPh>
    <rPh sb="10" eb="12">
      <t>ツイカ</t>
    </rPh>
    <phoneticPr fontId="1"/>
  </si>
  <si>
    <t>S</t>
    <phoneticPr fontId="1"/>
  </si>
  <si>
    <t>先導者のらせん</t>
    <rPh sb="0" eb="3">
      <t>センドウシャ</t>
    </rPh>
    <phoneticPr fontId="1"/>
  </si>
  <si>
    <t>2RW</t>
    <phoneticPr fontId="1"/>
  </si>
  <si>
    <t>GTC</t>
    <phoneticPr fontId="1"/>
  </si>
  <si>
    <t>4点D　4回復</t>
    <rPh sb="1" eb="2">
      <t>テン</t>
    </rPh>
    <rPh sb="5" eb="7">
      <t>カイフク</t>
    </rPh>
    <phoneticPr fontId="1"/>
  </si>
  <si>
    <t>空乗りのエルフ</t>
    <phoneticPr fontId="1"/>
  </si>
  <si>
    <t>XGU</t>
    <phoneticPr fontId="1"/>
  </si>
  <si>
    <t>BFZ</t>
    <phoneticPr fontId="1"/>
  </si>
  <si>
    <t>戦士</t>
    <phoneticPr fontId="1"/>
  </si>
  <si>
    <t>同盟者</t>
    <rPh sb="0" eb="3">
      <t>ドウメイシャ</t>
    </rPh>
    <phoneticPr fontId="1"/>
  </si>
  <si>
    <t>0/0</t>
    <phoneticPr fontId="1"/>
  </si>
  <si>
    <t>飛行　収斂+1C</t>
    <rPh sb="0" eb="2">
      <t>ヒコウ</t>
    </rPh>
    <rPh sb="3" eb="5">
      <t>シュウレン</t>
    </rPh>
    <phoneticPr fontId="1"/>
  </si>
  <si>
    <t>シルムガルの魔術師</t>
    <phoneticPr fontId="1"/>
  </si>
  <si>
    <t>1UU</t>
    <phoneticPr fontId="1"/>
  </si>
  <si>
    <t>DTK</t>
    <phoneticPr fontId="1"/>
  </si>
  <si>
    <t>ウィザード</t>
    <phoneticPr fontId="1"/>
  </si>
  <si>
    <t>2/1</t>
    <phoneticPr fontId="1"/>
  </si>
  <si>
    <t>瞬速　飛行　濫用:生物打消</t>
    <rPh sb="0" eb="1">
      <t>シュン</t>
    </rPh>
    <rPh sb="1" eb="2">
      <t>ソク</t>
    </rPh>
    <rPh sb="3" eb="5">
      <t>ヒコウ</t>
    </rPh>
    <rPh sb="6" eb="8">
      <t>ランヨウ</t>
    </rPh>
    <rPh sb="9" eb="11">
      <t>セイブツ</t>
    </rPh>
    <rPh sb="11" eb="13">
      <t>ウチケ</t>
    </rPh>
    <phoneticPr fontId="1"/>
  </si>
  <si>
    <t>修</t>
    <rPh sb="0" eb="1">
      <t>オサム</t>
    </rPh>
    <phoneticPr fontId="1"/>
  </si>
  <si>
    <t>三つぞろいの霊魂</t>
  </si>
  <si>
    <t>熱血漢の聖戦士</t>
  </si>
  <si>
    <t>屈辱</t>
    <rPh sb="0" eb="2">
      <t>クツジョク</t>
    </rPh>
    <phoneticPr fontId="1"/>
  </si>
  <si>
    <t>1WB</t>
    <phoneticPr fontId="1"/>
  </si>
  <si>
    <t>GPT</t>
    <phoneticPr fontId="1"/>
  </si>
  <si>
    <t>I</t>
    <phoneticPr fontId="1"/>
  </si>
  <si>
    <t>CorE破壊</t>
    <rPh sb="4" eb="6">
      <t>ハカイ</t>
    </rPh>
    <phoneticPr fontId="1"/>
  </si>
  <si>
    <t>イゼットの魔除け</t>
    <rPh sb="5" eb="7">
      <t>マヨ</t>
    </rPh>
    <phoneticPr fontId="1"/>
  </si>
  <si>
    <t>UR</t>
    <phoneticPr fontId="1"/>
  </si>
  <si>
    <t>GTC</t>
    <phoneticPr fontId="1"/>
  </si>
  <si>
    <t>否認2リーク　生物2　2ルーター</t>
    <rPh sb="0" eb="2">
      <t>ヒニン</t>
    </rPh>
    <rPh sb="7" eb="9">
      <t>セイブツ</t>
    </rPh>
    <phoneticPr fontId="1"/>
  </si>
  <si>
    <t>死の激情</t>
  </si>
  <si>
    <t>死の激情</t>
    <phoneticPr fontId="1"/>
  </si>
  <si>
    <t>3BG</t>
    <phoneticPr fontId="1"/>
  </si>
  <si>
    <t>KTK</t>
    <phoneticPr fontId="1"/>
  </si>
  <si>
    <t>全-2/-2</t>
    <rPh sb="0" eb="1">
      <t>ゼン</t>
    </rPh>
    <phoneticPr fontId="1"/>
  </si>
  <si>
    <t>飛行 CIPタッパー</t>
  </si>
  <si>
    <t>CIPタッパー　武1</t>
  </si>
  <si>
    <t>Co</t>
  </si>
  <si>
    <t>XGU</t>
  </si>
  <si>
    <t>オブゼダートの救済</t>
    <phoneticPr fontId="1"/>
  </si>
  <si>
    <t>3WB</t>
    <phoneticPr fontId="1"/>
  </si>
  <si>
    <t>DGM</t>
    <phoneticPr fontId="1"/>
  </si>
  <si>
    <t>S</t>
    <phoneticPr fontId="1"/>
  </si>
  <si>
    <t>墓地のPaリアニ</t>
    <rPh sb="0" eb="2">
      <t>ボチ</t>
    </rPh>
    <phoneticPr fontId="1"/>
  </si>
  <si>
    <t>軍勢の集結</t>
  </si>
  <si>
    <t>軍勢の集結</t>
    <phoneticPr fontId="1"/>
  </si>
  <si>
    <t>3RW</t>
  </si>
  <si>
    <t>3RW</t>
    <phoneticPr fontId="1"/>
  </si>
  <si>
    <t>GTC</t>
    <phoneticPr fontId="1"/>
  </si>
  <si>
    <t>E</t>
    <phoneticPr fontId="1"/>
  </si>
  <si>
    <t>UPKC　C分1/1</t>
    <rPh sb="6" eb="7">
      <t>ブン</t>
    </rPh>
    <phoneticPr fontId="1"/>
  </si>
  <si>
    <t>対抗変転</t>
    <rPh sb="0" eb="2">
      <t>タイコウ</t>
    </rPh>
    <rPh sb="2" eb="4">
      <t>ヘンテン</t>
    </rPh>
    <phoneticPr fontId="1"/>
  </si>
  <si>
    <t>UUR</t>
  </si>
  <si>
    <t>UUR</t>
    <phoneticPr fontId="1"/>
  </si>
  <si>
    <t>RTR</t>
    <phoneticPr fontId="1"/>
  </si>
  <si>
    <t>I</t>
    <phoneticPr fontId="1"/>
  </si>
  <si>
    <t>打消　非打消　超過1UUR</t>
    <rPh sb="0" eb="2">
      <t>ウチケ</t>
    </rPh>
    <rPh sb="3" eb="4">
      <t>ヒ</t>
    </rPh>
    <rPh sb="4" eb="6">
      <t>ウチケ</t>
    </rPh>
    <rPh sb="7" eb="9">
      <t>チョウカ</t>
    </rPh>
    <phoneticPr fontId="1"/>
  </si>
  <si>
    <t>ジャラドの命令</t>
    <rPh sb="5" eb="7">
      <t>メイレイ</t>
    </rPh>
    <phoneticPr fontId="1"/>
  </si>
  <si>
    <t>2BG</t>
    <phoneticPr fontId="1"/>
  </si>
  <si>
    <t>山札生物2探、1手札1墓地</t>
    <rPh sb="0" eb="1">
      <t>ヤマ</t>
    </rPh>
    <rPh sb="1" eb="2">
      <t>フダ</t>
    </rPh>
    <rPh sb="2" eb="4">
      <t>セイブツ</t>
    </rPh>
    <rPh sb="5" eb="6">
      <t>サガ</t>
    </rPh>
    <rPh sb="8" eb="10">
      <t>テフダ</t>
    </rPh>
    <rPh sb="11" eb="13">
      <t>ボチ</t>
    </rPh>
    <phoneticPr fontId="1"/>
  </si>
  <si>
    <t>白日の下に</t>
    <rPh sb="0" eb="2">
      <t>ハクジツ</t>
    </rPh>
    <rPh sb="3" eb="4">
      <t>モト</t>
    </rPh>
    <phoneticPr fontId="1"/>
  </si>
  <si>
    <t>3GU</t>
    <phoneticPr fontId="1"/>
  </si>
  <si>
    <t>BFZ</t>
    <phoneticPr fontId="1"/>
  </si>
  <si>
    <t>収斂分CMC以下生物/I/S唱</t>
    <rPh sb="0" eb="2">
      <t>シュウレン</t>
    </rPh>
    <rPh sb="2" eb="3">
      <t>ブン</t>
    </rPh>
    <rPh sb="6" eb="8">
      <t>イカ</t>
    </rPh>
    <rPh sb="8" eb="10">
      <t>セイブツ</t>
    </rPh>
    <rPh sb="14" eb="15">
      <t>トナ</t>
    </rPh>
    <phoneticPr fontId="1"/>
  </si>
  <si>
    <t>Re</t>
  </si>
  <si>
    <t>1U</t>
    <phoneticPr fontId="1"/>
  </si>
  <si>
    <t>3BB</t>
    <phoneticPr fontId="1"/>
  </si>
  <si>
    <t>2GG</t>
    <phoneticPr fontId="1"/>
  </si>
  <si>
    <t>3RR</t>
    <phoneticPr fontId="1"/>
  </si>
  <si>
    <t>2WW</t>
    <phoneticPr fontId="1"/>
  </si>
  <si>
    <t>4W</t>
    <phoneticPr fontId="1"/>
  </si>
  <si>
    <t>10E</t>
    <phoneticPr fontId="1"/>
  </si>
  <si>
    <t>DGM</t>
    <phoneticPr fontId="1"/>
  </si>
  <si>
    <t>ﾌﾟﾚｲﾝｽﾞｳｫｰｶｰ､ﾆｺﾙ･ﾎﾞｰﾗｽ</t>
  </si>
  <si>
    <t>ｼヴ山のﾄﾞﾗｺﾞﾝ</t>
  </si>
  <si>
    <t>ｾﾗの天使</t>
  </si>
  <si>
    <t>甲鱗のﾜｰﾑ</t>
  </si>
  <si>
    <t>弱者狩り</t>
  </si>
  <si>
    <t>心鍛のｺﾞｰﾚﾑ</t>
  </si>
  <si>
    <t>Name</t>
  </si>
  <si>
    <t>ｱｸﾛｽの兵長</t>
  </si>
  <si>
    <t>紅蓮術士のｺﾞｰｸﾞﾙ</t>
  </si>
  <si>
    <t>ｳﾙ=ｺﾞｰﾚﾑの目</t>
  </si>
  <si>
    <t>義理に縛られし者､長雄</t>
  </si>
  <si>
    <t>ｺﾞﾙｺﾞﾝの凝視</t>
  </si>
  <si>
    <t>ﾎﾞﾛｽの補充兵</t>
  </si>
  <si>
    <t>屈辱</t>
  </si>
  <si>
    <t>ｲｾﾞｯﾄの時術師</t>
  </si>
  <si>
    <t>ﾍﾘｳﾑ噴射獣</t>
  </si>
  <si>
    <t>ヴｨｸﾞの水植物</t>
  </si>
  <si>
    <t>ｱﾅの戦闘魔道士</t>
  </si>
  <si>
    <t>狩るものヴｫﾗｼｭ</t>
  </si>
  <si>
    <t>報復するものｵﾛｽ</t>
  </si>
  <si>
    <t>夢見るものｲﾝﾃｯﾄ</t>
  </si>
  <si>
    <t>ｱﾒｰﾊﾞの変わり身</t>
  </si>
  <si>
    <t>ｼﾞｪｲｽ･ﾍﾞﾚﾚﾝ</t>
  </si>
  <si>
    <t>ﾁｬﾝﾄﾞﾗ･ﾅﾗｰ</t>
  </si>
  <si>
    <t>野生語りのｶﾞﾗｸ</t>
  </si>
  <si>
    <t>変わり身のﾀｲﾀﾝ</t>
  </si>
  <si>
    <t>とどめの一刺しのﾌｪｱﾘｰ</t>
  </si>
  <si>
    <t>彼方地のｴﾙﾌ</t>
  </si>
  <si>
    <t>裂き爪のﾄﾛｳ</t>
  </si>
  <si>
    <t>冒涜するﾊｯｸﾞ</t>
  </si>
  <si>
    <t>罠顎のｹﾙﾋﾟｰ</t>
  </si>
  <si>
    <t>ﾏﾅ力の鎚鉾</t>
  </si>
  <si>
    <t>ｾﾛﾄﾞﾝの一年仔</t>
  </si>
  <si>
    <t>ｾﾞｸﾀｰ祭殿の探検</t>
  </si>
  <si>
    <t>ﾌｧｲﾚｸｼｱの憤怒鬼</t>
  </si>
  <si>
    <t>ﾋﾟｽﾀｽの一撃</t>
  </si>
  <si>
    <t>病毒のﾄﾞﾚｲｸ</t>
  </si>
  <si>
    <t>霧のﾆﾌﾞﾘｽ</t>
  </si>
  <si>
    <t>道壊しﾜｰﾑ</t>
  </si>
  <si>
    <t>ﾐｼﾞｳﾑの迫撃砲</t>
  </si>
  <si>
    <t>ｽﾌｨﾝｸｽの啓示</t>
  </si>
  <si>
    <t>ｺﾞﾌﾞﾘﾝの電術師</t>
  </si>
  <si>
    <t>すがりつくｲｿｷﾞﾝﾁｬｸ</t>
  </si>
  <si>
    <t>ｻﾌｧｲｱのﾄﾞﾚｲｸ</t>
  </si>
  <si>
    <t>重要人物のﾍﾟｯﾄ</t>
  </si>
  <si>
    <t>ｲｾﾞｯﾄの魔除け</t>
  </si>
  <si>
    <t>ｳｫｼﾞｪｸの矛槍兵</t>
  </si>
  <si>
    <t>先導者のらせん</t>
  </si>
  <si>
    <t>戦導者ｵﾚﾘｱ</t>
  </si>
  <si>
    <t>ｵﾙｿﾞﾌの導き石</t>
  </si>
  <si>
    <t>ｲｾﾞｯﾄの導き石</t>
  </si>
  <si>
    <t>ｺﾞﾙｶﾞﾘの導き石</t>
  </si>
  <si>
    <t>ﾎﾞﾛｽの導き石</t>
  </si>
  <si>
    <t>ｼﾐｯｸの導き石</t>
  </si>
  <si>
    <t>ｵﾌﾞｾﾞﾀﾞｰﾄの救済</t>
  </si>
  <si>
    <t>ヴｨｰｱｼｰﾉの初太刀</t>
  </si>
  <si>
    <t>波使い</t>
  </si>
  <si>
    <t>世界を喰らう者､ﾎﾟﾙｸﾗﾉｽ</t>
  </si>
  <si>
    <t>ﾆｸｿｽ</t>
  </si>
  <si>
    <t>惑乱のｾｲﾚｰﾝ</t>
  </si>
  <si>
    <t>ｾﾃｯｻ式戦術</t>
  </si>
  <si>
    <t>必殺の一射</t>
  </si>
  <si>
    <t>ﾏﾙﾄﾞｩの頭蓋狩り</t>
  </si>
  <si>
    <t>ﾗｯﾊﾟの一吹き</t>
  </si>
  <si>
    <t>硬化した鱗</t>
  </si>
  <si>
    <t>ｱﾌﾞｻﾞﾝ土地</t>
  </si>
  <si>
    <t>ｼﾞｪｽｶｲ土地</t>
  </si>
  <si>
    <t>ｽｩﾙﾀｲ土地</t>
  </si>
  <si>
    <t>ﾏﾙﾄﾞｩ土地</t>
  </si>
  <si>
    <t>ﾃｨﾑｰﾙ土地</t>
  </si>
  <si>
    <t>ｴｲヴﾝの偵察兵</t>
  </si>
  <si>
    <t>反抗するｵｰｶﾞ</t>
  </si>
  <si>
    <t>ｶﾙ･ｼｽﾏの風</t>
  </si>
  <si>
    <t>ｼﾙﾑｶﾞﾙの魔術師</t>
  </si>
  <si>
    <t>ｱﾀﾙｶのｲﾌﾘｰﾄ</t>
  </si>
  <si>
    <t>空乗りのｴﾙﾌ</t>
  </si>
  <si>
    <t>ｽﾚｲﾍﾞﾝの検査官</t>
  </si>
  <si>
    <t>構造のひずみ</t>
  </si>
  <si>
    <t>強欲なるｽﾛﾓｯｸ</t>
  </si>
  <si>
    <t>ﾐﾗｰﾘの目覚め</t>
  </si>
  <si>
    <t>横這ｽﾘｳﾞｧｰ</t>
  </si>
  <si>
    <t>羽軸ｽﾘｳﾞｧｰ</t>
  </si>
  <si>
    <t>陰影ｽﾘｳﾞｧｰ</t>
  </si>
  <si>
    <t>念動ｽﾘｳﾞｧｰ</t>
  </si>
  <si>
    <t>基底ｽﾘｳﾞｧｰ</t>
  </si>
  <si>
    <t>吸血ｽﾘｳﾞｧｰ</t>
  </si>
  <si>
    <t>疫病ｽﾘｳﾞｧｰ</t>
  </si>
  <si>
    <t>双頭ｽﾘｳﾞｧｰ</t>
  </si>
  <si>
    <t>霊炎ｽﾘｳﾞｧｰ</t>
  </si>
  <si>
    <t>菅草ｽﾘｳﾞｧｰ</t>
  </si>
  <si>
    <t>憤怒ｽﾘｳﾞｧｰ</t>
  </si>
  <si>
    <t>宝革ｽﾘｳﾞｧｰ</t>
  </si>
  <si>
    <t>菌類ｽﾘｳﾞｧｰ</t>
  </si>
  <si>
    <t>増力ｽﾘｳﾞｧｰ</t>
  </si>
  <si>
    <t>乳白ｽﾘｳﾞｧｰ</t>
  </si>
  <si>
    <t>狂気ｽﾘｳﾞｧｰ</t>
  </si>
  <si>
    <t>火跡ｽﾘｳﾞｧｰ</t>
  </si>
  <si>
    <t>調和ｽﾘｳﾞｧｰ</t>
  </si>
  <si>
    <t>筋力ｽﾘｳﾞｧｰ</t>
  </si>
  <si>
    <t>同期ｽﾘｳﾞｧｰ</t>
  </si>
  <si>
    <t>吐毒ｽﾘｳﾞｧｰ</t>
  </si>
  <si>
    <t>乱打ｽﾘｳﾞｧｰ</t>
  </si>
  <si>
    <t>反射ｽﾘｳﾞｧｰ</t>
  </si>
  <si>
    <t>壊死ｽﾘｳﾞｧｰ</t>
  </si>
  <si>
    <t>熱狂ｽﾘｳﾞｧｰ</t>
  </si>
  <si>
    <t>暗心ｽﾘｳﾞｧｰ</t>
  </si>
  <si>
    <t>焼灼ｽﾘｳﾞｧｰ</t>
  </si>
  <si>
    <t>休眠ｽﾘｳﾞｧｰ</t>
  </si>
  <si>
    <t>血清ｽﾘｳﾞｧｰ</t>
  </si>
  <si>
    <t>催眠ｽﾘｳﾞｧｰ</t>
  </si>
  <si>
    <t>激情ｽﾘｳﾞｧｰ</t>
  </si>
  <si>
    <t>誘導ｽﾘｳﾞｧｰ</t>
  </si>
  <si>
    <t>悪性ｽﾘｳﾞｧｰ</t>
  </si>
  <si>
    <t>先制</t>
    <phoneticPr fontId="1"/>
  </si>
  <si>
    <t>武1</t>
    <phoneticPr fontId="1"/>
  </si>
  <si>
    <t>飛行</t>
    <phoneticPr fontId="1"/>
  </si>
  <si>
    <t>転生</t>
    <phoneticPr fontId="1"/>
  </si>
  <si>
    <t>召集</t>
    <phoneticPr fontId="1"/>
  </si>
  <si>
    <t>感染</t>
    <phoneticPr fontId="1"/>
  </si>
  <si>
    <t>増殖</t>
    <phoneticPr fontId="1"/>
  </si>
  <si>
    <t>魔巧</t>
    <phoneticPr fontId="1"/>
  </si>
  <si>
    <t>収斂</t>
    <phoneticPr fontId="1"/>
  </si>
  <si>
    <t>移植</t>
    <phoneticPr fontId="1"/>
  </si>
  <si>
    <t>貫通</t>
    <phoneticPr fontId="1"/>
  </si>
  <si>
    <t>強襲</t>
    <phoneticPr fontId="1"/>
  </si>
  <si>
    <t>連繋</t>
    <phoneticPr fontId="1"/>
  </si>
  <si>
    <t>威嚇</t>
    <phoneticPr fontId="1"/>
  </si>
  <si>
    <t>占術</t>
    <phoneticPr fontId="1"/>
  </si>
  <si>
    <t>消術</t>
    <phoneticPr fontId="1"/>
  </si>
  <si>
    <t>進化</t>
    <phoneticPr fontId="1"/>
  </si>
  <si>
    <t>防衛</t>
    <phoneticPr fontId="1"/>
  </si>
  <si>
    <t>速攻</t>
    <phoneticPr fontId="1"/>
  </si>
  <si>
    <t>再生</t>
    <phoneticPr fontId="1"/>
  </si>
  <si>
    <t>上陸</t>
    <phoneticPr fontId="1"/>
  </si>
  <si>
    <t>高名</t>
    <phoneticPr fontId="1"/>
  </si>
  <si>
    <t>大変異</t>
    <phoneticPr fontId="1"/>
  </si>
  <si>
    <t>到達</t>
    <phoneticPr fontId="1"/>
  </si>
  <si>
    <t>絆魂</t>
    <phoneticPr fontId="1"/>
  </si>
  <si>
    <t>強請</t>
    <phoneticPr fontId="1"/>
  </si>
  <si>
    <t>憑依</t>
    <phoneticPr fontId="1"/>
  </si>
  <si>
    <t>萎縮</t>
    <phoneticPr fontId="1"/>
  </si>
  <si>
    <t>頑強</t>
    <phoneticPr fontId="1"/>
  </si>
  <si>
    <t>大隊</t>
    <phoneticPr fontId="1"/>
  </si>
  <si>
    <t>予示</t>
    <phoneticPr fontId="1"/>
  </si>
  <si>
    <t>瞬速</t>
    <phoneticPr fontId="1"/>
  </si>
  <si>
    <t>プロ</t>
    <phoneticPr fontId="1"/>
  </si>
  <si>
    <t>FB</t>
    <phoneticPr fontId="1"/>
  </si>
  <si>
    <t>多相</t>
    <rPh sb="0" eb="2">
      <t>タソウ</t>
    </rPh>
    <phoneticPr fontId="1"/>
  </si>
  <si>
    <t>覇権</t>
    <rPh sb="0" eb="2">
      <t>ハケン</t>
    </rPh>
    <phoneticPr fontId="1"/>
  </si>
  <si>
    <t>刹那</t>
    <phoneticPr fontId="1"/>
  </si>
  <si>
    <t>呪禁</t>
    <phoneticPr fontId="1"/>
  </si>
  <si>
    <t>授与</t>
    <phoneticPr fontId="1"/>
  </si>
  <si>
    <t>狂喜</t>
    <phoneticPr fontId="1"/>
  </si>
  <si>
    <t>消失</t>
    <phoneticPr fontId="1"/>
  </si>
  <si>
    <t>解鎖</t>
    <phoneticPr fontId="1"/>
  </si>
  <si>
    <t>双呪</t>
    <phoneticPr fontId="1"/>
  </si>
  <si>
    <t>獰猛</t>
    <phoneticPr fontId="1"/>
  </si>
  <si>
    <t>融合</t>
    <phoneticPr fontId="1"/>
  </si>
  <si>
    <t>被覆</t>
    <phoneticPr fontId="1"/>
  </si>
  <si>
    <t>多重キッカー</t>
    <phoneticPr fontId="1"/>
  </si>
  <si>
    <t>喊声</t>
    <phoneticPr fontId="1"/>
  </si>
  <si>
    <t>版図</t>
    <phoneticPr fontId="1"/>
  </si>
  <si>
    <t>装備</t>
    <rPh sb="0" eb="2">
      <t>ソウビ</t>
    </rPh>
    <phoneticPr fontId="1"/>
  </si>
  <si>
    <t>待機</t>
    <phoneticPr fontId="1"/>
  </si>
  <si>
    <t>マッドネス</t>
    <phoneticPr fontId="1"/>
  </si>
  <si>
    <t>探査</t>
    <rPh sb="0" eb="2">
      <t>タンサ</t>
    </rPh>
    <phoneticPr fontId="1"/>
  </si>
  <si>
    <t>回顧</t>
    <phoneticPr fontId="1"/>
  </si>
  <si>
    <t>想起</t>
    <phoneticPr fontId="1"/>
  </si>
  <si>
    <t>覚醒</t>
    <phoneticPr fontId="1"/>
  </si>
  <si>
    <t>発掘</t>
    <phoneticPr fontId="1"/>
  </si>
  <si>
    <t>#</t>
  </si>
  <si>
    <t>心魂破</t>
    <phoneticPr fontId="1"/>
  </si>
  <si>
    <t>真面目な身代わり</t>
    <phoneticPr fontId="1"/>
  </si>
  <si>
    <t>戦の大聖堂</t>
    <phoneticPr fontId="1"/>
  </si>
  <si>
    <t>ｽﾘヴｧｰの巣</t>
    <phoneticPr fontId="1"/>
  </si>
  <si>
    <t>金之尾師範</t>
    <phoneticPr fontId="1"/>
  </si>
  <si>
    <t>侍の御大将､武野</t>
    <phoneticPr fontId="1"/>
  </si>
  <si>
    <t>永岩城の君主､今田</t>
    <phoneticPr fontId="1"/>
  </si>
  <si>
    <t>飢えたるもの､卑堕硫</t>
    <phoneticPr fontId="1"/>
  </si>
  <si>
    <t>○</t>
    <phoneticPr fontId="1"/>
  </si>
  <si>
    <t>卑血の芙巳子</t>
    <phoneticPr fontId="1"/>
  </si>
  <si>
    <t>非情なる飯塚</t>
    <phoneticPr fontId="1"/>
  </si>
  <si>
    <t>ｺﾞﾙｶﾞﾘの墓ﾄﾛｰﾙ</t>
    <phoneticPr fontId="1"/>
  </si>
  <si>
    <t>魂の捕縛</t>
    <phoneticPr fontId="1"/>
  </si>
  <si>
    <t>ｵﾙｿﾞﾌの御曹子､ﾃｲｻ</t>
    <phoneticPr fontId="1"/>
  </si>
  <si>
    <t>天使の嗜み</t>
    <phoneticPr fontId="1"/>
  </si>
  <si>
    <t>肺臓ｽﾘｳﾞｧｰ</t>
    <phoneticPr fontId="1"/>
  </si>
  <si>
    <t>心霊ｽﾘｳﾞｧｰ</t>
    <phoneticPr fontId="1"/>
  </si>
  <si>
    <t>巣石</t>
    <phoneticPr fontId="1"/>
  </si>
  <si>
    <t>永劫の年代史家</t>
    <phoneticPr fontId="1"/>
  </si>
  <si>
    <t>収穫するものﾃﾈﾌﾞ</t>
    <phoneticPr fontId="1"/>
  </si>
  <si>
    <t>壊滅させるものﾇｰﾏｯﾄ</t>
    <phoneticPr fontId="1"/>
  </si>
  <si>
    <t>不明の下降</t>
    <phoneticPr fontId="1"/>
  </si>
  <si>
    <t>ｽﾘｳﾞｧｰ軍団</t>
    <phoneticPr fontId="1"/>
  </si>
  <si>
    <t>雄鹿の蹄の跡</t>
    <phoneticPr fontId="1"/>
  </si>
  <si>
    <t>黄金たてがみのｱｼﾞｬﾆ</t>
    <phoneticPr fontId="1"/>
  </si>
  <si>
    <t>ﾘﾘｱﾅ･ヴｪｽ</t>
    <phoneticPr fontId="1"/>
  </si>
  <si>
    <t>白熱の魂炊き</t>
    <phoneticPr fontId="1"/>
  </si>
  <si>
    <t>怒りの反射</t>
    <phoneticPr fontId="1"/>
  </si>
  <si>
    <t>空砕きの呼び声</t>
    <phoneticPr fontId="1"/>
  </si>
  <si>
    <t>ｹﾃﾞﾚｸﾄのﾘﾊﾞｲｱｻﾝ</t>
    <phoneticPr fontId="1"/>
  </si>
  <si>
    <t>法務官の手</t>
    <phoneticPr fontId="1"/>
  </si>
  <si>
    <t>荒廃のﾄﾞﾗｺﾞﾝ､ｽｷｼﾞﾘｸｽ</t>
    <phoneticPr fontId="1"/>
  </si>
  <si>
    <t>起源の波</t>
    <phoneticPr fontId="1"/>
  </si>
  <si>
    <t>黒の太陽の頂点</t>
    <phoneticPr fontId="1"/>
  </si>
  <si>
    <t>墨蛾の生息地</t>
    <phoneticPr fontId="1"/>
  </si>
  <si>
    <t>ﾌｧｲﾚｸｼｱの群れの王</t>
    <phoneticPr fontId="1"/>
  </si>
  <si>
    <t>ｽｶｰｽﾀﾞｸﾞの高僧</t>
    <phoneticPr fontId="1"/>
  </si>
  <si>
    <t>ﾌｧﾙｹﾝﾗｽの貴種</t>
    <phoneticPr fontId="1"/>
  </si>
  <si>
    <t>修復の天使</t>
    <phoneticPr fontId="1"/>
  </si>
  <si>
    <t>ｼﾞｬﾗﾄﾞの命令</t>
    <phoneticPr fontId="1"/>
  </si>
  <si>
    <t>ヴｨｽﾞｺｰﾊﾟの血男爵</t>
    <phoneticPr fontId="1"/>
  </si>
  <si>
    <t>花崗岩の凝視</t>
    <phoneticPr fontId="1"/>
  </si>
  <si>
    <t>ﾍﾘｵｯﾄﾞの槍</t>
    <phoneticPr fontId="1"/>
  </si>
  <si>
    <t>ﾏﾅの合流点</t>
    <phoneticPr fontId="1"/>
  </si>
  <si>
    <t>風への散乱</t>
    <phoneticPr fontId="1"/>
  </si>
  <si>
    <t>放浪する森林</t>
    <phoneticPr fontId="1"/>
  </si>
  <si>
    <t>ﾆｯｻの復興</t>
    <phoneticPr fontId="1"/>
  </si>
  <si>
    <t>白日の下に</t>
    <phoneticPr fontId="1"/>
  </si>
  <si>
    <t>ﾀﾐﾖｳの日誌</t>
    <phoneticPr fontId="1"/>
  </si>
  <si>
    <t>ｷﾞﾄﾗｸﾞの怪物</t>
    <phoneticPr fontId="1"/>
  </si>
  <si>
    <t>もう一人の自分</t>
    <phoneticPr fontId="1"/>
  </si>
  <si>
    <t>飢えたるもの、卑堕硫</t>
    <phoneticPr fontId="1"/>
  </si>
  <si>
    <t>DKA</t>
    <phoneticPr fontId="1"/>
  </si>
  <si>
    <t>心魂破</t>
    <phoneticPr fontId="1"/>
  </si>
  <si>
    <t>侍の御大将、武野</t>
    <phoneticPr fontId="1"/>
  </si>
  <si>
    <t>A</t>
    <phoneticPr fontId="1"/>
  </si>
  <si>
    <t>6A</t>
    <phoneticPr fontId="1"/>
  </si>
  <si>
    <t>2A</t>
    <phoneticPr fontId="1"/>
  </si>
  <si>
    <t>3A</t>
    <phoneticPr fontId="1"/>
  </si>
  <si>
    <t>5A</t>
    <phoneticPr fontId="1"/>
  </si>
  <si>
    <t>3A</t>
    <phoneticPr fontId="1"/>
  </si>
  <si>
    <t>信仰無き物あさり</t>
  </si>
  <si>
    <t>R</t>
    <phoneticPr fontId="1"/>
  </si>
  <si>
    <t>DKA</t>
    <phoneticPr fontId="1"/>
  </si>
  <si>
    <t>SOI</t>
    <phoneticPr fontId="1"/>
  </si>
  <si>
    <t>1W</t>
    <phoneticPr fontId="1"/>
  </si>
  <si>
    <t>SOI</t>
    <phoneticPr fontId="1"/>
  </si>
  <si>
    <t>C</t>
    <phoneticPr fontId="1"/>
  </si>
  <si>
    <t>2/2</t>
    <phoneticPr fontId="1"/>
  </si>
  <si>
    <t>WB</t>
    <phoneticPr fontId="1"/>
  </si>
  <si>
    <t>他</t>
    <rPh sb="0" eb="1">
      <t>タ</t>
    </rPh>
    <phoneticPr fontId="1"/>
  </si>
  <si>
    <t>探検の猛禽</t>
  </si>
  <si>
    <t>3WW</t>
    <phoneticPr fontId="1"/>
  </si>
  <si>
    <t>OGW</t>
    <phoneticPr fontId="1"/>
  </si>
  <si>
    <t>2/2</t>
    <phoneticPr fontId="1"/>
  </si>
  <si>
    <t>遠沼の亡霊</t>
  </si>
  <si>
    <t>2B</t>
    <phoneticPr fontId="1"/>
  </si>
  <si>
    <t>1/3</t>
    <phoneticPr fontId="1"/>
  </si>
  <si>
    <t>潜伏　絆魂</t>
    <rPh sb="0" eb="2">
      <t>センプク</t>
    </rPh>
    <rPh sb="3" eb="4">
      <t>キズナ</t>
    </rPh>
    <rPh sb="4" eb="5">
      <t>タマシイ</t>
    </rPh>
    <phoneticPr fontId="1"/>
  </si>
  <si>
    <t>3B</t>
    <phoneticPr fontId="1"/>
  </si>
  <si>
    <t>M12</t>
    <phoneticPr fontId="1"/>
  </si>
  <si>
    <t>M12</t>
    <phoneticPr fontId="1"/>
  </si>
  <si>
    <t>昂揚</t>
    <rPh sb="0" eb="2">
      <t>コウヨウ</t>
    </rPh>
    <phoneticPr fontId="1"/>
  </si>
  <si>
    <t>潜伏</t>
    <rPh sb="0" eb="2">
      <t>センプク</t>
    </rPh>
    <phoneticPr fontId="1"/>
  </si>
  <si>
    <t>黄金の木立ちの蛇</t>
  </si>
  <si>
    <t>4G</t>
    <phoneticPr fontId="1"/>
  </si>
  <si>
    <t>BNG</t>
    <phoneticPr fontId="1"/>
  </si>
  <si>
    <t>4/4</t>
    <phoneticPr fontId="1"/>
  </si>
  <si>
    <t>G</t>
    <phoneticPr fontId="1"/>
  </si>
  <si>
    <t>1/1</t>
    <phoneticPr fontId="1"/>
  </si>
  <si>
    <t>1G</t>
    <phoneticPr fontId="1"/>
  </si>
  <si>
    <t>テゼレットの計略</t>
    <rPh sb="6" eb="8">
      <t>ケイリャク</t>
    </rPh>
    <phoneticPr fontId="1"/>
  </si>
  <si>
    <t>3U/P</t>
    <phoneticPr fontId="1"/>
  </si>
  <si>
    <t>S</t>
    <phoneticPr fontId="1"/>
  </si>
  <si>
    <t>2泥　増殖</t>
    <rPh sb="3" eb="5">
      <t>ゾウショク</t>
    </rPh>
    <phoneticPr fontId="1"/>
  </si>
  <si>
    <t>○</t>
    <phoneticPr fontId="1"/>
  </si>
  <si>
    <t>飛行</t>
    <rPh sb="0" eb="2">
      <t>ヒコウ</t>
    </rPh>
    <phoneticPr fontId="1"/>
  </si>
  <si>
    <t>先制</t>
    <phoneticPr fontId="1"/>
  </si>
  <si>
    <t>武士道</t>
    <rPh sb="0" eb="3">
      <t>ブシドウ</t>
    </rPh>
    <phoneticPr fontId="1"/>
  </si>
  <si>
    <t>想起</t>
    <rPh sb="0" eb="2">
      <t>ソウキ</t>
    </rPh>
    <phoneticPr fontId="1"/>
  </si>
  <si>
    <t>覚醒</t>
    <rPh sb="0" eb="2">
      <t>カクセイ</t>
    </rPh>
    <phoneticPr fontId="1"/>
  </si>
  <si>
    <t>転生</t>
    <rPh sb="0" eb="2">
      <t>テンセイ</t>
    </rPh>
    <phoneticPr fontId="1"/>
  </si>
  <si>
    <t>支援</t>
    <rPh sb="0" eb="2">
      <t>シエン</t>
    </rPh>
    <phoneticPr fontId="1"/>
  </si>
  <si>
    <t>増殖</t>
    <phoneticPr fontId="1"/>
  </si>
  <si>
    <t>魔巧</t>
    <rPh sb="0" eb="1">
      <t>マ</t>
    </rPh>
    <rPh sb="1" eb="2">
      <t>コウ</t>
    </rPh>
    <phoneticPr fontId="1"/>
  </si>
  <si>
    <t>占術</t>
    <phoneticPr fontId="1"/>
  </si>
  <si>
    <t>防衛</t>
    <rPh sb="0" eb="2">
      <t>ボウエイ</t>
    </rPh>
    <phoneticPr fontId="1"/>
  </si>
  <si>
    <t>進化</t>
    <phoneticPr fontId="1"/>
  </si>
  <si>
    <t>消術</t>
    <rPh sb="0" eb="1">
      <t>キ</t>
    </rPh>
    <rPh sb="1" eb="2">
      <t>ジュツ</t>
    </rPh>
    <phoneticPr fontId="1"/>
  </si>
  <si>
    <t>収斂</t>
    <rPh sb="0" eb="2">
      <t>シュウレン</t>
    </rPh>
    <phoneticPr fontId="1"/>
  </si>
  <si>
    <t>貫通</t>
    <rPh sb="0" eb="2">
      <t>カンツウ</t>
    </rPh>
    <phoneticPr fontId="1"/>
  </si>
  <si>
    <t>感染</t>
    <rPh sb="0" eb="2">
      <t>カンセン</t>
    </rPh>
    <phoneticPr fontId="1"/>
  </si>
  <si>
    <t>強襲</t>
    <rPh sb="0" eb="2">
      <t>キョウシュウ</t>
    </rPh>
    <phoneticPr fontId="1"/>
  </si>
  <si>
    <t>連繋</t>
    <rPh sb="0" eb="2">
      <t>レンケイ</t>
    </rPh>
    <phoneticPr fontId="1"/>
  </si>
  <si>
    <t>絆魂</t>
    <rPh sb="0" eb="1">
      <t>キズナ</t>
    </rPh>
    <rPh sb="1" eb="2">
      <t>タマシイ</t>
    </rPh>
    <phoneticPr fontId="1"/>
  </si>
  <si>
    <t>威嚇</t>
    <rPh sb="0" eb="2">
      <t>イカク</t>
    </rPh>
    <phoneticPr fontId="1"/>
  </si>
  <si>
    <t>キッカー</t>
    <phoneticPr fontId="1"/>
  </si>
  <si>
    <t>再生</t>
    <rPh sb="0" eb="2">
      <t>サイセイ</t>
    </rPh>
    <phoneticPr fontId="1"/>
  </si>
  <si>
    <t>FB</t>
    <phoneticPr fontId="1"/>
  </si>
  <si>
    <t>上陸</t>
    <rPh sb="0" eb="2">
      <t>ジョウリク</t>
    </rPh>
    <phoneticPr fontId="1"/>
  </si>
  <si>
    <t>高名</t>
    <rPh sb="0" eb="2">
      <t>コウメイ</t>
    </rPh>
    <phoneticPr fontId="1"/>
  </si>
  <si>
    <t>タイプサイクリング</t>
    <phoneticPr fontId="1"/>
  </si>
  <si>
    <t>大変異</t>
    <rPh sb="0" eb="1">
      <t>ダイ</t>
    </rPh>
    <rPh sb="1" eb="3">
      <t>ヘンイ</t>
    </rPh>
    <phoneticPr fontId="1"/>
  </si>
  <si>
    <t>土地渡り</t>
    <rPh sb="0" eb="2">
      <t>トチ</t>
    </rPh>
    <rPh sb="2" eb="3">
      <t>ワタ</t>
    </rPh>
    <phoneticPr fontId="1"/>
  </si>
  <si>
    <t>到達</t>
    <rPh sb="0" eb="2">
      <t>トウタツ</t>
    </rPh>
    <phoneticPr fontId="1"/>
  </si>
  <si>
    <t>強請</t>
    <rPh sb="0" eb="2">
      <t>ゴウセイ</t>
    </rPh>
    <phoneticPr fontId="1"/>
  </si>
  <si>
    <t>憑依</t>
    <rPh sb="0" eb="2">
      <t>ヒョウイ</t>
    </rPh>
    <phoneticPr fontId="1"/>
  </si>
  <si>
    <t>被覆</t>
    <rPh sb="0" eb="2">
      <t>ヒフク</t>
    </rPh>
    <phoneticPr fontId="1"/>
  </si>
  <si>
    <t>発掘</t>
    <rPh sb="0" eb="2">
      <t>ハックツ</t>
    </rPh>
    <phoneticPr fontId="1"/>
  </si>
  <si>
    <t>活用</t>
    <rPh sb="0" eb="2">
      <t>カツヨウ</t>
    </rPh>
    <phoneticPr fontId="1"/>
  </si>
  <si>
    <t>接死</t>
    <rPh sb="0" eb="1">
      <t>セッ</t>
    </rPh>
    <rPh sb="1" eb="2">
      <t>シ</t>
    </rPh>
    <phoneticPr fontId="1"/>
  </si>
  <si>
    <t>二段</t>
    <rPh sb="0" eb="2">
      <t>ニダン</t>
    </rPh>
    <phoneticPr fontId="1"/>
  </si>
  <si>
    <t>大隊</t>
    <rPh sb="0" eb="2">
      <t>ダイタイ</t>
    </rPh>
    <phoneticPr fontId="1"/>
  </si>
  <si>
    <t>移植</t>
    <rPh sb="0" eb="2">
      <t>イショク</t>
    </rPh>
    <phoneticPr fontId="1"/>
  </si>
  <si>
    <t>予示</t>
    <rPh sb="0" eb="2">
      <t>ヨジ</t>
    </rPh>
    <phoneticPr fontId="1"/>
  </si>
  <si>
    <t>瞬速</t>
    <rPh sb="0" eb="1">
      <t>シュン</t>
    </rPh>
    <rPh sb="1" eb="2">
      <t>ソク</t>
    </rPh>
    <phoneticPr fontId="1"/>
  </si>
  <si>
    <t>頑強</t>
    <rPh sb="0" eb="2">
      <t>ガンキョウ</t>
    </rPh>
    <phoneticPr fontId="1"/>
  </si>
  <si>
    <t>プロテクション</t>
    <phoneticPr fontId="1"/>
  </si>
  <si>
    <t>多相</t>
    <rPh sb="0" eb="2">
      <t>タソウ</t>
    </rPh>
    <phoneticPr fontId="1"/>
  </si>
  <si>
    <t>覇権</t>
    <rPh sb="0" eb="2">
      <t>ハケン</t>
    </rPh>
    <phoneticPr fontId="1"/>
  </si>
  <si>
    <t>刹那</t>
    <rPh sb="0" eb="2">
      <t>セツナ</t>
    </rPh>
    <phoneticPr fontId="1"/>
  </si>
  <si>
    <t>授与</t>
    <rPh sb="0" eb="2">
      <t>ジュヨ</t>
    </rPh>
    <phoneticPr fontId="1"/>
  </si>
  <si>
    <t>狂喜</t>
    <rPh sb="0" eb="2">
      <t>キョウキ</t>
    </rPh>
    <phoneticPr fontId="1"/>
  </si>
  <si>
    <t>消失</t>
    <rPh sb="0" eb="2">
      <t>ショウシツ</t>
    </rPh>
    <phoneticPr fontId="1"/>
  </si>
  <si>
    <t>解鎖</t>
    <rPh sb="0" eb="1">
      <t>カイ</t>
    </rPh>
    <rPh sb="1" eb="2">
      <t>サ</t>
    </rPh>
    <phoneticPr fontId="1"/>
  </si>
  <si>
    <t>双呪</t>
    <rPh sb="0" eb="1">
      <t>ソウ</t>
    </rPh>
    <rPh sb="1" eb="2">
      <t>ジュ</t>
    </rPh>
    <phoneticPr fontId="1"/>
  </si>
  <si>
    <t>獰猛</t>
    <rPh sb="0" eb="2">
      <t>ドウモウ</t>
    </rPh>
    <phoneticPr fontId="1"/>
  </si>
  <si>
    <t>融合</t>
    <rPh sb="0" eb="2">
      <t>ユウゴウ</t>
    </rPh>
    <phoneticPr fontId="1"/>
  </si>
  <si>
    <t>萎縮</t>
    <rPh sb="0" eb="2">
      <t>イシュク</t>
    </rPh>
    <phoneticPr fontId="1"/>
  </si>
  <si>
    <t>多重キッカー</t>
    <rPh sb="0" eb="2">
      <t>タジュウ</t>
    </rPh>
    <phoneticPr fontId="1"/>
  </si>
  <si>
    <t>喊声</t>
    <rPh sb="0" eb="2">
      <t>カンセイ</t>
    </rPh>
    <phoneticPr fontId="1"/>
  </si>
  <si>
    <t>装備</t>
    <rPh sb="0" eb="2">
      <t>ソウビ</t>
    </rPh>
    <phoneticPr fontId="1"/>
  </si>
  <si>
    <t>版図</t>
    <rPh sb="0" eb="2">
      <t>ハント</t>
    </rPh>
    <phoneticPr fontId="1"/>
  </si>
  <si>
    <t>待機</t>
    <rPh sb="0" eb="2">
      <t>タイキ</t>
    </rPh>
    <phoneticPr fontId="1"/>
  </si>
  <si>
    <t>探査</t>
    <rPh sb="0" eb="2">
      <t>タンサ</t>
    </rPh>
    <phoneticPr fontId="1"/>
  </si>
  <si>
    <t>回顧</t>
    <rPh sb="0" eb="2">
      <t>カイコ</t>
    </rPh>
    <phoneticPr fontId="1"/>
  </si>
  <si>
    <t>破壊不能</t>
    <rPh sb="0" eb="2">
      <t>ハカイ</t>
    </rPh>
    <rPh sb="2" eb="4">
      <t>フノウ</t>
    </rPh>
    <phoneticPr fontId="1"/>
  </si>
  <si>
    <t>呪禁</t>
    <rPh sb="0" eb="1">
      <t>ジュ</t>
    </rPh>
    <rPh sb="1" eb="2">
      <t>キン</t>
    </rPh>
    <phoneticPr fontId="1"/>
  </si>
  <si>
    <t>S</t>
    <phoneticPr fontId="1"/>
  </si>
  <si>
    <t>悪魔火</t>
    <rPh sb="0" eb="2">
      <t>アクマ</t>
    </rPh>
    <rPh sb="2" eb="3">
      <t>ヒ</t>
    </rPh>
    <phoneticPr fontId="1"/>
  </si>
  <si>
    <t>DIS</t>
    <phoneticPr fontId="1"/>
  </si>
  <si>
    <t>X点火力　暴勇非打消</t>
    <rPh sb="1" eb="2">
      <t>テン</t>
    </rPh>
    <rPh sb="2" eb="4">
      <t>カリョク</t>
    </rPh>
    <phoneticPr fontId="1"/>
  </si>
  <si>
    <t>奸謀</t>
    <rPh sb="0" eb="1">
      <t>カン</t>
    </rPh>
    <rPh sb="1" eb="2">
      <t>ボウ</t>
    </rPh>
    <phoneticPr fontId="1"/>
  </si>
  <si>
    <t>3BB</t>
    <phoneticPr fontId="1"/>
  </si>
  <si>
    <t>TSB</t>
    <phoneticPr fontId="1"/>
  </si>
  <si>
    <t>自全領域任意部族</t>
    <rPh sb="0" eb="1">
      <t>ジ</t>
    </rPh>
    <rPh sb="1" eb="4">
      <t>ゼンリョウイキ</t>
    </rPh>
    <rPh sb="4" eb="6">
      <t>ニンイ</t>
    </rPh>
    <rPh sb="6" eb="8">
      <t>ブゾク</t>
    </rPh>
    <phoneticPr fontId="1"/>
  </si>
  <si>
    <t>　</t>
    <phoneticPr fontId="1"/>
  </si>
  <si>
    <t>CON</t>
    <phoneticPr fontId="1"/>
  </si>
  <si>
    <t>1/1</t>
    <phoneticPr fontId="1"/>
  </si>
  <si>
    <t>WB</t>
    <phoneticPr fontId="1"/>
  </si>
  <si>
    <t>貫通</t>
    <rPh sb="0" eb="2">
      <t>カンツウ</t>
    </rPh>
    <phoneticPr fontId="1"/>
  </si>
  <si>
    <t>タイプサイクリング</t>
    <phoneticPr fontId="1"/>
  </si>
  <si>
    <t>FB</t>
    <phoneticPr fontId="1"/>
  </si>
  <si>
    <t>反転</t>
    <rPh sb="0" eb="2">
      <t>ハンテン</t>
    </rPh>
    <phoneticPr fontId="1"/>
  </si>
  <si>
    <t>影切り</t>
  </si>
  <si>
    <t>4B</t>
    <phoneticPr fontId="1"/>
  </si>
  <si>
    <t>GTC</t>
    <phoneticPr fontId="1"/>
  </si>
  <si>
    <t>暗号</t>
    <rPh sb="0" eb="2">
      <t>アンゴウ</t>
    </rPh>
    <phoneticPr fontId="1"/>
  </si>
  <si>
    <t>ﾑｰｱﾗﾝﾄﾞの流れ者</t>
  </si>
  <si>
    <t>ﾏｰﾌｫｰｸの物あさり</t>
  </si>
  <si>
    <t>朽ちゆくﾈｽﾞﾐ</t>
  </si>
  <si>
    <t>ｸﾞﾚｲﾌﾞﾃﾞｨｶﾞｰ</t>
  </si>
  <si>
    <t>ﾊﾟｰﾌｫﾛｽの激怒</t>
  </si>
  <si>
    <t>哀悼のｽﾗﾙ</t>
  </si>
  <si>
    <t>ｽﾘヴｧｰ</t>
  </si>
  <si>
    <t>ｽﾋﾟﾘｯﾄ</t>
  </si>
  <si>
    <t>ｴﾚﾒﾝﾀﾙ</t>
  </si>
  <si>
    <t>ｵｰﾗ</t>
  </si>
  <si>
    <t>ﾏｰﾌｫｰｸ</t>
  </si>
  <si>
    <t>ﾎﾗｰ</t>
  </si>
  <si>
    <t>ｸﾗｹﾞ</t>
  </si>
  <si>
    <t>ｳｨｻﾞｰﾄﾞ</t>
  </si>
  <si>
    <t>ﾋﾞｰｽﾄ</t>
  </si>
  <si>
    <t>ﾐｭｰﾀﾝﾄ</t>
  </si>
  <si>
    <t>ｽｶｳﾄ</t>
  </si>
  <si>
    <t>ﾈｽﾞﾐ</t>
  </si>
  <si>
    <t>ｺﾞﾌﾞﾘﾝ</t>
  </si>
  <si>
    <t>ｿﾞﾝﾋﾞ</t>
  </si>
  <si>
    <t>ﾌｪｱﾘｰ</t>
  </si>
  <si>
    <t>ｼｬｰﾏﾝ</t>
  </si>
  <si>
    <t>ｲﾌﾘｰﾄ</t>
  </si>
  <si>
    <t>ｵｰｶﾞ</t>
  </si>
  <si>
    <t>ﾄﾞﾙｲﾄﾞ</t>
  </si>
  <si>
    <t>ｴﾙﾌ</t>
  </si>
  <si>
    <t>ﾄｶｹﾞ</t>
  </si>
  <si>
    <t>ﾜｰﾑ</t>
  </si>
  <si>
    <t>ｽﾗﾙ</t>
  </si>
  <si>
    <t>ｺｳﾓﾘ</t>
  </si>
  <si>
    <t>ﾊｯｸﾞ</t>
  </si>
  <si>
    <t>ヴｨｰｱｼｰﾉ</t>
  </si>
  <si>
    <t>ｺﾞｰﾚﾑ</t>
  </si>
  <si>
    <t>Name</t>
    <phoneticPr fontId="1"/>
  </si>
  <si>
    <t>MC</t>
    <phoneticPr fontId="1"/>
  </si>
  <si>
    <t>CMC</t>
    <phoneticPr fontId="1"/>
  </si>
  <si>
    <t>Exp</t>
    <phoneticPr fontId="1"/>
  </si>
  <si>
    <t>Ty</t>
    <phoneticPr fontId="1"/>
  </si>
  <si>
    <t>CT1</t>
    <phoneticPr fontId="1"/>
  </si>
  <si>
    <t>CT2</t>
    <phoneticPr fontId="1"/>
  </si>
  <si>
    <t>CT3</t>
    <phoneticPr fontId="1"/>
  </si>
  <si>
    <t>PT</t>
    <phoneticPr fontId="1"/>
  </si>
  <si>
    <t>I</t>
    <phoneticPr fontId="1"/>
  </si>
  <si>
    <t>S</t>
    <phoneticPr fontId="1"/>
  </si>
  <si>
    <t>シルムガルの魔術師</t>
    <phoneticPr fontId="1"/>
  </si>
  <si>
    <t>1UU</t>
    <phoneticPr fontId="1"/>
  </si>
  <si>
    <t>DTK</t>
    <phoneticPr fontId="1"/>
  </si>
  <si>
    <t>人間</t>
    <phoneticPr fontId="1"/>
  </si>
  <si>
    <t>ウィザード</t>
    <phoneticPr fontId="1"/>
  </si>
  <si>
    <t>2/1</t>
    <phoneticPr fontId="1"/>
  </si>
  <si>
    <t>3U/P</t>
    <phoneticPr fontId="1"/>
  </si>
  <si>
    <t>1WB</t>
    <phoneticPr fontId="1"/>
  </si>
  <si>
    <t>GPT</t>
    <phoneticPr fontId="1"/>
  </si>
  <si>
    <t>UR</t>
    <phoneticPr fontId="1"/>
  </si>
  <si>
    <t>GTC</t>
    <phoneticPr fontId="1"/>
  </si>
  <si>
    <t>死の激情</t>
    <phoneticPr fontId="1"/>
  </si>
  <si>
    <t>3BG</t>
    <phoneticPr fontId="1"/>
  </si>
  <si>
    <t>KTK</t>
    <phoneticPr fontId="1"/>
  </si>
  <si>
    <t>S</t>
    <phoneticPr fontId="1"/>
  </si>
  <si>
    <t>2RW</t>
    <phoneticPr fontId="1"/>
  </si>
  <si>
    <t>GTC</t>
    <phoneticPr fontId="1"/>
  </si>
  <si>
    <t>I</t>
    <phoneticPr fontId="1"/>
  </si>
  <si>
    <t>空乗りのエルフ</t>
    <phoneticPr fontId="1"/>
  </si>
  <si>
    <t>XGU</t>
    <phoneticPr fontId="1"/>
  </si>
  <si>
    <t>BFZ</t>
    <phoneticPr fontId="1"/>
  </si>
  <si>
    <t>C</t>
    <phoneticPr fontId="1"/>
  </si>
  <si>
    <t>エルフ</t>
    <phoneticPr fontId="1"/>
  </si>
  <si>
    <t>戦士</t>
    <phoneticPr fontId="1"/>
  </si>
  <si>
    <t>0/0</t>
    <phoneticPr fontId="1"/>
  </si>
  <si>
    <t>MC</t>
    <phoneticPr fontId="1"/>
  </si>
  <si>
    <t>CMC</t>
    <phoneticPr fontId="1"/>
  </si>
  <si>
    <t>Exp</t>
    <phoneticPr fontId="1"/>
  </si>
  <si>
    <t>Ty</t>
    <phoneticPr fontId="1"/>
  </si>
  <si>
    <t>CT1</t>
    <phoneticPr fontId="1"/>
  </si>
  <si>
    <t>CT2</t>
    <phoneticPr fontId="1"/>
  </si>
  <si>
    <t>CT3</t>
    <phoneticPr fontId="1"/>
  </si>
  <si>
    <t>PT</t>
    <phoneticPr fontId="1"/>
  </si>
  <si>
    <t>天使の嗜み</t>
    <phoneticPr fontId="1"/>
  </si>
  <si>
    <t>W</t>
    <phoneticPr fontId="1"/>
  </si>
  <si>
    <t>MMA</t>
    <phoneticPr fontId="1"/>
  </si>
  <si>
    <t>I</t>
    <phoneticPr fontId="1"/>
  </si>
  <si>
    <t>C</t>
    <phoneticPr fontId="1"/>
  </si>
  <si>
    <t>族樹の精霊､ｱﾅﾌｪﾝｻﾞ</t>
    <phoneticPr fontId="1"/>
  </si>
  <si>
    <t>WW</t>
    <phoneticPr fontId="1"/>
  </si>
  <si>
    <t>DTK</t>
    <phoneticPr fontId="1"/>
  </si>
  <si>
    <t>スピリット</t>
    <phoneticPr fontId="1"/>
  </si>
  <si>
    <t>2/2</t>
    <phoneticPr fontId="1"/>
  </si>
  <si>
    <t>E</t>
    <phoneticPr fontId="1"/>
  </si>
  <si>
    <t>1WW</t>
    <phoneticPr fontId="1"/>
  </si>
  <si>
    <t>THS</t>
    <phoneticPr fontId="1"/>
  </si>
  <si>
    <t>修復の天使</t>
    <phoneticPr fontId="1"/>
  </si>
  <si>
    <t>3W</t>
    <phoneticPr fontId="1"/>
  </si>
  <si>
    <t>AVR</t>
    <phoneticPr fontId="1"/>
  </si>
  <si>
    <t>天使</t>
    <phoneticPr fontId="1"/>
  </si>
  <si>
    <t>3/4</t>
    <phoneticPr fontId="1"/>
  </si>
  <si>
    <t>侍の御大将、武野</t>
    <phoneticPr fontId="1"/>
  </si>
  <si>
    <t>U</t>
    <phoneticPr fontId="1"/>
  </si>
  <si>
    <t>JOU</t>
    <phoneticPr fontId="1"/>
  </si>
  <si>
    <t>EC</t>
    <phoneticPr fontId="1"/>
  </si>
  <si>
    <t>セイレーン</t>
    <phoneticPr fontId="1"/>
  </si>
  <si>
    <t>1/1</t>
    <phoneticPr fontId="1"/>
  </si>
  <si>
    <t>潮流の先駆け</t>
    <phoneticPr fontId="1"/>
  </si>
  <si>
    <t>UU</t>
    <phoneticPr fontId="1"/>
  </si>
  <si>
    <t>ORI</t>
    <phoneticPr fontId="1"/>
  </si>
  <si>
    <t>マーフォーク</t>
    <phoneticPr fontId="1"/>
  </si>
  <si>
    <t>2/2</t>
    <phoneticPr fontId="1"/>
  </si>
  <si>
    <t>XUU</t>
    <phoneticPr fontId="1"/>
  </si>
  <si>
    <t>風への散乱</t>
    <phoneticPr fontId="1"/>
  </si>
  <si>
    <t>1UU</t>
    <phoneticPr fontId="1"/>
  </si>
  <si>
    <t>E</t>
    <phoneticPr fontId="1"/>
  </si>
  <si>
    <t>大笑いの写し身</t>
    <phoneticPr fontId="1"/>
  </si>
  <si>
    <t>ISD</t>
    <phoneticPr fontId="1"/>
  </si>
  <si>
    <t>複製の儀式</t>
    <phoneticPr fontId="1"/>
  </si>
  <si>
    <t>2UU</t>
    <phoneticPr fontId="1"/>
  </si>
  <si>
    <t>ZEN</t>
    <phoneticPr fontId="1"/>
  </si>
  <si>
    <t>6UU</t>
    <phoneticPr fontId="1"/>
  </si>
  <si>
    <t>リヴァイアサン</t>
    <phoneticPr fontId="1"/>
  </si>
  <si>
    <t>スカースダグの高僧</t>
    <phoneticPr fontId="1"/>
  </si>
  <si>
    <t>1B</t>
    <phoneticPr fontId="1"/>
  </si>
  <si>
    <t>クレリック</t>
    <phoneticPr fontId="1"/>
  </si>
  <si>
    <t>1/2</t>
    <phoneticPr fontId="1"/>
  </si>
  <si>
    <t>黒の太陽の頂点</t>
    <phoneticPr fontId="1"/>
  </si>
  <si>
    <t>XBB</t>
    <phoneticPr fontId="1"/>
  </si>
  <si>
    <t>MBS</t>
    <phoneticPr fontId="1"/>
  </si>
  <si>
    <t>英雄の破滅</t>
    <phoneticPr fontId="1"/>
  </si>
  <si>
    <t>1BB</t>
    <phoneticPr fontId="1"/>
  </si>
  <si>
    <t>THS</t>
    <phoneticPr fontId="1"/>
  </si>
  <si>
    <t>3BB</t>
    <phoneticPr fontId="1"/>
  </si>
  <si>
    <t>TSB</t>
    <phoneticPr fontId="1"/>
  </si>
  <si>
    <t>XR</t>
    <phoneticPr fontId="1"/>
  </si>
  <si>
    <t>DIS</t>
    <phoneticPr fontId="1"/>
  </si>
  <si>
    <t>ミジウムの迫撃砲</t>
    <phoneticPr fontId="1"/>
  </si>
  <si>
    <t>1R</t>
    <phoneticPr fontId="1"/>
  </si>
  <si>
    <t>RTR</t>
    <phoneticPr fontId="1"/>
  </si>
  <si>
    <t>LRW</t>
    <phoneticPr fontId="1"/>
  </si>
  <si>
    <t>4RR</t>
    <phoneticPr fontId="1"/>
  </si>
  <si>
    <t>SHM</t>
    <phoneticPr fontId="1"/>
  </si>
  <si>
    <t>心魂破</t>
    <phoneticPr fontId="1"/>
  </si>
  <si>
    <t>3RRR</t>
    <phoneticPr fontId="1"/>
  </si>
  <si>
    <t>10E</t>
    <phoneticPr fontId="1"/>
  </si>
  <si>
    <t>G</t>
    <phoneticPr fontId="1"/>
  </si>
  <si>
    <t>除去</t>
    <phoneticPr fontId="1"/>
  </si>
  <si>
    <t>1G</t>
    <phoneticPr fontId="1"/>
  </si>
  <si>
    <t>WB</t>
    <phoneticPr fontId="1"/>
  </si>
  <si>
    <t>5G</t>
    <phoneticPr fontId="1"/>
  </si>
  <si>
    <t>オブゼダートの救済</t>
    <phoneticPr fontId="1"/>
  </si>
  <si>
    <t>3WB</t>
    <phoneticPr fontId="1"/>
  </si>
  <si>
    <t>DGM</t>
    <phoneticPr fontId="1"/>
  </si>
  <si>
    <t>UUR</t>
    <phoneticPr fontId="1"/>
  </si>
  <si>
    <t>2BG</t>
    <phoneticPr fontId="1"/>
  </si>
  <si>
    <t>軍勢の集結</t>
    <phoneticPr fontId="1"/>
  </si>
  <si>
    <t>3RW</t>
    <phoneticPr fontId="1"/>
  </si>
  <si>
    <t>3GU</t>
    <phoneticPr fontId="1"/>
  </si>
  <si>
    <t>ドラゴン</t>
    <phoneticPr fontId="1"/>
  </si>
  <si>
    <t>精霊信者の剣</t>
    <phoneticPr fontId="1"/>
  </si>
  <si>
    <t>M12</t>
    <phoneticPr fontId="1"/>
  </si>
  <si>
    <t>FC</t>
    <phoneticPr fontId="1"/>
  </si>
  <si>
    <t>タミヨウの日誌</t>
    <phoneticPr fontId="1"/>
  </si>
  <si>
    <t>SOI</t>
    <phoneticPr fontId="1"/>
  </si>
  <si>
    <t>M15</t>
    <phoneticPr fontId="1"/>
  </si>
  <si>
    <t>戦の大聖堂</t>
    <phoneticPr fontId="1"/>
  </si>
  <si>
    <t>M13</t>
    <phoneticPr fontId="1"/>
  </si>
  <si>
    <t>アジャニ</t>
    <phoneticPr fontId="1"/>
  </si>
  <si>
    <t>3U</t>
    <phoneticPr fontId="1"/>
  </si>
  <si>
    <t>2/1</t>
    <phoneticPr fontId="1"/>
  </si>
  <si>
    <t>ジェイス</t>
    <phoneticPr fontId="1"/>
  </si>
  <si>
    <t>リリアナ</t>
    <phoneticPr fontId="1"/>
  </si>
  <si>
    <t>忌むべき者のかがり火</t>
    <phoneticPr fontId="1"/>
  </si>
  <si>
    <t>XXR</t>
    <phoneticPr fontId="1"/>
  </si>
  <si>
    <t>チャンドラ</t>
    <phoneticPr fontId="1"/>
  </si>
  <si>
    <t>2GG</t>
    <phoneticPr fontId="1"/>
  </si>
  <si>
    <t>ハイドラ</t>
    <phoneticPr fontId="1"/>
  </si>
  <si>
    <t>4/4</t>
    <phoneticPr fontId="1"/>
  </si>
  <si>
    <t>ガラク</t>
    <phoneticPr fontId="1"/>
  </si>
  <si>
    <t>XWUU</t>
    <phoneticPr fontId="1"/>
  </si>
  <si>
    <t>ファルケンラスの貴種</t>
    <phoneticPr fontId="1"/>
  </si>
  <si>
    <t>2BR</t>
    <phoneticPr fontId="1"/>
  </si>
  <si>
    <t>DKA</t>
    <phoneticPr fontId="1"/>
  </si>
  <si>
    <t>4/1</t>
    <phoneticPr fontId="1"/>
  </si>
  <si>
    <t>強欲なるスロモック</t>
    <phoneticPr fontId="1"/>
  </si>
  <si>
    <t>3RG</t>
    <phoneticPr fontId="1"/>
  </si>
  <si>
    <t>PC2</t>
    <phoneticPr fontId="1"/>
  </si>
  <si>
    <t>ヘリオン</t>
    <phoneticPr fontId="1"/>
  </si>
  <si>
    <t>ミラーリの目覚め</t>
    <phoneticPr fontId="1"/>
  </si>
  <si>
    <t>3GW</t>
    <phoneticPr fontId="1"/>
  </si>
  <si>
    <t>CON</t>
    <phoneticPr fontId="1"/>
  </si>
  <si>
    <t>ヴィズコーパの血男爵</t>
    <phoneticPr fontId="1"/>
  </si>
  <si>
    <t>ギトラグの怪物</t>
    <phoneticPr fontId="1"/>
  </si>
  <si>
    <t>カエル</t>
    <phoneticPr fontId="1"/>
  </si>
  <si>
    <t>ホラー</t>
    <phoneticPr fontId="1"/>
  </si>
  <si>
    <t>6/6</t>
    <phoneticPr fontId="1"/>
  </si>
  <si>
    <t>戦導者オレリア</t>
    <phoneticPr fontId="1"/>
  </si>
  <si>
    <t>2RRWW</t>
    <phoneticPr fontId="1"/>
  </si>
  <si>
    <t>3/4</t>
    <phoneticPr fontId="1"/>
  </si>
  <si>
    <t>練達の生術師</t>
    <phoneticPr fontId="1"/>
  </si>
  <si>
    <t>2GU</t>
    <phoneticPr fontId="1"/>
  </si>
  <si>
    <t>GTC</t>
    <phoneticPr fontId="1"/>
  </si>
  <si>
    <t>エルフ</t>
    <phoneticPr fontId="1"/>
  </si>
  <si>
    <t>ウィザード</t>
    <phoneticPr fontId="1"/>
  </si>
  <si>
    <t>2/4</t>
    <phoneticPr fontId="1"/>
  </si>
  <si>
    <t>UBR</t>
    <phoneticPr fontId="1"/>
  </si>
  <si>
    <t>3UBBR</t>
    <phoneticPr fontId="1"/>
  </si>
  <si>
    <t>CON</t>
    <phoneticPr fontId="1"/>
  </si>
  <si>
    <t>PW</t>
    <phoneticPr fontId="1"/>
  </si>
  <si>
    <t>ボーラス</t>
    <phoneticPr fontId="1"/>
  </si>
  <si>
    <t>MN1</t>
    <phoneticPr fontId="1"/>
  </si>
  <si>
    <t>紅蓮術士のゴーグル</t>
    <phoneticPr fontId="1"/>
  </si>
  <si>
    <t>ORI</t>
    <phoneticPr fontId="1"/>
  </si>
  <si>
    <t>F</t>
    <phoneticPr fontId="1"/>
  </si>
  <si>
    <t>N08</t>
  </si>
  <si>
    <t>L08</t>
  </si>
  <si>
    <t>L09</t>
  </si>
  <si>
    <t>空に届くマンタ</t>
    <rPh sb="0" eb="1">
      <t>ソラ</t>
    </rPh>
    <rPh sb="2" eb="3">
      <t>トド</t>
    </rPh>
    <phoneticPr fontId="1"/>
  </si>
  <si>
    <t>5DN</t>
    <phoneticPr fontId="1"/>
  </si>
  <si>
    <t>FC</t>
    <phoneticPr fontId="1"/>
  </si>
  <si>
    <t>飛行機械</t>
    <rPh sb="0" eb="2">
      <t>ヒコウ</t>
    </rPh>
    <rPh sb="2" eb="4">
      <t>キカイ</t>
    </rPh>
    <phoneticPr fontId="1"/>
  </si>
  <si>
    <t>0/0</t>
    <phoneticPr fontId="1"/>
  </si>
  <si>
    <t>流砂</t>
    <rPh sb="0" eb="2">
      <t>リュウサ</t>
    </rPh>
    <phoneticPr fontId="1"/>
  </si>
  <si>
    <t>L</t>
    <phoneticPr fontId="1"/>
  </si>
  <si>
    <t>ZEN</t>
    <phoneticPr fontId="1"/>
  </si>
  <si>
    <t>憑依された沼墓</t>
    <rPh sb="0" eb="2">
      <t>ヒョウイ</t>
    </rPh>
    <rPh sb="5" eb="6">
      <t>ヌマ</t>
    </rPh>
    <rPh sb="6" eb="7">
      <t>ハカ</t>
    </rPh>
    <phoneticPr fontId="1"/>
  </si>
  <si>
    <t>DKA</t>
    <phoneticPr fontId="1"/>
  </si>
  <si>
    <t>荒廃のﾏﾝﾊﾞ</t>
    <rPh sb="0" eb="2">
      <t>コウハイ</t>
    </rPh>
    <phoneticPr fontId="1"/>
  </si>
  <si>
    <t>SOM</t>
    <phoneticPr fontId="1"/>
  </si>
  <si>
    <t>消えゆく光、ブルーナ　(5)(W)(W)　Ｒ</t>
  </si>
  <si>
    <t>罪からの解放者　(2)(W)　Ｕ</t>
  </si>
  <si>
    <t>折れた刃、ギセラ　(2)(W)(W)　Ｍ</t>
  </si>
  <si>
    <t>単体騎手　(1)(W)　Ｕ</t>
  </si>
  <si>
    <t>詮索好きのホムンクルス　(1)(U)　Ｕ</t>
  </si>
  <si>
    <t>完成態の講師　(3)(U)(U)　Ｒ</t>
  </si>
  <si>
    <t>白髪交じりの釣り人　(2)(U)　Ｕ</t>
  </si>
  <si>
    <t>意識の拡張　(5)(U)(U)　Ｍ</t>
  </si>
  <si>
    <t>ゲートウォッチ配備　(4)(W)(W)　Ｍ</t>
  </si>
  <si>
    <t>州民を滅ぼすもの　(10)　Ｍ</t>
  </si>
  <si>
    <t>約束された終末、エムラクール　(13)　Ｍ</t>
  </si>
  <si>
    <t>墓ネズミ　(1)(B)　Ｃ</t>
  </si>
  <si>
    <t>最後の希望、リリアナ　(1)(B)(B)　Ｍ</t>
  </si>
  <si>
    <t>夜深の死体あさり　(4)(B)　Ｃ</t>
  </si>
  <si>
    <t>地獄の樹　(3)(B)　Ｍ</t>
  </si>
  <si>
    <t>ヴォルダーレンの下層民　(3)(B)(B)　Ｒ</t>
  </si>
  <si>
    <t>ハンウィアー守備隊　(2)(R)　Ｒ</t>
  </si>
  <si>
    <t>鏡翼のドラゴン　(3)(R)(R)　Ｍ</t>
  </si>
  <si>
    <t>ナヒリの怒り　(2)(R)　Ｍ</t>
  </si>
  <si>
    <t>くすぶる狼男　(2)(R)(R)　Ｕ</t>
  </si>
  <si>
    <t>ヴィルディン群れの除けもの　(4)(R)　Ｃ</t>
  </si>
  <si>
    <t>嵐の伝導者　(2)(R)　Ｕ</t>
  </si>
  <si>
    <t>墓後家蜘蛛、イシュカナ　(4)(G)　Ｍ</t>
  </si>
  <si>
    <t>ケッシグをうろつくもの　(G)　Ｕ</t>
  </si>
  <si>
    <t>けたたましく吠えるもの　(2)(G)　Ｕ</t>
  </si>
  <si>
    <t>絡み爪の人狼　(2)(G)(G)　Ｕ</t>
  </si>
  <si>
    <t>ウルヴェンワルドに囚われしもの　(1)(G)　Ｃ</t>
  </si>
  <si>
    <t>ギサとゲラルフ　(2)(U)(B)　Ｍ</t>
  </si>
  <si>
    <t>残忍な剥ぎ取り　(B)(G)　Ｍ</t>
  </si>
  <si>
    <t>実地研究者、タミヨウ　(1)(G)(W)(U)　Ｍ</t>
  </si>
  <si>
    <t>爪の群れのウルリッチ　(3)(R)(G)　Ｍ</t>
  </si>
  <si>
    <t>謎の石の断片　(3)　Ｕ</t>
  </si>
  <si>
    <t>ハンウィアーの要塞　Ｒ</t>
  </si>
  <si>
    <t>合体</t>
    <rPh sb="0" eb="2">
      <t>ガッタイ</t>
    </rPh>
    <phoneticPr fontId="1"/>
  </si>
  <si>
    <t>増呪</t>
    <rPh sb="0" eb="1">
      <t>ゾウ</t>
    </rPh>
    <rPh sb="1" eb="2">
      <t>ジュ</t>
    </rPh>
    <phoneticPr fontId="1"/>
  </si>
  <si>
    <t>現出</t>
    <rPh sb="0" eb="2">
      <t>ゲンシュツ</t>
    </rPh>
    <phoneticPr fontId="1"/>
  </si>
  <si>
    <t>B</t>
    <phoneticPr fontId="1"/>
  </si>
  <si>
    <t>R</t>
    <phoneticPr fontId="1"/>
  </si>
  <si>
    <t>G</t>
    <phoneticPr fontId="1"/>
  </si>
  <si>
    <t>飛行</t>
    <rPh sb="0" eb="2">
      <t>ヒコウ</t>
    </rPh>
    <phoneticPr fontId="1"/>
  </si>
  <si>
    <t>側面</t>
    <rPh sb="0" eb="2">
      <t>ソクメン</t>
    </rPh>
    <phoneticPr fontId="1"/>
  </si>
  <si>
    <t>吸収</t>
    <rPh sb="0" eb="2">
      <t>キュウシュウ</t>
    </rPh>
    <phoneticPr fontId="1"/>
  </si>
  <si>
    <t>召集</t>
    <rPh sb="0" eb="2">
      <t>ショウシュウ</t>
    </rPh>
    <phoneticPr fontId="1"/>
  </si>
  <si>
    <t>飛行　増殖</t>
    <rPh sb="0" eb="2">
      <t>ヒコウ</t>
    </rPh>
    <rPh sb="3" eb="5">
      <t>ゾウショク</t>
    </rPh>
    <phoneticPr fontId="1"/>
  </si>
  <si>
    <t>増殖</t>
  </si>
  <si>
    <t>増殖</t>
    <rPh sb="0" eb="2">
      <t>ゾウショク</t>
    </rPh>
    <phoneticPr fontId="1"/>
  </si>
  <si>
    <t>防衛　進化</t>
    <rPh sb="0" eb="2">
      <t>ボウエイ</t>
    </rPh>
    <rPh sb="3" eb="5">
      <t>シンカ</t>
    </rPh>
    <phoneticPr fontId="1"/>
  </si>
  <si>
    <t>消術</t>
    <rPh sb="0" eb="1">
      <t>ショウ</t>
    </rPh>
    <rPh sb="1" eb="2">
      <t>ジュツ</t>
    </rPh>
    <phoneticPr fontId="1"/>
  </si>
  <si>
    <t>警戒</t>
    <rPh sb="0" eb="2">
      <t>ケイカイ</t>
    </rPh>
    <phoneticPr fontId="1"/>
  </si>
  <si>
    <t>敵戦D誘増殖</t>
  </si>
  <si>
    <t>1泥</t>
  </si>
  <si>
    <t>魔巧　占術2</t>
    <rPh sb="0" eb="1">
      <t>マ</t>
    </rPh>
    <rPh sb="1" eb="2">
      <t>コウ</t>
    </rPh>
    <rPh sb="3" eb="5">
      <t>センジュツ</t>
    </rPh>
    <phoneticPr fontId="1"/>
  </si>
  <si>
    <t>CIP：消術</t>
    <rPh sb="4" eb="5">
      <t>ショウ</t>
    </rPh>
    <rPh sb="5" eb="6">
      <t>ジュツ</t>
    </rPh>
    <phoneticPr fontId="1"/>
  </si>
  <si>
    <t>CIP：排撃</t>
    <rPh sb="4" eb="6">
      <t>ハイゲキ</t>
    </rPh>
    <phoneticPr fontId="1"/>
  </si>
  <si>
    <t>昂揚：飛行</t>
    <rPh sb="0" eb="2">
      <t>コウヨウ</t>
    </rPh>
    <rPh sb="3" eb="5">
      <t>ヒコウ</t>
    </rPh>
    <phoneticPr fontId="1"/>
  </si>
  <si>
    <t>先制　武1</t>
    <rPh sb="0" eb="2">
      <t>センセイ</t>
    </rPh>
    <rPh sb="3" eb="4">
      <t>ブ</t>
    </rPh>
    <phoneticPr fontId="1"/>
  </si>
  <si>
    <t>CIP：E破</t>
    <rPh sb="5" eb="6">
      <t>ハ</t>
    </rPh>
    <phoneticPr fontId="1"/>
  </si>
  <si>
    <t>想起：W</t>
    <rPh sb="0" eb="2">
      <t>ソウキ</t>
    </rPh>
    <phoneticPr fontId="1"/>
  </si>
  <si>
    <t>5W：覚醒3</t>
    <rPh sb="3" eb="5">
      <t>カクセイ</t>
    </rPh>
    <phoneticPr fontId="1"/>
  </si>
  <si>
    <t>寝生物破壊</t>
  </si>
  <si>
    <t>CIP：ﾀｯﾊﾟｰ</t>
    <phoneticPr fontId="1"/>
  </si>
  <si>
    <t>WT:ﾀｯﾊﾟｰ</t>
  </si>
  <si>
    <t>武1</t>
  </si>
  <si>
    <t>武1</t>
    <rPh sb="0" eb="1">
      <t>ブ</t>
    </rPh>
    <phoneticPr fontId="1"/>
  </si>
  <si>
    <t>CIP：支援</t>
    <rPh sb="4" eb="6">
      <t>シエン</t>
    </rPh>
    <phoneticPr fontId="1"/>
  </si>
  <si>
    <t>飛行　支援2</t>
    <rPh sb="0" eb="2">
      <t>ヒコウ</t>
    </rPh>
    <rPh sb="3" eb="5">
      <t>シエン</t>
    </rPh>
    <phoneticPr fontId="1"/>
  </si>
  <si>
    <t>飛行1/1spri×3</t>
  </si>
  <si>
    <t>4U:覚醒3</t>
  </si>
  <si>
    <t>収斂：泥</t>
    <rPh sb="0" eb="2">
      <t>シュウレン</t>
    </rPh>
    <rPh sb="3" eb="4">
      <t>ドロ</t>
    </rPh>
    <phoneticPr fontId="1"/>
  </si>
  <si>
    <t>後2捨</t>
  </si>
  <si>
    <t>呪文打消</t>
  </si>
  <si>
    <t>CIP：2泥</t>
    <rPh sb="5" eb="6">
      <t>ドロ</t>
    </rPh>
    <phoneticPr fontId="1"/>
  </si>
  <si>
    <t>飛行　想起：2U</t>
    <rPh sb="0" eb="2">
      <t>ヒコウ</t>
    </rPh>
    <rPh sb="3" eb="5">
      <t>ソウキ</t>
    </rPh>
    <phoneticPr fontId="1"/>
  </si>
  <si>
    <t>移植3</t>
    <rPh sb="0" eb="2">
      <t>イショク</t>
    </rPh>
    <phoneticPr fontId="1"/>
  </si>
  <si>
    <t>1:+1C乗生物飛行</t>
  </si>
  <si>
    <t>貫通　生息条件山</t>
    <rPh sb="0" eb="2">
      <t>カンツウ</t>
    </rPh>
    <rPh sb="3" eb="5">
      <t>セイソク</t>
    </rPh>
    <rPh sb="5" eb="7">
      <t>ジョウケン</t>
    </rPh>
    <rPh sb="7" eb="8">
      <t>ヤマ</t>
    </rPh>
    <phoneticPr fontId="1"/>
  </si>
  <si>
    <t>CIP：+1/+1Cor排撃</t>
    <phoneticPr fontId="1"/>
  </si>
  <si>
    <t>CIP全PL1ﾊﾝﾃﾞｽ</t>
    <rPh sb="3" eb="4">
      <t>ゼン</t>
    </rPh>
    <phoneticPr fontId="1"/>
  </si>
  <si>
    <t>1B:蘇生</t>
    <rPh sb="3" eb="5">
      <t>ソセイ</t>
    </rPh>
    <phoneticPr fontId="1"/>
  </si>
  <si>
    <t>CIP：ﾊﾝﾃﾞｽ</t>
    <phoneticPr fontId="1"/>
  </si>
  <si>
    <t>強襲：CIP</t>
    <phoneticPr fontId="1"/>
  </si>
  <si>
    <t>寝出</t>
  </si>
  <si>
    <t>威嚇</t>
    <rPh sb="0" eb="2">
      <t>イカク</t>
    </rPh>
    <phoneticPr fontId="1"/>
  </si>
  <si>
    <t>占術2</t>
    <rPh sb="0" eb="2">
      <t>センジュツ</t>
    </rPh>
    <phoneticPr fontId="1"/>
  </si>
  <si>
    <t>飛行</t>
    <phoneticPr fontId="1"/>
  </si>
  <si>
    <t>CIP：D受生物破壊</t>
    <rPh sb="5" eb="6">
      <t>ウ</t>
    </rPh>
    <rPh sb="6" eb="8">
      <t>セイブツ</t>
    </rPh>
    <rPh sb="8" eb="10">
      <t>ハカイ</t>
    </rPh>
    <phoneticPr fontId="1"/>
  </si>
  <si>
    <t>転生4</t>
    <phoneticPr fontId="1"/>
  </si>
  <si>
    <t>暗号</t>
  </si>
  <si>
    <t>感染　再生</t>
    <rPh sb="3" eb="5">
      <t>サイセイ</t>
    </rPh>
    <phoneticPr fontId="1"/>
  </si>
  <si>
    <t>CIP：ｻﾙﾍﾞｰｼﾞ</t>
    <phoneticPr fontId="1"/>
  </si>
  <si>
    <t>武2</t>
    <rPh sb="0" eb="1">
      <t>ブ</t>
    </rPh>
    <phoneticPr fontId="1"/>
  </si>
  <si>
    <t>強制攻撃</t>
  </si>
  <si>
    <t>6R：覚醒4</t>
    <phoneticPr fontId="1"/>
  </si>
  <si>
    <t>2点</t>
  </si>
  <si>
    <t>3C除-7/1ﾎﾞｰﾗｲ</t>
  </si>
  <si>
    <t>速攻　</t>
  </si>
  <si>
    <t>CIP：生物1非防御</t>
    <rPh sb="4" eb="6">
      <t>セイブツ</t>
    </rPh>
    <rPh sb="7" eb="8">
      <t>ヒ</t>
    </rPh>
    <rPh sb="8" eb="10">
      <t>ボウギョ</t>
    </rPh>
    <phoneticPr fontId="1"/>
  </si>
  <si>
    <t>S:生物1任意色ﾌﾟﾛ</t>
  </si>
  <si>
    <t>Pa 攻防起不可 4回復</t>
  </si>
  <si>
    <t xml:space="preserve">排撃 </t>
  </si>
  <si>
    <t>ﾙｰﾀｰ</t>
  </si>
  <si>
    <t>ﾌﾞｰﾒﾗﾝ</t>
  </si>
  <si>
    <t>3ﾘｰｸ</t>
  </si>
  <si>
    <t>ﾀｯﾌﾟ､非UT</t>
  </si>
  <si>
    <t>非黒生物破壊 再生不可</t>
  </si>
  <si>
    <t>2泥 2失</t>
  </si>
  <si>
    <t>追ｺｽ-CS T分-X/-X</t>
  </si>
  <si>
    <t xml:space="preserve">S:生物1-1/-1 </t>
  </si>
  <si>
    <t xml:space="preserve">敵3失 </t>
  </si>
  <si>
    <t>B:再生</t>
  </si>
  <si>
    <t>2ﾙｰﾀｰ 2R:FB</t>
  </si>
  <si>
    <t>T:El呪文/能力用任意色2ﾏﾅ</t>
  </si>
  <si>
    <t xml:space="preserve">敵軍1点 </t>
  </si>
  <si>
    <t>Sｻｲｸﾘ</t>
  </si>
  <si>
    <t>LorF追放 CTL2点</t>
  </si>
  <si>
    <t>生物4点 再生不可</t>
  </si>
  <si>
    <t>ﾏﾅｸﾘ</t>
  </si>
  <si>
    <t>ﾗﾝﾊﾟﾝ</t>
  </si>
  <si>
    <t>垂直落下 毒1</t>
  </si>
  <si>
    <t>到達 感染</t>
  </si>
  <si>
    <t>白+1/+2 黒+2/+1</t>
  </si>
  <si>
    <t>墓地1追放 飛行1/1ｽﾋﾟﾘｯﾄ</t>
  </si>
  <si>
    <t>飛行 絆魂</t>
  </si>
  <si>
    <t>土地でないｶｰﾄﾞ追放ﾊﾝﾃﾞｽ</t>
  </si>
  <si>
    <t>飛行 強請</t>
  </si>
  <si>
    <t>U/R:流動石</t>
  </si>
  <si>
    <t>I/Sｺｽﾄ-1</t>
  </si>
  <si>
    <t>生物1PT入替 1泥</t>
  </si>
  <si>
    <t>生物呪文打消 P分打点</t>
  </si>
  <si>
    <t>赤なら+1/+1+R/W:+1/+0 白なら+1/+1絆魂</t>
  </si>
  <si>
    <t>緑+1/+1警戒 青+1/+1飛行</t>
  </si>
  <si>
    <t>烈日 飛行</t>
  </si>
  <si>
    <t>色ﾏﾅﾌｨﾙﾀｰ</t>
  </si>
  <si>
    <t>ﾌｪｯﾁ</t>
  </si>
  <si>
    <t>abrity</t>
  </si>
  <si>
    <t>攻撃生物DB 体分回復</t>
  </si>
  <si>
    <t>ﾌﾟﾛ黒 武1</t>
  </si>
  <si>
    <t>T:ﾚﾝｼﾞ</t>
  </si>
  <si>
    <t>3点軽減+軽減分回復 1W:連繋</t>
  </si>
  <si>
    <t>飛行Spilit1/1×2 1B:FB</t>
  </si>
  <si>
    <t>ﾘﾝｸﾞ</t>
  </si>
  <si>
    <t>多相 覇権 絆魂</t>
  </si>
  <si>
    <t>飛行 警戒</t>
  </si>
  <si>
    <t>飛行 先制 転生5</t>
  </si>
  <si>
    <t>CorPWﾊﾝﾃﾞｽ</t>
  </si>
  <si>
    <t>生物1破壊非再生 体分自失</t>
  </si>
  <si>
    <t>ﾘｱﾆ 生物3S:FB</t>
  </si>
  <si>
    <t>生物3 -1Cを1.2.3と振分</t>
  </si>
  <si>
    <t>支配魔法 UPKｵｰﾅｰ1失</t>
  </si>
  <si>
    <t>狂喜2 威迫</t>
  </si>
  <si>
    <t>自軍貫通 敵軍非貫通</t>
  </si>
  <si>
    <t>多相 覇権 速攻</t>
  </si>
  <si>
    <t>貫通 解鎖</t>
  </si>
  <si>
    <t>3/1速攻ElｴﾝﾄﾞS×3</t>
  </si>
  <si>
    <t>2倍ﾗﾝﾊﾟﾝ</t>
  </si>
  <si>
    <t>多相 覇権</t>
  </si>
  <si>
    <t>貫通 転生8</t>
  </si>
  <si>
    <t>T:ﾊﾝﾃﾞｽ</t>
  </si>
  <si>
    <t>ﾔヴｨﾏﾔの木</t>
  </si>
  <si>
    <t>3S:ﾊﾟｰ割</t>
  </si>
  <si>
    <t>CorE破壊</t>
  </si>
  <si>
    <t>0:ｲﾌﾘｰﾄ</t>
  </si>
  <si>
    <t>_-1C×4 U/R:防不 青呪唱-1C除､赤同様</t>
  </si>
  <si>
    <t>否認2ﾘｰｸ 生物2 2ﾙｰﾀｰ</t>
  </si>
  <si>
    <t>S:3ｹﾞｲﾝ</t>
  </si>
  <si>
    <t>全-2/-2</t>
  </si>
  <si>
    <t>1S:1ﾀﾞﾒor軽減</t>
  </si>
  <si>
    <t>4点D 4回復</t>
  </si>
  <si>
    <t>泥誘C 2W4C除:4/4El</t>
  </si>
  <si>
    <t>自軍+1/+1 1WWT:打与生物破壊</t>
  </si>
  <si>
    <t>ﾗｽｺﾞ</t>
  </si>
  <si>
    <t>CMCX以下非土地Paﾊﾞｳﾝｽ</t>
  </si>
  <si>
    <t>2点､自3点</t>
  </si>
  <si>
    <t>全生物-1/-1CX分</t>
  </si>
  <si>
    <t>生物orPW破壊</t>
  </si>
  <si>
    <t>UPK1ﾍﾟｲ</t>
  </si>
  <si>
    <t>自全領域任意部族</t>
  </si>
  <si>
    <t>飛行 探査</t>
  </si>
  <si>
    <t>Elﾛｰﾄﾞ 1RT:El騙し討ち</t>
  </si>
  <si>
    <t>自軍二段攻撃</t>
  </si>
  <si>
    <t>追生物S S生物P分火力</t>
  </si>
  <si>
    <t>_+1C乗誘発追加+1C</t>
  </si>
  <si>
    <t>DTX公開 CMCX↓Pa戦場 残墓地</t>
  </si>
  <si>
    <t>3ﾗﾝﾊﾟﾝ 7回復</t>
  </si>
  <si>
    <t>伝説 白生物3S:生物3追放 黒死誘→1/1spri</t>
  </si>
  <si>
    <t>墓地のPaﾘｱﾆ</t>
  </si>
  <si>
    <t>山札生物2探､1手札1墓地</t>
  </si>
  <si>
    <t>UPKC C分1/1</t>
  </si>
  <si>
    <t>ｸﾛｰﾝ X分+1C</t>
  </si>
  <si>
    <t>PL戦D与毎中心色払うと能力起動</t>
  </si>
  <si>
    <t>T:C T:Slvﾏﾅ 5T:1/1Slv</t>
  </si>
  <si>
    <t>X泥 X回復</t>
  </si>
  <si>
    <t>ｱﾝｾﾑ ﾏﾅ倍加</t>
  </si>
  <si>
    <t>ﾌﾟﾛ白黒 絆魂</t>
  </si>
  <si>
    <t>後続+1CX乗 X=自P</t>
  </si>
  <si>
    <t>CIP：3点</t>
    <phoneticPr fontId="1"/>
  </si>
  <si>
    <t>先制</t>
    <phoneticPr fontId="1"/>
  </si>
  <si>
    <t>表時1点</t>
    <phoneticPr fontId="1"/>
  </si>
  <si>
    <t>CIP：F破壊</t>
    <phoneticPr fontId="1"/>
  </si>
  <si>
    <t xml:space="preserve">1R:P+手札 </t>
    <phoneticPr fontId="1"/>
  </si>
  <si>
    <t>CIP：+1CorF破壊</t>
    <phoneticPr fontId="1"/>
  </si>
  <si>
    <t>貫通</t>
    <rPh sb="0" eb="2">
      <t>カンツウ</t>
    </rPh>
    <phoneticPr fontId="1"/>
  </si>
  <si>
    <t>感染 再生</t>
    <phoneticPr fontId="1"/>
  </si>
  <si>
    <t>G:再生</t>
    <phoneticPr fontId="1"/>
  </si>
  <si>
    <t>CIP：ﾗﾝﾊﾟﾝ</t>
    <phoneticPr fontId="1"/>
  </si>
  <si>
    <t>E土地追加ﾏﾅ</t>
    <phoneticPr fontId="1"/>
  </si>
  <si>
    <t xml:space="preserve">CIP：2回復 </t>
    <phoneticPr fontId="1"/>
  </si>
  <si>
    <t xml:space="preserve">S:生物1+2/+2 </t>
    <phoneticPr fontId="1"/>
  </si>
  <si>
    <t>格闘</t>
    <phoneticPr fontId="1"/>
  </si>
  <si>
    <t>貢納3：4回復</t>
    <phoneticPr fontId="1"/>
  </si>
  <si>
    <t>自生物+1C</t>
    <phoneticPr fontId="1"/>
  </si>
  <si>
    <t>結魂時貫通</t>
    <phoneticPr fontId="1"/>
  </si>
  <si>
    <t>結魂 貫通</t>
    <phoneticPr fontId="1"/>
  </si>
  <si>
    <t>CIP：貢納</t>
    <rPh sb="4" eb="6">
      <t>コウノウ</t>
    </rPh>
    <phoneticPr fontId="1"/>
  </si>
  <si>
    <t>CIP：結魂</t>
    <rPh sb="4" eb="5">
      <t>ケツ</t>
    </rPh>
    <rPh sb="5" eb="6">
      <t>コン</t>
    </rPh>
    <phoneticPr fontId="1"/>
  </si>
  <si>
    <t>上陸：C</t>
    <phoneticPr fontId="1"/>
  </si>
  <si>
    <t>連繋：1R</t>
    <phoneticPr fontId="1"/>
  </si>
  <si>
    <t xml:space="preserve">大変異：2R </t>
    <phoneticPr fontId="1"/>
  </si>
  <si>
    <t>想起：R</t>
    <phoneticPr fontId="1"/>
  </si>
  <si>
    <t>CIP：2点吸</t>
    <phoneticPr fontId="1"/>
  </si>
  <si>
    <t>憑依</t>
  </si>
  <si>
    <t>飛行 憑依：2点吸</t>
    <phoneticPr fontId="1"/>
  </si>
  <si>
    <t>CIP：墓地I/S回収</t>
    <phoneticPr fontId="1"/>
  </si>
  <si>
    <t xml:space="preserve">S:+1/+1C </t>
    <phoneticPr fontId="1"/>
  </si>
  <si>
    <t>発掘3</t>
  </si>
  <si>
    <t>接死 活用：1BG</t>
    <phoneticPr fontId="1"/>
  </si>
  <si>
    <t>CIP：自墓地最大P生物1回収</t>
    <phoneticPr fontId="1"/>
  </si>
  <si>
    <t>生物1再生 接触生物破壊</t>
    <phoneticPr fontId="1"/>
  </si>
  <si>
    <t>再生</t>
  </si>
  <si>
    <t>黒+1/+1接死 緑+1/+1ﾙｱｰ</t>
    <phoneticPr fontId="1"/>
  </si>
  <si>
    <t>接死</t>
  </si>
  <si>
    <t>青+1/+1被覆 赤+1/+1速攻</t>
    <phoneticPr fontId="1"/>
  </si>
  <si>
    <t>被覆　速攻</t>
    <rPh sb="3" eb="5">
      <t>ソッコウ</t>
    </rPh>
    <phoneticPr fontId="1"/>
  </si>
  <si>
    <t>二段</t>
    <phoneticPr fontId="1"/>
  </si>
  <si>
    <t>大隊：先制</t>
    <phoneticPr fontId="1"/>
  </si>
  <si>
    <t>絆魂</t>
    <rPh sb="0" eb="1">
      <t>キズナ</t>
    </rPh>
    <rPh sb="1" eb="2">
      <t>タマシイ</t>
    </rPh>
    <phoneticPr fontId="1"/>
  </si>
  <si>
    <t>速攻</t>
    <rPh sb="0" eb="2">
      <t>ソッコウ</t>
    </rPh>
    <phoneticPr fontId="1"/>
  </si>
  <si>
    <t>CIP：自+2/+2</t>
    <phoneticPr fontId="1"/>
  </si>
  <si>
    <t>警戒　飛行</t>
    <rPh sb="0" eb="2">
      <t>ケイカイ</t>
    </rPh>
    <rPh sb="3" eb="5">
      <t>ヒコウ</t>
    </rPh>
    <phoneticPr fontId="1"/>
  </si>
  <si>
    <t>移植5</t>
    <rPh sb="0" eb="2">
      <t>イショク</t>
    </rPh>
    <phoneticPr fontId="1"/>
  </si>
  <si>
    <t>予示</t>
    <rPh sb="0" eb="2">
      <t>ヨジ</t>
    </rPh>
    <phoneticPr fontId="1"/>
  </si>
  <si>
    <t>瞬速　頑強</t>
    <rPh sb="0" eb="1">
      <t>シュン</t>
    </rPh>
    <rPh sb="1" eb="2">
      <t>ソク</t>
    </rPh>
    <rPh sb="3" eb="5">
      <t>ガンキョウ</t>
    </rPh>
    <phoneticPr fontId="1"/>
  </si>
  <si>
    <t>非戦闘</t>
    <phoneticPr fontId="1"/>
  </si>
  <si>
    <t>CIP：DT土地なら場､他は手札</t>
    <phoneticPr fontId="1"/>
  </si>
  <si>
    <t>ﾌﾟﾛ　転生3</t>
    <rPh sb="4" eb="6">
      <t>テンセイ</t>
    </rPh>
    <phoneticPr fontId="1"/>
  </si>
  <si>
    <t>ｼｬﾄﾞｰ</t>
    <phoneticPr fontId="1"/>
  </si>
  <si>
    <t xml:space="preserve">安全な道 </t>
    <phoneticPr fontId="1"/>
  </si>
  <si>
    <t>4W:覚醒2</t>
    <phoneticPr fontId="1"/>
  </si>
  <si>
    <t xml:space="preserve">伝説 攻撃時自軍侍PT+1 </t>
    <phoneticPr fontId="1"/>
  </si>
  <si>
    <t>Xﾘｰｸ</t>
    <phoneticPr fontId="1"/>
  </si>
  <si>
    <t xml:space="preserve">4石臼 </t>
    <phoneticPr fontId="1"/>
  </si>
  <si>
    <t>連繋：1U</t>
    <phoneticPr fontId="1"/>
  </si>
  <si>
    <t>T:生物1多相or非多相</t>
    <phoneticPr fontId="1"/>
  </si>
  <si>
    <t xml:space="preserve">多相 </t>
  </si>
  <si>
    <t xml:space="preserve">多相 </t>
    <phoneticPr fontId="1"/>
  </si>
  <si>
    <t xml:space="preserve">U:生物T/UT </t>
    <phoneticPr fontId="1"/>
  </si>
  <si>
    <t>上陸：UT</t>
    <phoneticPr fontId="1"/>
  </si>
  <si>
    <t>瞬速 飛行 濫用：生物打消</t>
    <phoneticPr fontId="1"/>
  </si>
  <si>
    <t>CIP:濫用</t>
    <rPh sb="4" eb="6">
      <t>ランヨウ</t>
    </rPh>
    <phoneticPr fontId="1"/>
  </si>
  <si>
    <t>CIP：覇権</t>
    <rPh sb="4" eb="6">
      <t>ハケン</t>
    </rPh>
    <phoneticPr fontId="1"/>
  </si>
  <si>
    <t>ﾌﾞｰﾒﾗﾝ</t>
    <phoneticPr fontId="1"/>
  </si>
  <si>
    <t xml:space="preserve">刹那 </t>
  </si>
  <si>
    <t>予示：飛行呪禁</t>
    <phoneticPr fontId="1"/>
  </si>
  <si>
    <t xml:space="preserve">2泥 </t>
    <phoneticPr fontId="1"/>
  </si>
  <si>
    <t>ﾀｯﾊﾟｰ</t>
    <phoneticPr fontId="1"/>
  </si>
  <si>
    <t>5U:覚醒4</t>
  </si>
  <si>
    <t>自軍+1C乗飛行</t>
    <phoneticPr fontId="1"/>
  </si>
  <si>
    <t xml:space="preserve">飛行 </t>
  </si>
  <si>
    <t xml:space="preserve">飛行 </t>
    <phoneticPr fontId="1"/>
  </si>
  <si>
    <t>攻撃時敵2失</t>
    <phoneticPr fontId="1"/>
  </si>
  <si>
    <t xml:space="preserve">3B:授与 </t>
    <phoneticPr fontId="1"/>
  </si>
  <si>
    <t>CIP：全PL毒1</t>
    <phoneticPr fontId="1"/>
  </si>
  <si>
    <t>感染</t>
    <phoneticPr fontId="1"/>
  </si>
  <si>
    <t>1B:+1/+1</t>
    <phoneticPr fontId="1"/>
  </si>
  <si>
    <t xml:space="preserve">全-2/-2 </t>
    <phoneticPr fontId="1"/>
  </si>
  <si>
    <t>3BB:連繋</t>
  </si>
  <si>
    <t xml:space="preserve">BS:闇への追放 </t>
    <phoneticPr fontId="1"/>
  </si>
  <si>
    <t>転生6</t>
  </si>
  <si>
    <t xml:space="preserve">RRR </t>
    <phoneticPr fontId="1"/>
  </si>
  <si>
    <t>1R:連繋</t>
  </si>
  <si>
    <t xml:space="preserve">伝説 同名+2/+2速攻 </t>
    <phoneticPr fontId="1"/>
  </si>
  <si>
    <t>自軍生物PL戦D時間C乗</t>
    <phoneticPr fontId="1"/>
  </si>
  <si>
    <t xml:space="preserve">消失1 </t>
  </si>
  <si>
    <t>CIP：解鎖</t>
    <rPh sb="4" eb="5">
      <t>カイ</t>
    </rPh>
    <rPh sb="5" eb="6">
      <t>クサリ</t>
    </rPh>
    <phoneticPr fontId="1"/>
  </si>
  <si>
    <t>脅しつけ/投げ飛ばし</t>
    <phoneticPr fontId="1"/>
  </si>
  <si>
    <t>2R:双呪</t>
    <phoneticPr fontId="1"/>
  </si>
  <si>
    <t>進化 再生</t>
    <phoneticPr fontId="1"/>
  </si>
  <si>
    <t>2C除:再生</t>
    <phoneticPr fontId="1"/>
  </si>
  <si>
    <t>自軍貫通</t>
    <phoneticPr fontId="1"/>
  </si>
  <si>
    <t>獰猛：敵軍のみ濃霧</t>
    <phoneticPr fontId="1"/>
  </si>
  <si>
    <t>濃霧</t>
    <phoneticPr fontId="1"/>
  </si>
  <si>
    <t>ｷｯｶｰ</t>
    <phoneticPr fontId="1"/>
  </si>
  <si>
    <t>2U:3ﾊﾝﾃﾞｽ 1B:P火力</t>
    <phoneticPr fontId="1"/>
  </si>
  <si>
    <t>自軍生物PT+1+感染</t>
    <phoneticPr fontId="1"/>
  </si>
  <si>
    <t>超貫通</t>
    <phoneticPr fontId="1"/>
  </si>
  <si>
    <t xml:space="preserve">感染 </t>
  </si>
  <si>
    <t>CIP：帰化</t>
    <phoneticPr fontId="1"/>
  </si>
  <si>
    <t>融合</t>
    <rPh sb="0" eb="2">
      <t>ユウゴウ</t>
    </rPh>
    <phoneticPr fontId="1"/>
  </si>
  <si>
    <t>_-1C×4 白呪唱-1C除､黒同様</t>
    <phoneticPr fontId="1"/>
  </si>
  <si>
    <t>自軍+1/+1/敵軍-1/-1</t>
    <phoneticPr fontId="1"/>
  </si>
  <si>
    <t>萎縮</t>
    <rPh sb="0" eb="2">
      <t>イシュク</t>
    </rPh>
    <phoneticPr fontId="1"/>
  </si>
  <si>
    <t>先制</t>
    <rPh sb="0" eb="2">
      <t>センセイ</t>
    </rPh>
    <phoneticPr fontId="1"/>
  </si>
  <si>
    <t>防衛</t>
    <rPh sb="0" eb="2">
      <t>ボウエイ</t>
    </rPh>
    <phoneticPr fontId="1"/>
  </si>
  <si>
    <t>被覆</t>
    <phoneticPr fontId="1"/>
  </si>
  <si>
    <t>生物10/1化/2点火力</t>
    <phoneticPr fontId="1"/>
  </si>
  <si>
    <t>_-1C×4 黒呪唱-1C除､緑同様</t>
    <phoneticPr fontId="1"/>
  </si>
  <si>
    <t>2ﾊﾝﾃﾞｽ/墓地1回収</t>
    <phoneticPr fontId="1"/>
  </si>
  <si>
    <t>_-1C×4 赤呪唱-1C除､白同様</t>
    <phoneticPr fontId="1"/>
  </si>
  <si>
    <t>F破壊/E破壊</t>
    <phoneticPr fontId="1"/>
  </si>
  <si>
    <t>CIP：1泥</t>
    <rPh sb="5" eb="6">
      <t>ドロ</t>
    </rPh>
    <phoneticPr fontId="1"/>
  </si>
  <si>
    <t>生物+1C3/+1C分泥</t>
    <phoneticPr fontId="1"/>
  </si>
  <si>
    <t>_-1C×4 G/U:被覆 緑呪唱-1C除､青同様</t>
    <phoneticPr fontId="1"/>
  </si>
  <si>
    <r>
      <t>飛行　収斂：</t>
    </r>
    <r>
      <rPr>
        <sz val="11"/>
        <color theme="1"/>
        <rFont val="ＭＳ Ｐゴシック"/>
        <family val="3"/>
        <charset val="128"/>
        <scheme val="minor"/>
      </rPr>
      <t>+1C</t>
    </r>
    <rPh sb="0" eb="2">
      <t>ヒコウ</t>
    </rPh>
    <rPh sb="3" eb="5">
      <t>シュウレン</t>
    </rPh>
    <phoneticPr fontId="1"/>
  </si>
  <si>
    <t>多重ｷｯｶｰ：2</t>
    <rPh sb="0" eb="2">
      <t>タジュウ</t>
    </rPh>
    <phoneticPr fontId="1"/>
  </si>
  <si>
    <t>C分無ﾏﾅ</t>
    <phoneticPr fontId="1"/>
  </si>
  <si>
    <t>到達飛行のみ防御可</t>
    <phoneticPr fontId="1"/>
  </si>
  <si>
    <t xml:space="preserve">喊声 </t>
  </si>
  <si>
    <t>版図　装備：3</t>
    <rPh sb="0" eb="2">
      <t>ハント</t>
    </rPh>
    <rPh sb="3" eb="5">
      <t>ソウビ</t>
    </rPh>
    <phoneticPr fontId="1"/>
  </si>
  <si>
    <t>CIP：2点</t>
    <phoneticPr fontId="1"/>
  </si>
  <si>
    <t>T:1ﾏﾅ</t>
    <phoneticPr fontId="1"/>
  </si>
  <si>
    <t>版図+1/+1</t>
    <phoneticPr fontId="1"/>
  </si>
  <si>
    <t>_+2/+2 外れるとS</t>
    <phoneticPr fontId="1"/>
  </si>
  <si>
    <t>感染　装備：2</t>
    <rPh sb="0" eb="2">
      <t>カンセン</t>
    </rPh>
    <phoneticPr fontId="1"/>
  </si>
  <si>
    <t>現ﾀｰﾝ不敗</t>
    <phoneticPr fontId="1"/>
  </si>
  <si>
    <t xml:space="preserve">伝説 T:add武士道1 </t>
    <phoneticPr fontId="1"/>
  </si>
  <si>
    <t>伝説 他生物CIP</t>
    <phoneticPr fontId="1"/>
  </si>
  <si>
    <t>鼓舞</t>
  </si>
  <si>
    <t>CIP：非天使明滅</t>
    <phoneticPr fontId="1"/>
  </si>
  <si>
    <t>死誘ﾃﾞｯｷﾄｯﾌﾟ</t>
    <phoneticPr fontId="1"/>
  </si>
  <si>
    <t>飛行</t>
    <phoneticPr fontId="1"/>
  </si>
  <si>
    <t>伝説 自軍侍､武分+X/+X</t>
    <phoneticPr fontId="1"/>
  </si>
  <si>
    <t>武2</t>
    <phoneticPr fontId="1"/>
  </si>
  <si>
    <t>支配魔法</t>
    <phoneticPr fontId="1"/>
  </si>
  <si>
    <t xml:space="preserve">飛行 5UU:授与 </t>
  </si>
  <si>
    <t>追加2:瞬速 寝生物ﾊﾞｳﾝｽ</t>
    <phoneticPr fontId="1"/>
  </si>
  <si>
    <t xml:space="preserve">打消 </t>
    <phoneticPr fontId="1"/>
  </si>
  <si>
    <t>4UU:覚醒3</t>
  </si>
  <si>
    <t xml:space="preserve">自生物複製 </t>
    <phoneticPr fontId="1"/>
  </si>
  <si>
    <t>5UU:FB</t>
  </si>
  <si>
    <t xml:space="preserve">生物複製 </t>
    <phoneticPr fontId="1"/>
  </si>
  <si>
    <t xml:space="preserve">ｷｯｶｰ5:5複製 </t>
  </si>
  <si>
    <t>X3U:待機X 待機C除1泥 *=自手札</t>
    <phoneticPr fontId="1"/>
  </si>
  <si>
    <t>待機</t>
  </si>
  <si>
    <t>CIP：2点、自3点</t>
    <rPh sb="5" eb="6">
      <t>テン</t>
    </rPh>
    <rPh sb="7" eb="8">
      <t>ジ</t>
    </rPh>
    <rPh sb="9" eb="10">
      <t>テン</t>
    </rPh>
    <phoneticPr fontId="1"/>
  </si>
  <si>
    <t>嵐潮のﾘｳﾞｧｲｱｻﾝ</t>
    <rPh sb="1" eb="2">
      <t>チョウ</t>
    </rPh>
    <phoneticPr fontId="1"/>
  </si>
  <si>
    <t>M13</t>
    <phoneticPr fontId="1"/>
  </si>
  <si>
    <t>8/8</t>
    <phoneticPr fontId="1"/>
  </si>
  <si>
    <t>島渡り</t>
    <rPh sb="0" eb="1">
      <t>シマ</t>
    </rPh>
    <rPh sb="1" eb="2">
      <t>ワタ</t>
    </rPh>
    <phoneticPr fontId="1"/>
  </si>
  <si>
    <t>飛行/島渡り以外非攻撃</t>
    <rPh sb="0" eb="2">
      <t>ヒコウ</t>
    </rPh>
    <rPh sb="3" eb="4">
      <t>シマ</t>
    </rPh>
    <rPh sb="4" eb="5">
      <t>ワタ</t>
    </rPh>
    <rPh sb="6" eb="8">
      <t>イガイ</t>
    </rPh>
    <rPh sb="8" eb="9">
      <t>ヒ</t>
    </rPh>
    <rPh sb="9" eb="11">
      <t>コウゲキ</t>
    </rPh>
    <phoneticPr fontId="1"/>
  </si>
  <si>
    <t>陰鬱-生物2T+T:5/5悪魔</t>
    <phoneticPr fontId="1"/>
  </si>
  <si>
    <t>陰鬱</t>
  </si>
  <si>
    <t>感染ﾛｰﾄﾞ 感染生物唱誘→PL毒1</t>
    <phoneticPr fontId="1"/>
  </si>
  <si>
    <t>飛行　転生4</t>
    <rPh sb="0" eb="2">
      <t>ヒコウ</t>
    </rPh>
    <rPh sb="3" eb="5">
      <t>テンセイ</t>
    </rPh>
    <phoneticPr fontId="1"/>
  </si>
  <si>
    <t>伝説 1ｽﾋﾟﾘｯﾄS:選択ﾊﾝﾃﾞｽ</t>
    <phoneticPr fontId="1"/>
  </si>
  <si>
    <t xml:space="preserve">X点火力 </t>
    <phoneticPr fontId="1"/>
  </si>
  <si>
    <t>暴勇：非打消</t>
    <phoneticPr fontId="1"/>
  </si>
  <si>
    <t xml:space="preserve">生物4点 </t>
    <phoneticPr fontId="1"/>
  </si>
  <si>
    <t>3RRR:超過</t>
  </si>
  <si>
    <t xml:space="preserve">非白黒生物破壊 1/1spri </t>
    <phoneticPr fontId="1"/>
  </si>
  <si>
    <t>伝説 2R,侍S:自軍侍二段</t>
    <phoneticPr fontId="1"/>
  </si>
  <si>
    <t xml:space="preserve">武2 </t>
  </si>
  <si>
    <t>ﾌﾞﾚｽ</t>
    <phoneticPr fontId="1"/>
  </si>
  <si>
    <t>伝説 敵軍全強制攻撃</t>
    <phoneticPr fontId="1"/>
  </si>
  <si>
    <t xml:space="preserve">武X=攻生物 </t>
  </si>
  <si>
    <t>沼ｺﾝPT+1+B:再生</t>
    <phoneticPr fontId="1"/>
  </si>
  <si>
    <t>警戒 貫通 収斂：+1C</t>
    <phoneticPr fontId="1"/>
  </si>
  <si>
    <t>_+1/+1+T:格闘</t>
    <phoneticPr fontId="1"/>
  </si>
  <si>
    <t xml:space="preserve">奮励G </t>
  </si>
  <si>
    <t>UPK毎敵毒分感染1/1昆虫</t>
    <phoneticPr fontId="1"/>
  </si>
  <si>
    <t>再生 発掘6</t>
  </si>
  <si>
    <t>墓地生物分+1/+1C 1+1C除:再生</t>
    <rPh sb="18" eb="20">
      <t>サイセイ</t>
    </rPh>
    <phoneticPr fontId="1"/>
  </si>
  <si>
    <t xml:space="preserve">飛行5/5El </t>
    <phoneticPr fontId="1"/>
  </si>
  <si>
    <t>回顧</t>
  </si>
  <si>
    <t xml:space="preserve">打消 非打消 </t>
    <phoneticPr fontId="1"/>
  </si>
  <si>
    <t>超過1UUR</t>
  </si>
  <si>
    <t>飛行 大隊：稲妻のらせん</t>
    <phoneticPr fontId="1"/>
  </si>
  <si>
    <t>収斂：CMC以下生物/I/S唱</t>
    <phoneticPr fontId="1"/>
  </si>
  <si>
    <t>攻毎ﾗﾝﾊﾟﾝ +1/+1</t>
    <phoneticPr fontId="1"/>
  </si>
  <si>
    <t>2:装備</t>
    <phoneticPr fontId="1"/>
  </si>
  <si>
    <t>死誘：泥</t>
    <rPh sb="0" eb="1">
      <t>シ</t>
    </rPh>
    <rPh sb="1" eb="2">
      <t>イザナ</t>
    </rPh>
    <rPh sb="3" eb="4">
      <t>ドロ</t>
    </rPh>
    <phoneticPr fontId="1"/>
  </si>
  <si>
    <t>UPK調査</t>
    <phoneticPr fontId="1"/>
  </si>
  <si>
    <t xml:space="preserve">伝説 </t>
    <phoneticPr fontId="1"/>
  </si>
  <si>
    <t>破壊不能 警戒 武5</t>
  </si>
  <si>
    <t>Elﾛｰﾄﾞ 信心分1/0El</t>
    <phoneticPr fontId="1"/>
  </si>
  <si>
    <t>ﾌﾟﾛ赤　信心</t>
    <phoneticPr fontId="1"/>
  </si>
  <si>
    <t>飛行 速攻 再生　感染</t>
    <rPh sb="9" eb="11">
      <t>カンセン</t>
    </rPh>
    <phoneticPr fontId="1"/>
  </si>
  <si>
    <t>伝説　B:速攻 BB:再生</t>
    <phoneticPr fontId="1"/>
  </si>
  <si>
    <t xml:space="preserve">敵&amp;敵軍X点 </t>
    <phoneticPr fontId="1"/>
  </si>
  <si>
    <t>XR:奇跡</t>
  </si>
  <si>
    <t>貫通 怪物的：XXG</t>
    <phoneticPr fontId="1"/>
  </si>
  <si>
    <t>飛行 破壊不能</t>
    <phoneticPr fontId="1"/>
  </si>
  <si>
    <t>伝説 CS:破壊不能</t>
    <phoneticPr fontId="1"/>
  </si>
  <si>
    <t>貪食X</t>
    <phoneticPr fontId="1"/>
  </si>
  <si>
    <t>土地加速 UPK土地S</t>
    <phoneticPr fontId="1"/>
  </si>
  <si>
    <t xml:space="preserve">接死 </t>
  </si>
  <si>
    <t>伝説T初攻撃で自軍UT追加攻撃</t>
    <phoneticPr fontId="1"/>
  </si>
  <si>
    <t xml:space="preserve">飛行警戒速攻 </t>
  </si>
  <si>
    <t>W</t>
    <phoneticPr fontId="1"/>
  </si>
  <si>
    <t>U</t>
    <phoneticPr fontId="1"/>
  </si>
  <si>
    <t>M</t>
  </si>
  <si>
    <t>M</t>
    <phoneticPr fontId="1"/>
  </si>
  <si>
    <t>総数</t>
    <rPh sb="0" eb="2">
      <t>ソウスウ</t>
    </rPh>
    <phoneticPr fontId="1"/>
  </si>
  <si>
    <t>割合</t>
    <rPh sb="0" eb="2">
      <t>ワリアイ</t>
    </rPh>
    <phoneticPr fontId="1"/>
  </si>
  <si>
    <t>Co</t>
    <phoneticPr fontId="1"/>
  </si>
  <si>
    <t>F</t>
    <phoneticPr fontId="1"/>
  </si>
  <si>
    <t>Co</t>
    <phoneticPr fontId="1"/>
  </si>
  <si>
    <t>Co</t>
    <phoneticPr fontId="1"/>
  </si>
  <si>
    <t>UC</t>
    <phoneticPr fontId="1"/>
  </si>
  <si>
    <t>UC</t>
    <phoneticPr fontId="1"/>
  </si>
  <si>
    <t>PW</t>
    <phoneticPr fontId="1"/>
  </si>
  <si>
    <t>Re</t>
    <phoneticPr fontId="1"/>
  </si>
  <si>
    <t>Re</t>
    <phoneticPr fontId="1"/>
  </si>
  <si>
    <t xml:space="preserve"> </t>
    <phoneticPr fontId="1"/>
  </si>
  <si>
    <t>PW</t>
    <phoneticPr fontId="1"/>
  </si>
  <si>
    <t>全体</t>
    <rPh sb="0" eb="2">
      <t>ゼンタイ</t>
    </rPh>
    <phoneticPr fontId="1"/>
  </si>
  <si>
    <t>飛行　武1</t>
    <rPh sb="0" eb="2">
      <t>ヒコウ</t>
    </rPh>
    <rPh sb="3" eb="4">
      <t>ブ</t>
    </rPh>
    <phoneticPr fontId="1"/>
  </si>
  <si>
    <t>コモン90枚、アンコモン67枚、レア50枚、神話レア14枚）</t>
    <phoneticPr fontId="1"/>
  </si>
  <si>
    <t>C</t>
    <phoneticPr fontId="1"/>
  </si>
  <si>
    <t>U</t>
    <phoneticPr fontId="1"/>
  </si>
  <si>
    <t>R</t>
    <phoneticPr fontId="1"/>
  </si>
  <si>
    <t>M</t>
    <phoneticPr fontId="1"/>
  </si>
  <si>
    <t>W</t>
    <phoneticPr fontId="1"/>
  </si>
  <si>
    <t>B</t>
    <phoneticPr fontId="1"/>
  </si>
  <si>
    <t>G</t>
    <phoneticPr fontId="1"/>
  </si>
  <si>
    <t>A</t>
    <phoneticPr fontId="1"/>
  </si>
  <si>
    <t>L</t>
    <phoneticPr fontId="1"/>
  </si>
  <si>
    <t>S</t>
    <phoneticPr fontId="1"/>
  </si>
  <si>
    <t>AKH</t>
    <phoneticPr fontId="1"/>
  </si>
  <si>
    <t>17/04.</t>
    <phoneticPr fontId="1"/>
  </si>
  <si>
    <t>HOU</t>
    <phoneticPr fontId="1"/>
  </si>
  <si>
    <t>17/07.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</si>
</sst>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0.000%"/>
  </numFmts>
  <fonts count="5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0"/>
      <color rgb="FF333333"/>
      <name val="MS PGothic"/>
      <family val="3"/>
    </font>
    <font>
      <sz val="11"/>
      <color theme="1"/>
      <name val="ＭＳ Ｐゴシック"/>
      <family val="3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73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double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double">
        <color indexed="64"/>
      </top>
      <bottom style="medium">
        <color indexed="64"/>
      </bottom>
      <diagonal/>
    </border>
    <border>
      <left style="double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double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medium">
        <color indexed="64"/>
      </right>
      <top style="double">
        <color indexed="64"/>
      </top>
      <bottom style="medium">
        <color indexed="64"/>
      </bottom>
      <diagonal/>
    </border>
    <border>
      <left style="double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</borders>
  <cellStyleXfs count="2">
    <xf numFmtId="0" fontId="0" fillId="0" borderId="0">
      <alignment vertical="center"/>
    </xf>
    <xf numFmtId="9" fontId="2" fillId="0" borderId="0" applyFont="0" applyFill="0" applyBorder="0" applyAlignment="0" applyProtection="0">
      <alignment vertical="center"/>
    </xf>
  </cellStyleXfs>
  <cellXfs count="191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2" xfId="0" applyBorder="1">
      <alignment vertical="center"/>
    </xf>
    <xf numFmtId="0" fontId="0" fillId="0" borderId="3" xfId="0" applyBorder="1">
      <alignment vertical="center"/>
    </xf>
    <xf numFmtId="56" fontId="0" fillId="0" borderId="0" xfId="0" applyNumberFormat="1">
      <alignment vertical="center"/>
    </xf>
    <xf numFmtId="0" fontId="0" fillId="0" borderId="4" xfId="0" applyBorder="1">
      <alignment vertical="center"/>
    </xf>
    <xf numFmtId="0" fontId="0" fillId="0" borderId="5" xfId="0" applyBorder="1">
      <alignment vertical="center"/>
    </xf>
    <xf numFmtId="0" fontId="0" fillId="0" borderId="6" xfId="0" applyBorder="1">
      <alignment vertical="center"/>
    </xf>
    <xf numFmtId="0" fontId="0" fillId="0" borderId="7" xfId="0" applyBorder="1">
      <alignment vertical="center"/>
    </xf>
    <xf numFmtId="0" fontId="0" fillId="0" borderId="8" xfId="0" applyBorder="1">
      <alignment vertical="center"/>
    </xf>
    <xf numFmtId="0" fontId="0" fillId="0" borderId="9" xfId="0" applyBorder="1">
      <alignment vertical="center"/>
    </xf>
    <xf numFmtId="0" fontId="0" fillId="0" borderId="10" xfId="0" applyBorder="1">
      <alignment vertical="center"/>
    </xf>
    <xf numFmtId="0" fontId="0" fillId="0" borderId="11" xfId="0" applyBorder="1">
      <alignment vertical="center"/>
    </xf>
    <xf numFmtId="0" fontId="0" fillId="0" borderId="12" xfId="0" applyBorder="1">
      <alignment vertical="center"/>
    </xf>
    <xf numFmtId="9" fontId="0" fillId="0" borderId="0" xfId="1" applyFont="1">
      <alignment vertical="center"/>
    </xf>
    <xf numFmtId="14" fontId="0" fillId="0" borderId="0" xfId="0" applyNumberFormat="1">
      <alignment vertical="center"/>
    </xf>
    <xf numFmtId="20" fontId="0" fillId="0" borderId="0" xfId="0" applyNumberFormat="1">
      <alignment vertical="center"/>
    </xf>
    <xf numFmtId="0" fontId="0" fillId="0" borderId="13" xfId="0" applyBorder="1">
      <alignment vertical="center"/>
    </xf>
    <xf numFmtId="0" fontId="0" fillId="0" borderId="0" xfId="0" applyFill="1" applyBorder="1">
      <alignment vertical="center"/>
    </xf>
    <xf numFmtId="0" fontId="0" fillId="0" borderId="0" xfId="0" applyBorder="1">
      <alignment vertical="center"/>
    </xf>
    <xf numFmtId="0" fontId="0" fillId="0" borderId="14" xfId="0" applyBorder="1">
      <alignment vertical="center"/>
    </xf>
    <xf numFmtId="0" fontId="0" fillId="0" borderId="15" xfId="0" applyBorder="1">
      <alignment vertical="center"/>
    </xf>
    <xf numFmtId="0" fontId="0" fillId="0" borderId="16" xfId="0" applyBorder="1">
      <alignment vertical="center"/>
    </xf>
    <xf numFmtId="0" fontId="0" fillId="0" borderId="17" xfId="0" applyBorder="1">
      <alignment vertical="center"/>
    </xf>
    <xf numFmtId="0" fontId="0" fillId="0" borderId="18" xfId="0" applyBorder="1">
      <alignment vertical="center"/>
    </xf>
    <xf numFmtId="0" fontId="0" fillId="0" borderId="0" xfId="0" applyFill="1">
      <alignment vertical="center"/>
    </xf>
    <xf numFmtId="0" fontId="0" fillId="0" borderId="19" xfId="0" applyBorder="1">
      <alignment vertical="center"/>
    </xf>
    <xf numFmtId="0" fontId="0" fillId="0" borderId="20" xfId="0" applyBorder="1">
      <alignment vertical="center"/>
    </xf>
    <xf numFmtId="0" fontId="0" fillId="0" borderId="0" xfId="0" applyNumberFormat="1">
      <alignment vertical="center"/>
    </xf>
    <xf numFmtId="0" fontId="0" fillId="0" borderId="0" xfId="0" applyNumberFormat="1" applyFill="1" applyBorder="1">
      <alignment vertical="center"/>
    </xf>
    <xf numFmtId="176" fontId="0" fillId="0" borderId="0" xfId="1" applyNumberFormat="1" applyFont="1">
      <alignment vertical="center"/>
    </xf>
    <xf numFmtId="0" fontId="0" fillId="0" borderId="0" xfId="0">
      <alignment vertical="center"/>
    </xf>
    <xf numFmtId="17" fontId="0" fillId="0" borderId="0" xfId="0" applyNumberFormat="1">
      <alignment vertical="center"/>
    </xf>
    <xf numFmtId="0" fontId="3" fillId="0" borderId="0" xfId="0" applyFont="1">
      <alignment vertical="center"/>
    </xf>
    <xf numFmtId="0" fontId="0" fillId="0" borderId="13" xfId="0" applyFill="1" applyBorder="1">
      <alignment vertical="center"/>
    </xf>
    <xf numFmtId="0" fontId="0" fillId="0" borderId="0" xfId="0">
      <alignment vertical="center"/>
    </xf>
    <xf numFmtId="0" fontId="0" fillId="0" borderId="13" xfId="0" applyBorder="1">
      <alignment vertical="center"/>
    </xf>
    <xf numFmtId="0" fontId="0" fillId="0" borderId="5" xfId="0" applyBorder="1">
      <alignment vertical="center"/>
    </xf>
    <xf numFmtId="0" fontId="0" fillId="0" borderId="14" xfId="0" applyBorder="1">
      <alignment vertical="center"/>
    </xf>
    <xf numFmtId="0" fontId="0" fillId="0" borderId="21" xfId="0" applyBorder="1">
      <alignment vertical="center"/>
    </xf>
    <xf numFmtId="0" fontId="0" fillId="0" borderId="22" xfId="0" applyBorder="1">
      <alignment vertical="center"/>
    </xf>
    <xf numFmtId="0" fontId="0" fillId="0" borderId="23" xfId="0" applyBorder="1">
      <alignment vertical="center"/>
    </xf>
    <xf numFmtId="0" fontId="0" fillId="0" borderId="24" xfId="0" applyBorder="1">
      <alignment vertical="center"/>
    </xf>
    <xf numFmtId="0" fontId="0" fillId="0" borderId="25" xfId="0" applyBorder="1">
      <alignment vertical="center"/>
    </xf>
    <xf numFmtId="0" fontId="0" fillId="0" borderId="26" xfId="0" applyBorder="1">
      <alignment vertical="center"/>
    </xf>
    <xf numFmtId="0" fontId="0" fillId="0" borderId="27" xfId="0" applyBorder="1">
      <alignment vertical="center"/>
    </xf>
    <xf numFmtId="0" fontId="0" fillId="0" borderId="28" xfId="0" applyBorder="1">
      <alignment vertical="center"/>
    </xf>
    <xf numFmtId="0" fontId="0" fillId="0" borderId="30" xfId="0" applyBorder="1">
      <alignment vertical="center"/>
    </xf>
    <xf numFmtId="0" fontId="0" fillId="0" borderId="29" xfId="0" applyBorder="1">
      <alignment vertical="center"/>
    </xf>
    <xf numFmtId="0" fontId="0" fillId="0" borderId="0" xfId="0">
      <alignment vertical="center"/>
    </xf>
    <xf numFmtId="0" fontId="0" fillId="0" borderId="5" xfId="0" applyBorder="1">
      <alignment vertical="center"/>
    </xf>
    <xf numFmtId="0" fontId="0" fillId="0" borderId="6" xfId="0" applyBorder="1">
      <alignment vertical="center"/>
    </xf>
    <xf numFmtId="0" fontId="0" fillId="0" borderId="7" xfId="0" applyBorder="1">
      <alignment vertical="center"/>
    </xf>
    <xf numFmtId="0" fontId="0" fillId="0" borderId="8" xfId="0" applyBorder="1">
      <alignment vertical="center"/>
    </xf>
    <xf numFmtId="0" fontId="0" fillId="0" borderId="9" xfId="0" applyBorder="1">
      <alignment vertical="center"/>
    </xf>
    <xf numFmtId="0" fontId="0" fillId="0" borderId="13" xfId="0" applyBorder="1">
      <alignment vertical="center"/>
    </xf>
    <xf numFmtId="0" fontId="0" fillId="0" borderId="14" xfId="0" applyBorder="1">
      <alignment vertical="center"/>
    </xf>
    <xf numFmtId="0" fontId="0" fillId="0" borderId="15" xfId="0" applyBorder="1">
      <alignment vertical="center"/>
    </xf>
    <xf numFmtId="49" fontId="0" fillId="0" borderId="0" xfId="0" applyNumberFormat="1">
      <alignment vertical="center"/>
    </xf>
    <xf numFmtId="0" fontId="0" fillId="0" borderId="31" xfId="0" applyBorder="1">
      <alignment vertical="center"/>
    </xf>
    <xf numFmtId="0" fontId="0" fillId="0" borderId="32" xfId="0" applyBorder="1">
      <alignment vertical="center"/>
    </xf>
    <xf numFmtId="0" fontId="0" fillId="0" borderId="33" xfId="0" applyBorder="1">
      <alignment vertical="center"/>
    </xf>
    <xf numFmtId="0" fontId="0" fillId="0" borderId="34" xfId="0" applyBorder="1">
      <alignment vertical="center"/>
    </xf>
    <xf numFmtId="0" fontId="0" fillId="0" borderId="0" xfId="0" applyAlignment="1">
      <alignment horizontal="right" vertical="center"/>
    </xf>
    <xf numFmtId="9" fontId="0" fillId="0" borderId="34" xfId="1" applyFont="1" applyBorder="1">
      <alignment vertical="center"/>
    </xf>
    <xf numFmtId="9" fontId="0" fillId="0" borderId="0" xfId="1" applyFont="1" applyBorder="1">
      <alignment vertical="center"/>
    </xf>
    <xf numFmtId="0" fontId="0" fillId="0" borderId="32" xfId="0" applyFill="1" applyBorder="1">
      <alignment vertical="center"/>
    </xf>
    <xf numFmtId="0" fontId="0" fillId="0" borderId="5" xfId="0" applyFill="1" applyBorder="1">
      <alignment vertical="center"/>
    </xf>
    <xf numFmtId="0" fontId="0" fillId="0" borderId="6" xfId="0" applyFill="1" applyBorder="1">
      <alignment vertical="center"/>
    </xf>
    <xf numFmtId="0" fontId="0" fillId="0" borderId="7" xfId="0" applyFill="1" applyBorder="1">
      <alignment vertical="center"/>
    </xf>
    <xf numFmtId="0" fontId="0" fillId="0" borderId="14" xfId="0" applyFill="1" applyBorder="1">
      <alignment vertical="center"/>
    </xf>
    <xf numFmtId="0" fontId="0" fillId="0" borderId="15" xfId="0" applyFill="1" applyBorder="1">
      <alignment vertical="center"/>
    </xf>
    <xf numFmtId="0" fontId="0" fillId="0" borderId="8" xfId="0" applyFill="1" applyBorder="1">
      <alignment vertical="center"/>
    </xf>
    <xf numFmtId="0" fontId="0" fillId="0" borderId="9" xfId="0" applyFill="1" applyBorder="1">
      <alignment vertical="center"/>
    </xf>
    <xf numFmtId="0" fontId="0" fillId="0" borderId="10" xfId="0" applyFill="1" applyBorder="1">
      <alignment vertical="center"/>
    </xf>
    <xf numFmtId="0" fontId="0" fillId="0" borderId="35" xfId="0" applyFill="1" applyBorder="1">
      <alignment vertical="center"/>
    </xf>
    <xf numFmtId="0" fontId="0" fillId="0" borderId="36" xfId="0" applyFill="1" applyBorder="1">
      <alignment vertical="center"/>
    </xf>
    <xf numFmtId="0" fontId="0" fillId="0" borderId="37" xfId="0" applyFill="1" applyBorder="1">
      <alignment vertical="center"/>
    </xf>
    <xf numFmtId="0" fontId="0" fillId="0" borderId="38" xfId="0" applyFill="1" applyBorder="1">
      <alignment vertical="center"/>
    </xf>
    <xf numFmtId="0" fontId="0" fillId="0" borderId="39" xfId="0" applyFill="1" applyBorder="1">
      <alignment vertical="center"/>
    </xf>
    <xf numFmtId="0" fontId="0" fillId="0" borderId="40" xfId="0" applyFill="1" applyBorder="1">
      <alignment vertical="center"/>
    </xf>
    <xf numFmtId="0" fontId="0" fillId="0" borderId="41" xfId="0" applyFill="1" applyBorder="1">
      <alignment vertical="center"/>
    </xf>
    <xf numFmtId="0" fontId="0" fillId="0" borderId="42" xfId="0" applyFill="1" applyBorder="1">
      <alignment vertical="center"/>
    </xf>
    <xf numFmtId="0" fontId="0" fillId="0" borderId="43" xfId="0" applyFill="1" applyBorder="1">
      <alignment vertical="center"/>
    </xf>
    <xf numFmtId="0" fontId="0" fillId="0" borderId="44" xfId="0" applyFill="1" applyBorder="1">
      <alignment vertical="center"/>
    </xf>
    <xf numFmtId="49" fontId="0" fillId="0" borderId="13" xfId="0" applyNumberFormat="1" applyBorder="1">
      <alignment vertical="center"/>
    </xf>
    <xf numFmtId="56" fontId="0" fillId="0" borderId="13" xfId="0" applyNumberFormat="1" applyBorder="1">
      <alignment vertical="center"/>
    </xf>
    <xf numFmtId="49" fontId="0" fillId="0" borderId="32" xfId="0" applyNumberFormat="1" applyBorder="1">
      <alignment vertical="center"/>
    </xf>
    <xf numFmtId="0" fontId="0" fillId="0" borderId="45" xfId="0" applyBorder="1">
      <alignment vertical="center"/>
    </xf>
    <xf numFmtId="0" fontId="0" fillId="0" borderId="46" xfId="0" applyBorder="1">
      <alignment vertical="center"/>
    </xf>
    <xf numFmtId="49" fontId="0" fillId="0" borderId="46" xfId="0" applyNumberFormat="1" applyBorder="1">
      <alignment vertical="center"/>
    </xf>
    <xf numFmtId="0" fontId="0" fillId="0" borderId="47" xfId="0" applyBorder="1">
      <alignment vertical="center"/>
    </xf>
    <xf numFmtId="49" fontId="0" fillId="0" borderId="6" xfId="0" applyNumberFormat="1" applyBorder="1">
      <alignment vertical="center"/>
    </xf>
    <xf numFmtId="49" fontId="0" fillId="0" borderId="9" xfId="0" applyNumberFormat="1" applyBorder="1">
      <alignment vertical="center"/>
    </xf>
    <xf numFmtId="49" fontId="0" fillId="0" borderId="15" xfId="0" applyNumberFormat="1" applyBorder="1">
      <alignment vertical="center"/>
    </xf>
    <xf numFmtId="49" fontId="0" fillId="0" borderId="7" xfId="0" applyNumberFormat="1" applyBorder="1">
      <alignment vertical="center"/>
    </xf>
    <xf numFmtId="49" fontId="0" fillId="0" borderId="10" xfId="0" applyNumberFormat="1" applyBorder="1">
      <alignment vertical="center"/>
    </xf>
    <xf numFmtId="49" fontId="0" fillId="0" borderId="13" xfId="0" applyNumberFormat="1" applyFill="1" applyBorder="1">
      <alignment vertical="center"/>
    </xf>
    <xf numFmtId="49" fontId="0" fillId="0" borderId="15" xfId="0" applyNumberFormat="1" applyFill="1" applyBorder="1">
      <alignment vertical="center"/>
    </xf>
    <xf numFmtId="0" fontId="0" fillId="0" borderId="35" xfId="0" applyBorder="1">
      <alignment vertical="center"/>
    </xf>
    <xf numFmtId="0" fontId="0" fillId="0" borderId="36" xfId="0" applyBorder="1">
      <alignment vertical="center"/>
    </xf>
    <xf numFmtId="49" fontId="0" fillId="0" borderId="10" xfId="0" applyNumberFormat="1" applyFill="1" applyBorder="1">
      <alignment vertical="center"/>
    </xf>
    <xf numFmtId="0" fontId="0" fillId="0" borderId="0" xfId="0" applyAlignment="1">
      <alignment horizontal="left" vertical="center"/>
    </xf>
    <xf numFmtId="0" fontId="0" fillId="0" borderId="13" xfId="0" applyBorder="1" applyAlignment="1">
      <alignment horizontal="left" vertical="center"/>
    </xf>
    <xf numFmtId="0" fontId="0" fillId="2" borderId="15" xfId="0" applyFill="1" applyBorder="1">
      <alignment vertical="center"/>
    </xf>
    <xf numFmtId="0" fontId="0" fillId="2" borderId="10" xfId="0" applyFill="1" applyBorder="1">
      <alignment vertical="center"/>
    </xf>
    <xf numFmtId="49" fontId="0" fillId="2" borderId="15" xfId="0" applyNumberFormat="1" applyFill="1" applyBorder="1">
      <alignment vertical="center"/>
    </xf>
    <xf numFmtId="0" fontId="0" fillId="2" borderId="7" xfId="0" applyFill="1" applyBorder="1">
      <alignment vertical="center"/>
    </xf>
    <xf numFmtId="0" fontId="0" fillId="0" borderId="52" xfId="0" applyBorder="1">
      <alignment vertical="center"/>
    </xf>
    <xf numFmtId="0" fontId="0" fillId="0" borderId="53" xfId="0" applyBorder="1">
      <alignment vertical="center"/>
    </xf>
    <xf numFmtId="0" fontId="0" fillId="0" borderId="54" xfId="0" applyBorder="1">
      <alignment vertical="center"/>
    </xf>
    <xf numFmtId="0" fontId="0" fillId="0" borderId="55" xfId="0" applyBorder="1">
      <alignment vertical="center"/>
    </xf>
    <xf numFmtId="0" fontId="0" fillId="0" borderId="53" xfId="0" applyFill="1" applyBorder="1">
      <alignment vertical="center"/>
    </xf>
    <xf numFmtId="0" fontId="0" fillId="0" borderId="54" xfId="0" applyFill="1" applyBorder="1">
      <alignment vertical="center"/>
    </xf>
    <xf numFmtId="0" fontId="0" fillId="0" borderId="55" xfId="0" applyFill="1" applyBorder="1">
      <alignment vertical="center"/>
    </xf>
    <xf numFmtId="0" fontId="0" fillId="0" borderId="56" xfId="0" applyBorder="1">
      <alignment vertical="center"/>
    </xf>
    <xf numFmtId="49" fontId="0" fillId="0" borderId="22" xfId="0" applyNumberFormat="1" applyBorder="1">
      <alignment vertical="center"/>
    </xf>
    <xf numFmtId="0" fontId="0" fillId="0" borderId="58" xfId="0" applyBorder="1">
      <alignment vertical="center"/>
    </xf>
    <xf numFmtId="0" fontId="0" fillId="0" borderId="21" xfId="0" applyFill="1" applyBorder="1">
      <alignment vertical="center"/>
    </xf>
    <xf numFmtId="0" fontId="0" fillId="0" borderId="56" xfId="0" applyFill="1" applyBorder="1">
      <alignment vertical="center"/>
    </xf>
    <xf numFmtId="0" fontId="0" fillId="0" borderId="22" xfId="0" applyFill="1" applyBorder="1">
      <alignment vertical="center"/>
    </xf>
    <xf numFmtId="49" fontId="0" fillId="0" borderId="36" xfId="0" applyNumberFormat="1" applyFill="1" applyBorder="1">
      <alignment vertical="center"/>
    </xf>
    <xf numFmtId="49" fontId="0" fillId="0" borderId="57" xfId="0" applyNumberFormat="1" applyBorder="1">
      <alignment vertical="center"/>
    </xf>
    <xf numFmtId="0" fontId="0" fillId="2" borderId="57" xfId="0" applyFill="1" applyBorder="1">
      <alignment vertical="center"/>
    </xf>
    <xf numFmtId="0" fontId="0" fillId="0" borderId="57" xfId="0" applyBorder="1">
      <alignment vertical="center"/>
    </xf>
    <xf numFmtId="0" fontId="0" fillId="0" borderId="58" xfId="0" applyFill="1" applyBorder="1">
      <alignment vertical="center"/>
    </xf>
    <xf numFmtId="0" fontId="0" fillId="0" borderId="9" xfId="0" applyBorder="1" applyAlignment="1">
      <alignment horizontal="left" vertical="center"/>
    </xf>
    <xf numFmtId="0" fontId="0" fillId="0" borderId="22" xfId="0" applyBorder="1" applyAlignment="1">
      <alignment horizontal="left" vertical="center"/>
    </xf>
    <xf numFmtId="0" fontId="0" fillId="0" borderId="32" xfId="0" applyBorder="1" applyAlignment="1">
      <alignment horizontal="left" vertical="center"/>
    </xf>
    <xf numFmtId="0" fontId="0" fillId="0" borderId="6" xfId="0" applyBorder="1" applyAlignment="1">
      <alignment horizontal="left" vertical="center"/>
    </xf>
    <xf numFmtId="0" fontId="0" fillId="0" borderId="63" xfId="0" applyBorder="1">
      <alignment vertical="center"/>
    </xf>
    <xf numFmtId="0" fontId="0" fillId="0" borderId="64" xfId="0" applyBorder="1">
      <alignment vertical="center"/>
    </xf>
    <xf numFmtId="0" fontId="0" fillId="0" borderId="64" xfId="0" applyBorder="1" applyAlignment="1">
      <alignment horizontal="left" vertical="center"/>
    </xf>
    <xf numFmtId="49" fontId="0" fillId="0" borderId="64" xfId="0" applyNumberFormat="1" applyBorder="1">
      <alignment vertical="center"/>
    </xf>
    <xf numFmtId="0" fontId="0" fillId="0" borderId="65" xfId="0" applyBorder="1">
      <alignment vertical="center"/>
    </xf>
    <xf numFmtId="0" fontId="0" fillId="0" borderId="46" xfId="0" applyBorder="1" applyAlignment="1">
      <alignment horizontal="left" vertical="center"/>
    </xf>
    <xf numFmtId="0" fontId="0" fillId="1" borderId="48" xfId="0" applyFill="1" applyBorder="1">
      <alignment vertical="center"/>
    </xf>
    <xf numFmtId="0" fontId="0" fillId="1" borderId="49" xfId="0" applyFill="1" applyBorder="1">
      <alignment vertical="center"/>
    </xf>
    <xf numFmtId="0" fontId="0" fillId="1" borderId="50" xfId="0" applyFill="1" applyBorder="1">
      <alignment vertical="center"/>
    </xf>
    <xf numFmtId="0" fontId="0" fillId="1" borderId="50" xfId="0" applyFill="1" applyBorder="1" applyAlignment="1">
      <alignment horizontal="left" vertical="center"/>
    </xf>
    <xf numFmtId="49" fontId="0" fillId="1" borderId="50" xfId="0" applyNumberFormat="1" applyFill="1" applyBorder="1">
      <alignment vertical="center"/>
    </xf>
    <xf numFmtId="0" fontId="0" fillId="1" borderId="51" xfId="0" applyFill="1" applyBorder="1">
      <alignment vertical="center"/>
    </xf>
    <xf numFmtId="0" fontId="0" fillId="1" borderId="60" xfId="0" applyFill="1" applyBorder="1">
      <alignment vertical="center"/>
    </xf>
    <xf numFmtId="0" fontId="0" fillId="1" borderId="33" xfId="0" applyFill="1" applyBorder="1">
      <alignment vertical="center"/>
    </xf>
    <xf numFmtId="0" fontId="0" fillId="1" borderId="58" xfId="0" applyFill="1" applyBorder="1">
      <alignment vertical="center"/>
    </xf>
    <xf numFmtId="0" fontId="0" fillId="1" borderId="59" xfId="0" applyFill="1" applyBorder="1">
      <alignment vertical="center"/>
    </xf>
    <xf numFmtId="0" fontId="0" fillId="1" borderId="31" xfId="0" applyFill="1" applyBorder="1" applyAlignment="1">
      <alignment horizontal="left" vertical="center"/>
    </xf>
    <xf numFmtId="0" fontId="0" fillId="1" borderId="31" xfId="0" applyFill="1" applyBorder="1">
      <alignment vertical="center"/>
    </xf>
    <xf numFmtId="49" fontId="0" fillId="1" borderId="31" xfId="0" applyNumberFormat="1" applyFill="1" applyBorder="1">
      <alignment vertical="center"/>
    </xf>
    <xf numFmtId="0" fontId="0" fillId="1" borderId="61" xfId="0" applyFill="1" applyBorder="1">
      <alignment vertical="center"/>
    </xf>
    <xf numFmtId="0" fontId="0" fillId="1" borderId="37" xfId="0" applyFill="1" applyBorder="1">
      <alignment vertical="center"/>
    </xf>
    <xf numFmtId="0" fontId="0" fillId="1" borderId="62" xfId="0" applyFill="1" applyBorder="1">
      <alignment vertical="center"/>
    </xf>
    <xf numFmtId="0" fontId="0" fillId="1" borderId="53" xfId="0" applyFill="1" applyBorder="1">
      <alignment vertical="center"/>
    </xf>
    <xf numFmtId="49" fontId="0" fillId="0" borderId="0" xfId="0" applyNumberFormat="1" applyBorder="1">
      <alignment vertical="center"/>
    </xf>
    <xf numFmtId="0" fontId="0" fillId="0" borderId="0" xfId="0" applyNumberFormat="1" applyBorder="1">
      <alignment vertical="center"/>
    </xf>
    <xf numFmtId="0" fontId="0" fillId="0" borderId="11" xfId="0" applyFill="1" applyBorder="1">
      <alignment vertical="center"/>
    </xf>
    <xf numFmtId="0" fontId="0" fillId="0" borderId="19" xfId="0" applyFill="1" applyBorder="1">
      <alignment vertical="center"/>
    </xf>
    <xf numFmtId="49" fontId="0" fillId="0" borderId="11" xfId="0" applyNumberFormat="1" applyFill="1" applyBorder="1">
      <alignment vertical="center"/>
    </xf>
    <xf numFmtId="0" fontId="0" fillId="0" borderId="60" xfId="0" applyFill="1" applyBorder="1">
      <alignment vertical="center"/>
    </xf>
    <xf numFmtId="49" fontId="0" fillId="0" borderId="19" xfId="0" applyNumberFormat="1" applyFill="1" applyBorder="1">
      <alignment vertical="center"/>
    </xf>
    <xf numFmtId="49" fontId="0" fillId="0" borderId="20" xfId="0" applyNumberFormat="1" applyFill="1" applyBorder="1">
      <alignment vertical="center"/>
    </xf>
    <xf numFmtId="0" fontId="0" fillId="0" borderId="66" xfId="0" applyFill="1" applyBorder="1">
      <alignment vertical="center"/>
    </xf>
    <xf numFmtId="0" fontId="0" fillId="0" borderId="67" xfId="0" applyFill="1" applyBorder="1">
      <alignment vertical="center"/>
    </xf>
    <xf numFmtId="0" fontId="0" fillId="0" borderId="12" xfId="0" applyFill="1" applyBorder="1">
      <alignment vertical="center"/>
    </xf>
    <xf numFmtId="0" fontId="0" fillId="0" borderId="20" xfId="0" applyFill="1" applyBorder="1">
      <alignment vertical="center"/>
    </xf>
    <xf numFmtId="0" fontId="0" fillId="0" borderId="62" xfId="0" applyFill="1" applyBorder="1">
      <alignment vertical="center"/>
    </xf>
    <xf numFmtId="49" fontId="0" fillId="0" borderId="12" xfId="0" applyNumberFormat="1" applyFill="1" applyBorder="1">
      <alignment vertical="center"/>
    </xf>
    <xf numFmtId="0" fontId="0" fillId="0" borderId="33" xfId="0" applyFill="1" applyBorder="1">
      <alignment vertical="center"/>
    </xf>
    <xf numFmtId="0" fontId="0" fillId="0" borderId="25" xfId="0" applyFill="1" applyBorder="1">
      <alignment vertical="center"/>
    </xf>
    <xf numFmtId="0" fontId="0" fillId="0" borderId="69" xfId="0" applyFill="1" applyBorder="1">
      <alignment vertical="center"/>
    </xf>
    <xf numFmtId="49" fontId="0" fillId="0" borderId="42" xfId="0" applyNumberFormat="1" applyFill="1" applyBorder="1">
      <alignment vertical="center"/>
    </xf>
    <xf numFmtId="49" fontId="0" fillId="0" borderId="62" xfId="0" applyNumberFormat="1" applyFill="1" applyBorder="1">
      <alignment vertical="center"/>
    </xf>
    <xf numFmtId="49" fontId="0" fillId="0" borderId="70" xfId="0" applyNumberFormat="1" applyFill="1" applyBorder="1">
      <alignment vertical="center"/>
    </xf>
    <xf numFmtId="49" fontId="0" fillId="0" borderId="60" xfId="0" applyNumberFormat="1" applyFill="1" applyBorder="1">
      <alignment vertical="center"/>
    </xf>
    <xf numFmtId="49" fontId="0" fillId="0" borderId="44" xfId="0" applyNumberFormat="1" applyFill="1" applyBorder="1">
      <alignment vertical="center"/>
    </xf>
    <xf numFmtId="49" fontId="0" fillId="0" borderId="43" xfId="0" applyNumberFormat="1" applyFill="1" applyBorder="1">
      <alignment vertical="center"/>
    </xf>
    <xf numFmtId="49" fontId="0" fillId="0" borderId="41" xfId="0" applyNumberFormat="1" applyFill="1" applyBorder="1">
      <alignment vertical="center"/>
    </xf>
    <xf numFmtId="49" fontId="0" fillId="0" borderId="25" xfId="0" applyNumberFormat="1" applyFill="1" applyBorder="1">
      <alignment vertical="center"/>
    </xf>
    <xf numFmtId="49" fontId="0" fillId="0" borderId="69" xfId="0" applyNumberFormat="1" applyFill="1" applyBorder="1">
      <alignment vertical="center"/>
    </xf>
    <xf numFmtId="0" fontId="0" fillId="0" borderId="71" xfId="0" applyFill="1" applyBorder="1">
      <alignment vertical="center"/>
    </xf>
    <xf numFmtId="0" fontId="0" fillId="0" borderId="70" xfId="0" applyFill="1" applyBorder="1">
      <alignment vertical="center"/>
    </xf>
    <xf numFmtId="0" fontId="0" fillId="0" borderId="34" xfId="0" applyFill="1" applyBorder="1">
      <alignment vertical="center"/>
    </xf>
    <xf numFmtId="49" fontId="0" fillId="0" borderId="33" xfId="0" applyNumberFormat="1" applyFill="1" applyBorder="1">
      <alignment vertical="center"/>
    </xf>
    <xf numFmtId="49" fontId="0" fillId="0" borderId="34" xfId="0" applyNumberFormat="1" applyFill="1" applyBorder="1">
      <alignment vertical="center"/>
    </xf>
    <xf numFmtId="9" fontId="0" fillId="0" borderId="15" xfId="1" applyFont="1" applyBorder="1">
      <alignment vertical="center"/>
    </xf>
    <xf numFmtId="0" fontId="0" fillId="0" borderId="37" xfId="0" applyBorder="1">
      <alignment vertical="center"/>
    </xf>
    <xf numFmtId="0" fontId="0" fillId="0" borderId="38" xfId="0" applyBorder="1">
      <alignment vertical="center"/>
    </xf>
    <xf numFmtId="0" fontId="0" fillId="0" borderId="39" xfId="0" applyBorder="1">
      <alignment vertical="center"/>
    </xf>
    <xf numFmtId="0" fontId="0" fillId="0" borderId="72" xfId="0" applyBorder="1">
      <alignment vertical="center"/>
    </xf>
    <xf numFmtId="0" fontId="0" fillId="0" borderId="68" xfId="0" applyBorder="1">
      <alignment vertical="center"/>
    </xf>
    <xf numFmtId="9" fontId="0" fillId="0" borderId="57" xfId="1" applyFont="1" applyBorder="1">
      <alignment vertical="center"/>
    </xf>
  </cellXfs>
  <cellStyles count="2">
    <cellStyle name="パーセント" xfId="1" builtinId="5"/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​​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U271"/>
  <sheetViews>
    <sheetView tabSelected="1" topLeftCell="A73" workbookViewId="0">
      <selection activeCell="D106" sqref="D106"/>
    </sheetView>
  </sheetViews>
  <sheetFormatPr defaultRowHeight="13.5"/>
  <cols>
    <col min="1" max="1" width="5.625" bestFit="1" customWidth="1"/>
    <col min="2" max="2" width="8.25" style="31" bestFit="1" customWidth="1"/>
    <col min="3" max="9" width="5" style="31" customWidth="1"/>
    <col min="10" max="10" width="5" customWidth="1"/>
    <col min="11" max="11" width="5.25" bestFit="1" customWidth="1"/>
    <col min="12" max="12" width="7.125" bestFit="1" customWidth="1"/>
    <col min="13" max="16" width="5.25" bestFit="1" customWidth="1"/>
    <col min="17" max="17" width="5.5" bestFit="1" customWidth="1"/>
    <col min="18" max="22" width="5.25" bestFit="1" customWidth="1"/>
  </cols>
  <sheetData>
    <row r="1" spans="1:10" s="31" customFormat="1">
      <c r="A1" s="31" t="s">
        <v>403</v>
      </c>
      <c r="B1" s="31" t="s">
        <v>404</v>
      </c>
      <c r="J1" s="31">
        <v>295</v>
      </c>
    </row>
    <row r="2" spans="1:10" s="31" customFormat="1">
      <c r="A2" s="31" t="s">
        <v>401</v>
      </c>
      <c r="B2" s="31" t="s">
        <v>402</v>
      </c>
      <c r="J2" s="31">
        <v>302</v>
      </c>
    </row>
    <row r="3" spans="1:10" s="31" customFormat="1">
      <c r="A3" s="31" t="s">
        <v>397</v>
      </c>
      <c r="B3" s="32" t="s">
        <v>400</v>
      </c>
      <c r="J3" s="31">
        <v>302</v>
      </c>
    </row>
    <row r="4" spans="1:10" s="31" customFormat="1">
      <c r="A4" s="31" t="s">
        <v>413</v>
      </c>
      <c r="B4" s="32" t="s">
        <v>414</v>
      </c>
      <c r="J4" s="31">
        <v>92</v>
      </c>
    </row>
    <row r="5" spans="1:10" s="31" customFormat="1">
      <c r="A5" s="31" t="s">
        <v>415</v>
      </c>
      <c r="B5" s="32" t="s">
        <v>416</v>
      </c>
      <c r="J5" s="31">
        <v>100</v>
      </c>
    </row>
    <row r="6" spans="1:10">
      <c r="A6" s="31" t="s">
        <v>398</v>
      </c>
      <c r="B6" s="31" t="s">
        <v>399</v>
      </c>
      <c r="J6">
        <v>306</v>
      </c>
    </row>
    <row r="7" spans="1:10" s="31" customFormat="1">
      <c r="A7" s="31" t="s">
        <v>417</v>
      </c>
      <c r="B7" s="32" t="s">
        <v>418</v>
      </c>
      <c r="J7" s="31">
        <v>310</v>
      </c>
    </row>
    <row r="8" spans="1:10" s="31" customFormat="1">
      <c r="A8" s="31" t="s">
        <v>419</v>
      </c>
      <c r="B8" s="32" t="s">
        <v>420</v>
      </c>
      <c r="J8" s="31">
        <v>119</v>
      </c>
    </row>
    <row r="9" spans="1:10" s="31" customFormat="1">
      <c r="A9" s="31" t="s">
        <v>421</v>
      </c>
      <c r="B9" s="32" t="s">
        <v>422</v>
      </c>
      <c r="J9" s="31">
        <v>187</v>
      </c>
    </row>
    <row r="10" spans="1:10">
      <c r="A10" s="31" t="s">
        <v>386</v>
      </c>
      <c r="B10" s="31" t="s">
        <v>396</v>
      </c>
      <c r="J10">
        <v>378</v>
      </c>
    </row>
    <row r="11" spans="1:10" s="31" customFormat="1">
      <c r="A11" s="31" t="s">
        <v>425</v>
      </c>
      <c r="B11" s="32" t="s">
        <v>426</v>
      </c>
      <c r="J11" s="31">
        <v>383</v>
      </c>
    </row>
    <row r="12" spans="1:10">
      <c r="A12" t="s">
        <v>390</v>
      </c>
      <c r="B12" s="31" t="s">
        <v>392</v>
      </c>
      <c r="J12">
        <v>125</v>
      </c>
    </row>
    <row r="13" spans="1:10" s="31" customFormat="1">
      <c r="A13" s="31" t="s">
        <v>423</v>
      </c>
      <c r="B13" s="32" t="s">
        <v>424</v>
      </c>
      <c r="J13" s="31">
        <v>140</v>
      </c>
    </row>
    <row r="14" spans="1:10" s="31" customFormat="1">
      <c r="A14" s="31" t="s">
        <v>427</v>
      </c>
      <c r="B14" s="32" t="s">
        <v>428</v>
      </c>
      <c r="J14" s="31">
        <v>144</v>
      </c>
    </row>
    <row r="15" spans="1:10" s="31" customFormat="1">
      <c r="A15" s="31" t="s">
        <v>429</v>
      </c>
      <c r="B15" s="32" t="s">
        <v>430</v>
      </c>
      <c r="J15" s="31">
        <v>350</v>
      </c>
    </row>
    <row r="16" spans="1:10" s="31" customFormat="1">
      <c r="A16" s="31" t="s">
        <v>431</v>
      </c>
      <c r="B16" s="32" t="s">
        <v>432</v>
      </c>
      <c r="J16" s="31">
        <v>167</v>
      </c>
    </row>
    <row r="17" spans="1:10">
      <c r="A17" s="31" t="s">
        <v>387</v>
      </c>
      <c r="B17" s="31" t="s">
        <v>391</v>
      </c>
      <c r="J17">
        <v>449</v>
      </c>
    </row>
    <row r="18" spans="1:10" s="31" customFormat="1">
      <c r="A18" s="31" t="s">
        <v>433</v>
      </c>
      <c r="B18" s="32" t="s">
        <v>434</v>
      </c>
      <c r="J18" s="31">
        <v>167</v>
      </c>
    </row>
    <row r="19" spans="1:10" s="31" customFormat="1">
      <c r="A19" s="31" t="s">
        <v>435</v>
      </c>
      <c r="B19" s="32" t="s">
        <v>436</v>
      </c>
      <c r="J19" s="31">
        <v>350</v>
      </c>
    </row>
    <row r="20" spans="1:10" s="31" customFormat="1">
      <c r="A20" s="31" t="s">
        <v>437</v>
      </c>
      <c r="B20" s="32" t="s">
        <v>438</v>
      </c>
      <c r="J20" s="31">
        <v>143</v>
      </c>
    </row>
    <row r="21" spans="1:10" s="31" customFormat="1">
      <c r="A21" s="31" t="s">
        <v>439</v>
      </c>
      <c r="B21" s="32" t="s">
        <v>440</v>
      </c>
      <c r="J21" s="31">
        <v>143</v>
      </c>
    </row>
    <row r="22" spans="1:10" s="31" customFormat="1">
      <c r="A22" s="31" t="s">
        <v>441</v>
      </c>
      <c r="B22" s="32" t="s">
        <v>442</v>
      </c>
      <c r="J22" s="31">
        <v>350</v>
      </c>
    </row>
    <row r="23" spans="1:10" s="31" customFormat="1">
      <c r="A23" s="31" t="s">
        <v>443</v>
      </c>
      <c r="B23" s="32" t="s">
        <v>444</v>
      </c>
      <c r="J23" s="31">
        <v>143</v>
      </c>
    </row>
    <row r="24" spans="1:10">
      <c r="A24" s="31" t="s">
        <v>388</v>
      </c>
      <c r="B24" s="31" t="s">
        <v>393</v>
      </c>
      <c r="J24">
        <v>350</v>
      </c>
    </row>
    <row r="25" spans="1:10" s="31" customFormat="1">
      <c r="A25" s="31" t="s">
        <v>445</v>
      </c>
      <c r="B25" s="32" t="s">
        <v>446</v>
      </c>
      <c r="J25" s="31">
        <v>143</v>
      </c>
    </row>
    <row r="26" spans="1:10" s="31" customFormat="1">
      <c r="A26" s="31" t="s">
        <v>447</v>
      </c>
      <c r="B26" s="32" t="s">
        <v>448</v>
      </c>
      <c r="J26" s="31">
        <v>350</v>
      </c>
    </row>
    <row r="27" spans="1:10" s="31" customFormat="1">
      <c r="A27" s="31" t="s">
        <v>449</v>
      </c>
      <c r="B27" s="32" t="s">
        <v>450</v>
      </c>
      <c r="J27" s="31">
        <v>143</v>
      </c>
    </row>
    <row r="28" spans="1:10" s="31" customFormat="1">
      <c r="A28" s="31" t="s">
        <v>451</v>
      </c>
      <c r="B28" s="32" t="s">
        <v>452</v>
      </c>
      <c r="J28" s="31">
        <v>143</v>
      </c>
    </row>
    <row r="29" spans="1:10" s="31" customFormat="1">
      <c r="A29" s="31" t="s">
        <v>453</v>
      </c>
      <c r="B29" s="32" t="s">
        <v>454</v>
      </c>
      <c r="J29" s="31">
        <v>350</v>
      </c>
    </row>
    <row r="30" spans="1:10" s="31" customFormat="1">
      <c r="A30" s="31" t="s">
        <v>455</v>
      </c>
      <c r="B30" s="32" t="s">
        <v>456</v>
      </c>
      <c r="J30" s="31">
        <v>143</v>
      </c>
    </row>
    <row r="31" spans="1:10">
      <c r="A31" s="31" t="s">
        <v>389</v>
      </c>
      <c r="B31" s="31" t="s">
        <v>394</v>
      </c>
      <c r="J31">
        <v>350</v>
      </c>
    </row>
    <row r="32" spans="1:10" s="31" customFormat="1">
      <c r="A32" s="31" t="s">
        <v>457</v>
      </c>
      <c r="B32" s="32" t="s">
        <v>458</v>
      </c>
      <c r="J32" s="31">
        <v>143</v>
      </c>
    </row>
    <row r="33" spans="1:10">
      <c r="A33" s="31" t="s">
        <v>338</v>
      </c>
      <c r="B33" s="32" t="s">
        <v>459</v>
      </c>
      <c r="J33" s="31">
        <v>350</v>
      </c>
    </row>
    <row r="34" spans="1:10">
      <c r="A34" s="31" t="s">
        <v>339</v>
      </c>
      <c r="B34" s="32" t="s">
        <v>460</v>
      </c>
      <c r="J34" s="31">
        <v>143</v>
      </c>
    </row>
    <row r="35" spans="1:10">
      <c r="A35" s="31" t="s">
        <v>340</v>
      </c>
      <c r="B35" s="32" t="s">
        <v>461</v>
      </c>
      <c r="J35" s="31">
        <v>143</v>
      </c>
    </row>
    <row r="36" spans="1:10">
      <c r="A36" s="31" t="s">
        <v>341</v>
      </c>
      <c r="B36" s="32" t="s">
        <v>462</v>
      </c>
      <c r="J36" s="31">
        <v>350</v>
      </c>
    </row>
    <row r="37" spans="1:10">
      <c r="A37" s="31" t="s">
        <v>342</v>
      </c>
      <c r="B37" s="32" t="s">
        <v>463</v>
      </c>
      <c r="J37" s="31">
        <v>145</v>
      </c>
    </row>
    <row r="38" spans="1:10">
      <c r="A38" s="31" t="s">
        <v>343</v>
      </c>
      <c r="B38" s="32" t="s">
        <v>464</v>
      </c>
      <c r="J38" s="31">
        <v>143</v>
      </c>
    </row>
    <row r="39" spans="1:10">
      <c r="A39" t="s">
        <v>385</v>
      </c>
      <c r="B39" s="31" t="s">
        <v>395</v>
      </c>
      <c r="J39">
        <v>357</v>
      </c>
    </row>
    <row r="40" spans="1:10">
      <c r="A40" s="31" t="s">
        <v>344</v>
      </c>
      <c r="B40" s="32" t="s">
        <v>465</v>
      </c>
      <c r="J40" s="31">
        <v>306</v>
      </c>
    </row>
    <row r="41" spans="1:10">
      <c r="A41" s="31" t="s">
        <v>345</v>
      </c>
      <c r="B41" s="32" t="s">
        <v>466</v>
      </c>
      <c r="J41" s="31">
        <v>165</v>
      </c>
    </row>
    <row r="42" spans="1:10">
      <c r="A42" s="31" t="s">
        <v>346</v>
      </c>
      <c r="B42" s="32" t="s">
        <v>467</v>
      </c>
      <c r="J42" s="31">
        <v>165</v>
      </c>
    </row>
    <row r="43" spans="1:10">
      <c r="A43" s="31" t="s">
        <v>347</v>
      </c>
      <c r="B43" s="32" t="s">
        <v>468</v>
      </c>
      <c r="J43" s="31">
        <v>306</v>
      </c>
    </row>
    <row r="44" spans="1:10">
      <c r="A44" s="31" t="s">
        <v>348</v>
      </c>
      <c r="B44" s="32" t="s">
        <v>469</v>
      </c>
      <c r="J44" s="31">
        <v>165</v>
      </c>
    </row>
    <row r="45" spans="1:10">
      <c r="A45" s="31" t="s">
        <v>278</v>
      </c>
      <c r="B45" s="32" t="s">
        <v>470</v>
      </c>
      <c r="J45" s="31">
        <v>165</v>
      </c>
    </row>
    <row r="46" spans="1:10">
      <c r="A46" s="31" t="s">
        <v>351</v>
      </c>
      <c r="B46" s="31" t="s">
        <v>384</v>
      </c>
      <c r="J46" s="31">
        <v>359</v>
      </c>
    </row>
    <row r="47" spans="1:10">
      <c r="A47" s="31" t="s">
        <v>279</v>
      </c>
      <c r="B47" s="32" t="s">
        <v>471</v>
      </c>
      <c r="J47" s="31">
        <v>306</v>
      </c>
    </row>
    <row r="48" spans="1:10">
      <c r="A48" s="31" t="s">
        <v>349</v>
      </c>
      <c r="B48" s="32" t="s">
        <v>472</v>
      </c>
      <c r="J48" s="31">
        <v>165</v>
      </c>
    </row>
    <row r="49" spans="1:12">
      <c r="A49" s="31" t="s">
        <v>350</v>
      </c>
      <c r="B49" s="32" t="s">
        <v>473</v>
      </c>
      <c r="J49" s="31">
        <v>180</v>
      </c>
    </row>
    <row r="50" spans="1:12" s="31" customFormat="1">
      <c r="A50" s="31" t="s">
        <v>382</v>
      </c>
      <c r="B50" s="4" t="s">
        <v>383</v>
      </c>
      <c r="J50" s="31">
        <v>155</v>
      </c>
    </row>
    <row r="51" spans="1:12">
      <c r="A51" s="31" t="s">
        <v>352</v>
      </c>
      <c r="B51" s="32" t="s">
        <v>474</v>
      </c>
      <c r="J51" s="31">
        <v>301</v>
      </c>
    </row>
    <row r="52" spans="1:12">
      <c r="A52" s="31" t="s">
        <v>353</v>
      </c>
      <c r="B52" s="32" t="s">
        <v>475</v>
      </c>
      <c r="J52" s="31">
        <v>165</v>
      </c>
    </row>
    <row r="53" spans="1:12">
      <c r="A53" s="31" t="s">
        <v>354</v>
      </c>
      <c r="B53" s="32" t="s">
        <v>476</v>
      </c>
      <c r="J53" s="31">
        <v>180</v>
      </c>
    </row>
    <row r="54" spans="1:12">
      <c r="A54" s="31" t="s">
        <v>359</v>
      </c>
      <c r="B54" s="31" t="s">
        <v>405</v>
      </c>
      <c r="J54" s="31">
        <v>383</v>
      </c>
    </row>
    <row r="55" spans="1:12">
      <c r="A55" s="31" t="s">
        <v>355</v>
      </c>
      <c r="B55" s="32" t="s">
        <v>477</v>
      </c>
      <c r="J55" s="31">
        <v>301</v>
      </c>
    </row>
    <row r="56" spans="1:12">
      <c r="A56" s="31" t="s">
        <v>356</v>
      </c>
      <c r="B56" s="32" t="s">
        <v>478</v>
      </c>
      <c r="J56" s="31">
        <v>150</v>
      </c>
    </row>
    <row r="57" spans="1:12">
      <c r="A57" s="31" t="s">
        <v>357</v>
      </c>
      <c r="B57" s="4" t="s">
        <v>479</v>
      </c>
      <c r="J57" s="31">
        <v>301</v>
      </c>
    </row>
    <row r="58" spans="1:12">
      <c r="A58" s="31" t="s">
        <v>358</v>
      </c>
      <c r="B58" s="32" t="s">
        <v>480</v>
      </c>
      <c r="J58" s="31">
        <v>180</v>
      </c>
    </row>
    <row r="59" spans="1:12">
      <c r="A59" s="31" t="s">
        <v>280</v>
      </c>
      <c r="B59" s="32" t="s">
        <v>481</v>
      </c>
      <c r="J59" s="31">
        <v>249</v>
      </c>
    </row>
    <row r="60" spans="1:12">
      <c r="A60" s="31" t="s">
        <v>360</v>
      </c>
      <c r="B60" s="32" t="s">
        <v>482</v>
      </c>
      <c r="J60" s="31">
        <v>145</v>
      </c>
    </row>
    <row r="61" spans="1:12">
      <c r="A61" s="31" t="s">
        <v>361</v>
      </c>
      <c r="B61" s="32" t="s">
        <v>483</v>
      </c>
      <c r="J61" s="31">
        <v>145</v>
      </c>
    </row>
    <row r="62" spans="1:12">
      <c r="A62" s="31" t="s">
        <v>220</v>
      </c>
      <c r="B62" s="31" t="s">
        <v>406</v>
      </c>
      <c r="J62" s="31">
        <v>249</v>
      </c>
    </row>
    <row r="63" spans="1:12">
      <c r="A63" s="31" t="s">
        <v>281</v>
      </c>
      <c r="B63" s="4" t="s">
        <v>484</v>
      </c>
      <c r="J63" s="31">
        <v>249</v>
      </c>
      <c r="K63" s="31"/>
      <c r="L63" s="31"/>
    </row>
    <row r="64" spans="1:12">
      <c r="A64" s="31" t="s">
        <v>362</v>
      </c>
      <c r="B64" s="32" t="s">
        <v>485</v>
      </c>
      <c r="J64" s="31">
        <v>145</v>
      </c>
      <c r="K64" s="31"/>
      <c r="L64" s="31"/>
    </row>
    <row r="65" spans="1:21">
      <c r="A65" s="31" t="s">
        <v>363</v>
      </c>
      <c r="B65" s="4" t="s">
        <v>486</v>
      </c>
      <c r="J65" s="31">
        <v>248</v>
      </c>
      <c r="K65" s="31"/>
      <c r="L65" s="31"/>
    </row>
    <row r="66" spans="1:21">
      <c r="A66" s="31" t="s">
        <v>221</v>
      </c>
      <c r="B66" s="31" t="s">
        <v>407</v>
      </c>
      <c r="J66" s="31">
        <v>249</v>
      </c>
      <c r="K66" s="31"/>
      <c r="L66" s="31">
        <v>1679</v>
      </c>
    </row>
    <row r="67" spans="1:21">
      <c r="A67" s="31" t="s">
        <v>364</v>
      </c>
      <c r="B67" s="31" t="s">
        <v>487</v>
      </c>
      <c r="J67" s="31">
        <v>249</v>
      </c>
      <c r="K67" s="31"/>
      <c r="L67" s="31"/>
    </row>
    <row r="68" spans="1:21">
      <c r="A68" s="31" t="s">
        <v>365</v>
      </c>
      <c r="B68" s="31" t="s">
        <v>488</v>
      </c>
      <c r="J68" s="31">
        <v>155</v>
      </c>
      <c r="K68" s="31"/>
      <c r="L68" s="31"/>
    </row>
    <row r="69" spans="1:21">
      <c r="A69" s="31" t="s">
        <v>366</v>
      </c>
      <c r="B69" s="31" t="s">
        <v>489</v>
      </c>
      <c r="J69" s="31">
        <v>175</v>
      </c>
      <c r="K69" s="31"/>
      <c r="L69" s="31"/>
    </row>
    <row r="70" spans="1:21">
      <c r="A70" s="31" t="s">
        <v>222</v>
      </c>
      <c r="B70" s="31" t="s">
        <v>408</v>
      </c>
      <c r="J70" s="31">
        <v>249</v>
      </c>
      <c r="K70" s="31"/>
      <c r="L70" s="31">
        <v>1719</v>
      </c>
    </row>
    <row r="71" spans="1:21">
      <c r="A71" s="31" t="s">
        <v>367</v>
      </c>
      <c r="B71" s="31" t="s">
        <v>490</v>
      </c>
      <c r="G71" s="31">
        <v>20</v>
      </c>
      <c r="J71" s="31">
        <v>264</v>
      </c>
      <c r="K71" s="31"/>
      <c r="L71" s="31"/>
    </row>
    <row r="72" spans="1:21">
      <c r="A72" s="31" t="s">
        <v>368</v>
      </c>
      <c r="B72" s="31" t="s">
        <v>491</v>
      </c>
      <c r="G72" s="31">
        <v>13</v>
      </c>
      <c r="J72" s="31">
        <v>158</v>
      </c>
      <c r="K72" s="31"/>
      <c r="L72" s="31"/>
    </row>
    <row r="73" spans="1:21">
      <c r="A73" s="31" t="s">
        <v>369</v>
      </c>
      <c r="B73" s="4" t="s">
        <v>492</v>
      </c>
      <c r="J73" s="31">
        <v>244</v>
      </c>
      <c r="K73" s="31"/>
      <c r="L73" s="31"/>
    </row>
    <row r="74" spans="1:21">
      <c r="A74" s="31" t="s">
        <v>223</v>
      </c>
      <c r="B74" s="31" t="s">
        <v>409</v>
      </c>
      <c r="I74" s="31">
        <f>SUM(C74:H74)</f>
        <v>0</v>
      </c>
      <c r="J74" s="31">
        <v>249</v>
      </c>
      <c r="K74" s="31"/>
      <c r="L74" s="31">
        <v>1743</v>
      </c>
    </row>
    <row r="75" spans="1:21">
      <c r="A75" s="31" t="s">
        <v>370</v>
      </c>
      <c r="B75" s="31" t="s">
        <v>493</v>
      </c>
      <c r="I75" s="31">
        <f>SUM(C75:H75)</f>
        <v>0</v>
      </c>
      <c r="J75" s="31">
        <v>274</v>
      </c>
      <c r="K75" s="31"/>
      <c r="L75" s="31"/>
    </row>
    <row r="76" spans="1:21">
      <c r="A76" s="31" t="s">
        <v>371</v>
      </c>
      <c r="B76" s="31" t="s">
        <v>494</v>
      </c>
      <c r="I76" s="31">
        <f>SUM(C76:H76)</f>
        <v>0</v>
      </c>
      <c r="J76" s="31">
        <v>249</v>
      </c>
      <c r="K76" s="31"/>
      <c r="L76" s="31"/>
    </row>
    <row r="77" spans="1:21">
      <c r="A77" s="31" t="s">
        <v>372</v>
      </c>
      <c r="B77" s="31" t="s">
        <v>495</v>
      </c>
      <c r="I77" s="31">
        <f>SUM(C77:H77)</f>
        <v>0</v>
      </c>
      <c r="J77" s="31">
        <v>156</v>
      </c>
      <c r="K77" s="31"/>
      <c r="L77" s="31"/>
    </row>
    <row r="78" spans="1:21">
      <c r="A78" s="31" t="s">
        <v>224</v>
      </c>
      <c r="B78" s="31" t="s">
        <v>410</v>
      </c>
      <c r="I78" s="31">
        <f>SUM(C78:H78)</f>
        <v>0</v>
      </c>
      <c r="J78" s="31">
        <v>249</v>
      </c>
      <c r="K78" s="31"/>
      <c r="L78" s="31">
        <v>1843</v>
      </c>
    </row>
    <row r="79" spans="1:21">
      <c r="A79" s="31" t="s">
        <v>282</v>
      </c>
      <c r="B79" s="31" t="s">
        <v>496</v>
      </c>
      <c r="C79" s="31">
        <v>101</v>
      </c>
      <c r="D79" s="31">
        <v>60</v>
      </c>
      <c r="E79" s="31">
        <v>53</v>
      </c>
      <c r="F79" s="31">
        <v>15</v>
      </c>
      <c r="H79" s="31">
        <v>20</v>
      </c>
      <c r="I79" s="31">
        <f t="shared" ref="I79:I84" si="0">SUM(C79:H79)</f>
        <v>249</v>
      </c>
      <c r="J79" s="31">
        <v>249</v>
      </c>
      <c r="K79" s="31"/>
      <c r="L79" s="31"/>
      <c r="M79" s="31"/>
      <c r="N79" s="31"/>
      <c r="O79" s="31"/>
      <c r="P79" s="31"/>
      <c r="Q79" s="31"/>
      <c r="R79" s="31"/>
      <c r="S79" s="31"/>
      <c r="T79" s="31"/>
    </row>
    <row r="80" spans="1:21">
      <c r="A80" s="31" t="s">
        <v>373</v>
      </c>
      <c r="B80" s="4" t="s">
        <v>497</v>
      </c>
      <c r="C80" s="31">
        <v>60</v>
      </c>
      <c r="D80" s="31">
        <v>60</v>
      </c>
      <c r="E80" s="31">
        <v>35</v>
      </c>
      <c r="F80" s="31">
        <v>10</v>
      </c>
      <c r="I80" s="31">
        <f t="shared" si="0"/>
        <v>165</v>
      </c>
      <c r="J80" s="31">
        <v>165</v>
      </c>
      <c r="K80" s="31"/>
      <c r="L80" s="31"/>
      <c r="M80" s="31"/>
      <c r="N80" s="31"/>
      <c r="O80" s="31"/>
      <c r="P80" s="31"/>
      <c r="Q80" s="31"/>
      <c r="R80" s="31"/>
      <c r="S80" s="31"/>
      <c r="T80" s="31"/>
      <c r="U80" s="31"/>
    </row>
    <row r="81" spans="1:21">
      <c r="A81" s="31" t="s">
        <v>374</v>
      </c>
      <c r="B81" s="31" t="s">
        <v>498</v>
      </c>
      <c r="C81" s="31">
        <v>60</v>
      </c>
      <c r="D81" s="31">
        <v>60</v>
      </c>
      <c r="E81" s="31">
        <v>35</v>
      </c>
      <c r="F81" s="31">
        <v>10</v>
      </c>
      <c r="I81" s="31">
        <f t="shared" si="0"/>
        <v>165</v>
      </c>
      <c r="J81" s="31">
        <v>165</v>
      </c>
      <c r="K81" s="31"/>
      <c r="L81" s="31"/>
      <c r="M81" s="31"/>
      <c r="N81" s="31"/>
      <c r="O81" s="31"/>
      <c r="P81" s="31"/>
      <c r="Q81" s="31"/>
      <c r="R81" s="31"/>
      <c r="S81" s="31"/>
      <c r="T81" s="31"/>
      <c r="U81" s="31"/>
    </row>
    <row r="82" spans="1:21">
      <c r="A82" s="31" t="s">
        <v>225</v>
      </c>
      <c r="B82" s="31" t="s">
        <v>411</v>
      </c>
      <c r="C82" s="31">
        <v>101</v>
      </c>
      <c r="D82" s="31">
        <v>80</v>
      </c>
      <c r="E82" s="31">
        <v>53</v>
      </c>
      <c r="F82" s="31">
        <v>15</v>
      </c>
      <c r="H82" s="31">
        <v>20</v>
      </c>
      <c r="I82" s="31">
        <f t="shared" si="0"/>
        <v>269</v>
      </c>
      <c r="J82" s="31">
        <v>269</v>
      </c>
      <c r="K82" s="31"/>
      <c r="L82" s="31"/>
      <c r="M82" s="31"/>
      <c r="N82" s="31"/>
      <c r="O82" s="31"/>
      <c r="P82" s="31"/>
      <c r="Q82" s="31">
        <v>1776</v>
      </c>
      <c r="R82" s="31"/>
      <c r="S82" s="31"/>
      <c r="T82" s="31"/>
      <c r="U82" s="31"/>
    </row>
    <row r="83" spans="1:21">
      <c r="A83" s="31" t="s">
        <v>283</v>
      </c>
      <c r="B83" s="31" t="s">
        <v>499</v>
      </c>
      <c r="C83" s="31">
        <v>101</v>
      </c>
      <c r="D83" s="31">
        <v>80</v>
      </c>
      <c r="E83" s="31">
        <v>53</v>
      </c>
      <c r="F83" s="31">
        <v>15</v>
      </c>
      <c r="H83" s="31">
        <v>20</v>
      </c>
      <c r="I83" s="31">
        <f t="shared" si="0"/>
        <v>269</v>
      </c>
      <c r="J83" s="31">
        <v>269</v>
      </c>
      <c r="K83" s="31"/>
      <c r="L83" s="31"/>
      <c r="M83" s="31"/>
      <c r="N83" s="31"/>
      <c r="O83" s="31"/>
      <c r="P83" s="31"/>
      <c r="Q83" s="31"/>
      <c r="R83" s="31"/>
      <c r="S83" s="31"/>
      <c r="T83" s="31"/>
      <c r="U83" s="31"/>
    </row>
    <row r="84" spans="1:21">
      <c r="A84" s="31" t="s">
        <v>375</v>
      </c>
      <c r="B84" s="31" t="s">
        <v>500</v>
      </c>
      <c r="C84" s="31">
        <v>70</v>
      </c>
      <c r="D84" s="31">
        <v>60</v>
      </c>
      <c r="E84" s="31">
        <v>35</v>
      </c>
      <c r="F84" s="31">
        <v>10</v>
      </c>
      <c r="H84" s="31">
        <v>10</v>
      </c>
      <c r="I84" s="31">
        <f t="shared" si="0"/>
        <v>185</v>
      </c>
      <c r="J84" s="31">
        <v>185</v>
      </c>
      <c r="K84" s="31"/>
      <c r="L84" s="31"/>
      <c r="M84" s="31"/>
      <c r="N84" s="31"/>
      <c r="O84" s="31"/>
      <c r="P84" s="31"/>
      <c r="Q84" s="31"/>
      <c r="R84" s="31"/>
      <c r="S84" s="31"/>
      <c r="T84" s="31"/>
      <c r="U84" s="31"/>
    </row>
    <row r="85" spans="1:21">
      <c r="A85" s="31" t="s">
        <v>376</v>
      </c>
      <c r="B85" s="31" t="s">
        <v>501</v>
      </c>
      <c r="C85">
        <v>101</v>
      </c>
      <c r="D85">
        <v>80</v>
      </c>
      <c r="E85">
        <v>53</v>
      </c>
      <c r="F85">
        <v>15</v>
      </c>
      <c r="H85">
        <v>15</v>
      </c>
      <c r="I85" s="31">
        <f>SUM(C85:H85)</f>
        <v>264</v>
      </c>
      <c r="J85" s="31">
        <v>264</v>
      </c>
      <c r="K85" s="31"/>
      <c r="L85" s="31"/>
      <c r="M85" s="31"/>
      <c r="N85" s="31"/>
      <c r="O85" s="31"/>
      <c r="P85" s="31"/>
      <c r="Q85" s="31"/>
      <c r="R85" s="31" t="s">
        <v>282</v>
      </c>
      <c r="S85" s="31" t="s">
        <v>376</v>
      </c>
      <c r="T85" s="31"/>
      <c r="U85" s="31"/>
    </row>
    <row r="86" spans="1:21">
      <c r="A86" s="31" t="s">
        <v>377</v>
      </c>
      <c r="B86" s="31" t="s">
        <v>412</v>
      </c>
      <c r="C86" s="31">
        <v>101</v>
      </c>
      <c r="D86" s="31">
        <v>80</v>
      </c>
      <c r="E86" s="31">
        <v>55</v>
      </c>
      <c r="F86" s="31">
        <v>11</v>
      </c>
      <c r="G86" s="31">
        <v>5</v>
      </c>
      <c r="H86" s="31">
        <v>20</v>
      </c>
      <c r="I86" s="31">
        <f>SUM(C86:H86)</f>
        <v>272</v>
      </c>
      <c r="J86" s="31">
        <v>272</v>
      </c>
      <c r="K86" s="31"/>
      <c r="L86" s="31">
        <f>SUM(C79:C86)</f>
        <v>695</v>
      </c>
      <c r="M86" s="31">
        <f>SUM(D79:D86)</f>
        <v>560</v>
      </c>
      <c r="N86" s="31">
        <f>SUM(E79:E86)</f>
        <v>372</v>
      </c>
      <c r="O86" s="31">
        <f>SUM(F79:F86)</f>
        <v>101</v>
      </c>
      <c r="P86" s="31"/>
      <c r="Q86" s="31">
        <v>1838</v>
      </c>
      <c r="R86" s="31" t="s">
        <v>282</v>
      </c>
      <c r="S86" s="31" t="s">
        <v>377</v>
      </c>
      <c r="T86" s="31">
        <v>5</v>
      </c>
      <c r="U86" s="31">
        <v>267</v>
      </c>
    </row>
    <row r="87" spans="1:21">
      <c r="A87" s="31" t="s">
        <v>378</v>
      </c>
      <c r="B87" s="31" t="s">
        <v>502</v>
      </c>
      <c r="C87" s="31">
        <v>101</v>
      </c>
      <c r="D87" s="31">
        <v>80</v>
      </c>
      <c r="E87" s="31">
        <v>53</v>
      </c>
      <c r="F87" s="31">
        <v>15</v>
      </c>
      <c r="H87" s="31">
        <v>25</v>
      </c>
      <c r="I87" s="31">
        <f t="shared" ref="I87:I101" si="1">SUM(C87:H87)</f>
        <v>274</v>
      </c>
      <c r="J87" s="31">
        <v>274</v>
      </c>
      <c r="K87" s="31"/>
      <c r="L87" s="14">
        <f>L86/$Q86</f>
        <v>0.3781284004352557</v>
      </c>
      <c r="M87" s="14">
        <f>M86/$Q86</f>
        <v>0.30467899891186073</v>
      </c>
      <c r="N87" s="14">
        <f>N86/$Q86</f>
        <v>0.20239390642002175</v>
      </c>
      <c r="O87" s="14">
        <f>O86/$Q86</f>
        <v>5.4951033732317738E-2</v>
      </c>
      <c r="P87" s="31"/>
      <c r="Q87" s="31"/>
      <c r="R87" s="31" t="s">
        <v>283</v>
      </c>
      <c r="S87" s="31" t="s">
        <v>378</v>
      </c>
      <c r="T87" s="31"/>
      <c r="U87" s="31"/>
    </row>
    <row r="88" spans="1:21">
      <c r="A88" s="31" t="s">
        <v>379</v>
      </c>
      <c r="B88" s="31" t="s">
        <v>503</v>
      </c>
      <c r="C88" s="31">
        <v>70</v>
      </c>
      <c r="D88" s="31">
        <v>60</v>
      </c>
      <c r="E88" s="31">
        <v>42</v>
      </c>
      <c r="F88" s="31">
        <v>12</v>
      </c>
      <c r="I88" s="31">
        <f t="shared" si="1"/>
        <v>184</v>
      </c>
      <c r="J88" s="31">
        <v>184</v>
      </c>
      <c r="K88" s="31"/>
      <c r="L88" s="31">
        <f>SUM(C83:C88)</f>
        <v>544</v>
      </c>
      <c r="M88" s="31">
        <f>SUM(D83:D88)</f>
        <v>440</v>
      </c>
      <c r="N88" s="31">
        <f>SUM(E83:E88)</f>
        <v>291</v>
      </c>
      <c r="O88" s="31">
        <f>SUM(F83:F88)</f>
        <v>78</v>
      </c>
      <c r="P88" s="31">
        <f>SUM(G83:G88)</f>
        <v>5</v>
      </c>
      <c r="Q88" s="31">
        <v>1448</v>
      </c>
      <c r="R88" s="31" t="s">
        <v>283</v>
      </c>
      <c r="S88" s="31" t="s">
        <v>379</v>
      </c>
      <c r="T88" s="31"/>
      <c r="U88" s="31"/>
    </row>
    <row r="89" spans="1:21">
      <c r="A89" s="31" t="s">
        <v>380</v>
      </c>
      <c r="B89" s="31" t="s">
        <v>504</v>
      </c>
      <c r="C89" s="31">
        <v>101</v>
      </c>
      <c r="D89" s="31">
        <v>80</v>
      </c>
      <c r="E89" s="31">
        <v>55</v>
      </c>
      <c r="F89" s="31">
        <v>13</v>
      </c>
      <c r="G89" s="31">
        <f>4+20+6+3</f>
        <v>33</v>
      </c>
      <c r="H89" s="31">
        <v>15</v>
      </c>
      <c r="I89" s="31">
        <f t="shared" si="1"/>
        <v>297</v>
      </c>
      <c r="J89" s="31">
        <v>297</v>
      </c>
      <c r="K89" s="31"/>
      <c r="L89" s="14">
        <f>L88/$Q88</f>
        <v>0.37569060773480661</v>
      </c>
      <c r="M89" s="14">
        <f>M88/$Q88</f>
        <v>0.30386740331491713</v>
      </c>
      <c r="N89" s="14">
        <f>N88/$Q88</f>
        <v>0.20096685082872928</v>
      </c>
      <c r="O89" s="14">
        <f>O88/$Q88</f>
        <v>5.3867403314917128E-2</v>
      </c>
      <c r="P89" s="14">
        <f>P88/$Q88</f>
        <v>3.453038674033149E-3</v>
      </c>
      <c r="Q89" s="31"/>
      <c r="R89" s="31" t="s">
        <v>376</v>
      </c>
      <c r="S89" s="31" t="s">
        <v>380</v>
      </c>
      <c r="T89" s="31">
        <v>24</v>
      </c>
      <c r="U89" s="31">
        <f>J89-T89-T90</f>
        <v>264</v>
      </c>
    </row>
    <row r="90" spans="1:21">
      <c r="A90" s="31" t="s">
        <v>381</v>
      </c>
      <c r="B90" s="31" t="s">
        <v>505</v>
      </c>
      <c r="C90" s="31">
        <v>70</v>
      </c>
      <c r="D90" s="31">
        <v>60</v>
      </c>
      <c r="E90" s="31">
        <v>42</v>
      </c>
      <c r="F90" s="31">
        <v>12</v>
      </c>
      <c r="G90" s="31">
        <v>21</v>
      </c>
      <c r="I90" s="31">
        <f t="shared" si="1"/>
        <v>205</v>
      </c>
      <c r="J90" s="31">
        <v>205</v>
      </c>
      <c r="K90" s="31"/>
      <c r="L90" s="31">
        <f>SUM(C85:C90)</f>
        <v>544</v>
      </c>
      <c r="M90" s="31">
        <f>SUM(D85:D90)</f>
        <v>440</v>
      </c>
      <c r="N90" s="31">
        <f>SUM(E85:E90)</f>
        <v>300</v>
      </c>
      <c r="O90" s="31">
        <f>SUM(F85:F90)</f>
        <v>78</v>
      </c>
      <c r="P90" s="31">
        <f>SUM(G85:G90)</f>
        <v>59</v>
      </c>
      <c r="R90" s="31" t="s">
        <v>376</v>
      </c>
      <c r="S90" s="31" t="s">
        <v>381</v>
      </c>
      <c r="T90" s="31">
        <v>9</v>
      </c>
      <c r="U90" s="31"/>
    </row>
    <row r="91" spans="1:21">
      <c r="A91" s="35" t="s">
        <v>909</v>
      </c>
      <c r="B91" s="35" t="s">
        <v>911</v>
      </c>
      <c r="C91" s="35"/>
      <c r="D91" s="35"/>
      <c r="E91" s="35"/>
      <c r="F91" s="35"/>
      <c r="G91" s="35"/>
      <c r="H91" s="35"/>
      <c r="I91" s="35"/>
      <c r="J91" s="35">
        <v>264</v>
      </c>
      <c r="L91" s="14">
        <f>L90/$Q91</f>
        <v>0.36363636363636365</v>
      </c>
      <c r="M91" s="14">
        <f>M90/$Q91</f>
        <v>0.29411764705882354</v>
      </c>
      <c r="N91" s="14">
        <f>N90/$Q91</f>
        <v>0.20053475935828877</v>
      </c>
      <c r="O91" s="14">
        <f>O90/$Q91</f>
        <v>5.213903743315508E-2</v>
      </c>
      <c r="P91" s="14">
        <f>P90/$Q91</f>
        <v>3.9438502673796789E-2</v>
      </c>
      <c r="Q91" s="31">
        <f>SUM(J85:J90)</f>
        <v>1496</v>
      </c>
    </row>
    <row r="92" spans="1:21" s="31" customFormat="1">
      <c r="A92" s="35" t="s">
        <v>910</v>
      </c>
      <c r="B92" s="35" t="s">
        <v>912</v>
      </c>
      <c r="C92" s="35"/>
      <c r="D92" s="35"/>
      <c r="E92" s="35"/>
      <c r="F92" s="35"/>
      <c r="G92" s="35"/>
      <c r="H92" s="35"/>
      <c r="I92" s="35"/>
      <c r="J92" s="35">
        <v>184</v>
      </c>
      <c r="L92" s="14"/>
      <c r="M92" s="14"/>
      <c r="N92" s="14"/>
      <c r="O92" s="14"/>
      <c r="P92" s="14"/>
    </row>
    <row r="93" spans="1:21" s="49" customFormat="1">
      <c r="A93" s="49" t="s">
        <v>3949</v>
      </c>
      <c r="B93" s="49" t="s">
        <v>3950</v>
      </c>
      <c r="J93" s="49">
        <v>264</v>
      </c>
      <c r="L93" s="14"/>
      <c r="M93" s="14"/>
      <c r="N93" s="14"/>
      <c r="O93" s="14"/>
      <c r="P93" s="14"/>
    </row>
    <row r="94" spans="1:21" s="49" customFormat="1">
      <c r="A94" s="49" t="s">
        <v>3951</v>
      </c>
      <c r="B94" s="49" t="s">
        <v>3952</v>
      </c>
      <c r="J94" s="49">
        <v>184</v>
      </c>
      <c r="L94" s="14"/>
      <c r="M94" s="14"/>
      <c r="N94" s="14"/>
      <c r="O94" s="14"/>
      <c r="P94" s="14"/>
    </row>
    <row r="95" spans="1:21" s="31" customFormat="1">
      <c r="A95"/>
      <c r="I95" s="31">
        <f>SUM(C95:H95)</f>
        <v>0</v>
      </c>
      <c r="J95"/>
      <c r="L95" s="14"/>
      <c r="M95" s="14"/>
      <c r="N95" s="14"/>
      <c r="O95" s="14"/>
      <c r="P95" s="14"/>
    </row>
    <row r="96" spans="1:21" s="31" customFormat="1">
      <c r="C96" s="31">
        <v>101</v>
      </c>
      <c r="D96" s="31">
        <v>80</v>
      </c>
      <c r="E96" s="31">
        <v>53</v>
      </c>
      <c r="F96" s="31">
        <v>15</v>
      </c>
      <c r="I96" s="31">
        <f>SUM(C96:H96)</f>
        <v>249</v>
      </c>
      <c r="L96" s="14"/>
      <c r="M96" s="14"/>
      <c r="N96" s="14"/>
      <c r="O96" s="14"/>
      <c r="P96" s="14"/>
    </row>
    <row r="97" spans="1:18" s="31" customFormat="1">
      <c r="C97" s="31">
        <v>70</v>
      </c>
      <c r="D97" s="31">
        <v>60</v>
      </c>
      <c r="E97" s="31">
        <v>42</v>
      </c>
      <c r="F97" s="31">
        <v>12</v>
      </c>
      <c r="I97" s="31">
        <f t="shared" si="1"/>
        <v>184</v>
      </c>
      <c r="L97" s="14"/>
      <c r="M97" s="14"/>
      <c r="N97" s="14"/>
      <c r="O97" s="14"/>
      <c r="P97" s="14"/>
    </row>
    <row r="98" spans="1:18" s="31" customFormat="1">
      <c r="C98" s="31">
        <v>101</v>
      </c>
      <c r="D98" s="31">
        <v>80</v>
      </c>
      <c r="E98" s="31">
        <v>53</v>
      </c>
      <c r="F98" s="31">
        <v>15</v>
      </c>
      <c r="I98" s="31">
        <f t="shared" si="1"/>
        <v>249</v>
      </c>
      <c r="L98" s="31">
        <f>SUM(C96:C101)</f>
        <v>513</v>
      </c>
      <c r="M98" s="31">
        <f>SUM(D96:D101)</f>
        <v>420</v>
      </c>
      <c r="N98" s="31">
        <f>SUM(E96:E101)</f>
        <v>285</v>
      </c>
      <c r="O98" s="31">
        <f>SUM(F96:F101)</f>
        <v>81</v>
      </c>
      <c r="P98" s="31">
        <f>SUM(G95:G100)</f>
        <v>0</v>
      </c>
      <c r="Q98" s="31">
        <f>SUM(I96:I101)</f>
        <v>1299</v>
      </c>
    </row>
    <row r="99" spans="1:18" s="31" customFormat="1">
      <c r="C99" s="31">
        <v>70</v>
      </c>
      <c r="D99" s="31">
        <v>60</v>
      </c>
      <c r="E99" s="31">
        <v>42</v>
      </c>
      <c r="F99" s="31">
        <v>12</v>
      </c>
      <c r="I99" s="31">
        <f t="shared" si="1"/>
        <v>184</v>
      </c>
      <c r="L99" s="14">
        <f>L98/$Q98</f>
        <v>0.394919168591224</v>
      </c>
      <c r="M99" s="14">
        <f>M98/$Q98</f>
        <v>0.32332563510392609</v>
      </c>
      <c r="N99" s="14">
        <f>N98/$Q98</f>
        <v>0.21939953810623555</v>
      </c>
      <c r="O99" s="14">
        <f>O98/$Q98</f>
        <v>6.2355658198614321E-2</v>
      </c>
      <c r="P99" s="14">
        <f>P98/$Q98</f>
        <v>0</v>
      </c>
    </row>
    <row r="100" spans="1:18">
      <c r="A100" s="31"/>
      <c r="B100" s="31">
        <v>221</v>
      </c>
      <c r="C100" s="31">
        <v>101</v>
      </c>
      <c r="D100" s="31">
        <v>80</v>
      </c>
      <c r="E100" s="31">
        <v>53</v>
      </c>
      <c r="F100" s="31">
        <v>15</v>
      </c>
      <c r="I100" s="31">
        <f t="shared" si="1"/>
        <v>249</v>
      </c>
      <c r="J100" s="31"/>
      <c r="K100">
        <v>1</v>
      </c>
      <c r="L100" t="s">
        <v>506</v>
      </c>
      <c r="M100" t="s">
        <v>602</v>
      </c>
      <c r="N100">
        <v>2</v>
      </c>
      <c r="P100" t="s">
        <v>512</v>
      </c>
      <c r="Q100" t="s">
        <v>518</v>
      </c>
      <c r="R100" t="s">
        <v>522</v>
      </c>
    </row>
    <row r="101" spans="1:18">
      <c r="A101" s="31"/>
      <c r="B101" s="31">
        <f>B100-27</f>
        <v>194</v>
      </c>
      <c r="C101" s="31">
        <v>70</v>
      </c>
      <c r="D101" s="31">
        <v>60</v>
      </c>
      <c r="E101" s="31">
        <v>42</v>
      </c>
      <c r="F101" s="31">
        <v>12</v>
      </c>
      <c r="I101" s="31">
        <f t="shared" si="1"/>
        <v>184</v>
      </c>
      <c r="J101" s="31"/>
      <c r="K101">
        <v>2</v>
      </c>
      <c r="L101" t="s">
        <v>599</v>
      </c>
      <c r="M101" t="s">
        <v>603</v>
      </c>
      <c r="P101" t="s">
        <v>513</v>
      </c>
    </row>
    <row r="102" spans="1:18">
      <c r="K102">
        <v>3</v>
      </c>
      <c r="L102" t="s">
        <v>511</v>
      </c>
      <c r="M102" t="s">
        <v>604</v>
      </c>
      <c r="P102" t="s">
        <v>514</v>
      </c>
      <c r="Q102" t="s">
        <v>519</v>
      </c>
    </row>
    <row r="103" spans="1:18">
      <c r="E103" s="31">
        <v>35</v>
      </c>
      <c r="F103" s="31">
        <v>35</v>
      </c>
      <c r="G103" s="31">
        <v>10</v>
      </c>
      <c r="H103" s="31">
        <f>SUM(E103:G103)</f>
        <v>80</v>
      </c>
      <c r="I103" s="31">
        <f>H103/11</f>
        <v>7.2727272727272725</v>
      </c>
      <c r="K103">
        <v>4</v>
      </c>
      <c r="L103" t="s">
        <v>584</v>
      </c>
      <c r="M103" t="s">
        <v>604</v>
      </c>
      <c r="N103">
        <v>2</v>
      </c>
      <c r="P103" t="s">
        <v>514</v>
      </c>
      <c r="Q103" t="s">
        <v>585</v>
      </c>
      <c r="R103" t="s">
        <v>586</v>
      </c>
    </row>
    <row r="104" spans="1:18">
      <c r="E104" s="31">
        <v>42</v>
      </c>
      <c r="F104" s="31">
        <v>42</v>
      </c>
      <c r="G104" s="31">
        <v>12</v>
      </c>
      <c r="H104" s="31">
        <f>SUM(E104:G104)</f>
        <v>96</v>
      </c>
      <c r="I104" s="31">
        <f>H104/11</f>
        <v>8.7272727272727266</v>
      </c>
      <c r="K104">
        <v>5</v>
      </c>
      <c r="L104" t="s">
        <v>598</v>
      </c>
      <c r="M104" t="s">
        <v>604</v>
      </c>
      <c r="P104" t="s">
        <v>515</v>
      </c>
      <c r="Q104" t="s">
        <v>523</v>
      </c>
    </row>
    <row r="105" spans="1:18">
      <c r="E105" s="31">
        <v>53</v>
      </c>
      <c r="F105" s="31">
        <v>53</v>
      </c>
      <c r="G105" s="31">
        <v>15</v>
      </c>
      <c r="H105" s="31">
        <f>SUM(E105:G105)</f>
        <v>121</v>
      </c>
      <c r="K105">
        <v>6</v>
      </c>
      <c r="L105" t="s">
        <v>509</v>
      </c>
      <c r="M105" t="s">
        <v>605</v>
      </c>
      <c r="P105" t="s">
        <v>516</v>
      </c>
    </row>
    <row r="106" spans="1:18">
      <c r="E106" s="31">
        <v>55</v>
      </c>
      <c r="F106" s="31">
        <v>55</v>
      </c>
      <c r="G106" s="31">
        <v>11</v>
      </c>
      <c r="H106" s="31">
        <f>SUM(E106:G106)</f>
        <v>121</v>
      </c>
      <c r="K106">
        <v>7</v>
      </c>
      <c r="L106" t="s">
        <v>510</v>
      </c>
      <c r="M106" t="s">
        <v>605</v>
      </c>
      <c r="P106" t="s">
        <v>517</v>
      </c>
      <c r="Q106" t="s">
        <v>595</v>
      </c>
    </row>
    <row r="107" spans="1:18">
      <c r="J107" s="31"/>
      <c r="K107">
        <v>8</v>
      </c>
      <c r="L107" t="s">
        <v>614</v>
      </c>
      <c r="M107" s="31" t="s">
        <v>43</v>
      </c>
      <c r="P107" t="s">
        <v>520</v>
      </c>
      <c r="Q107" t="s">
        <v>521</v>
      </c>
      <c r="R107" t="s">
        <v>522</v>
      </c>
    </row>
    <row r="108" spans="1:18">
      <c r="H108" s="31">
        <v>121</v>
      </c>
      <c r="I108" s="31">
        <f>H108/J108</f>
        <v>11</v>
      </c>
      <c r="J108" s="31">
        <v>11</v>
      </c>
      <c r="K108">
        <v>9</v>
      </c>
      <c r="L108" t="s">
        <v>587</v>
      </c>
      <c r="M108" t="s">
        <v>606</v>
      </c>
      <c r="P108" t="s">
        <v>596</v>
      </c>
      <c r="Q108" t="s">
        <v>597</v>
      </c>
    </row>
    <row r="109" spans="1:18">
      <c r="J109" s="31">
        <v>22</v>
      </c>
      <c r="K109">
        <v>10</v>
      </c>
      <c r="L109" t="s">
        <v>601</v>
      </c>
      <c r="M109" t="s">
        <v>607</v>
      </c>
    </row>
    <row r="110" spans="1:18">
      <c r="J110" s="31">
        <v>33</v>
      </c>
      <c r="K110">
        <v>11</v>
      </c>
      <c r="L110" t="s">
        <v>600</v>
      </c>
      <c r="M110" t="s">
        <v>608</v>
      </c>
    </row>
    <row r="111" spans="1:18">
      <c r="C111" s="31">
        <v>15</v>
      </c>
      <c r="D111" s="31">
        <f>24-C111</f>
        <v>9</v>
      </c>
      <c r="E111" s="31">
        <v>5</v>
      </c>
      <c r="F111" s="31">
        <f>9-E111</f>
        <v>4</v>
      </c>
      <c r="J111" s="31">
        <v>44</v>
      </c>
      <c r="K111">
        <v>12</v>
      </c>
      <c r="L111" t="s">
        <v>588</v>
      </c>
      <c r="M111" t="s">
        <v>609</v>
      </c>
    </row>
    <row r="112" spans="1:18">
      <c r="C112" s="31">
        <v>4</v>
      </c>
      <c r="D112" s="31">
        <v>3</v>
      </c>
      <c r="E112" s="31">
        <v>2</v>
      </c>
      <c r="F112" s="31">
        <v>1</v>
      </c>
      <c r="J112" s="31">
        <v>55</v>
      </c>
      <c r="K112">
        <v>13</v>
      </c>
      <c r="L112" t="s">
        <v>507</v>
      </c>
      <c r="M112" t="s">
        <v>610</v>
      </c>
      <c r="N112">
        <v>2</v>
      </c>
    </row>
    <row r="113" spans="2:19">
      <c r="C113" s="31">
        <f>C111*C112</f>
        <v>60</v>
      </c>
      <c r="D113" s="31">
        <f>D111*D112</f>
        <v>27</v>
      </c>
      <c r="E113" s="31">
        <f>E111*E112</f>
        <v>10</v>
      </c>
      <c r="F113" s="31">
        <f>F111*F112</f>
        <v>4</v>
      </c>
      <c r="G113" s="31">
        <f>SUM(C113:F113)</f>
        <v>101</v>
      </c>
      <c r="J113" s="31">
        <v>66</v>
      </c>
      <c r="K113">
        <v>14</v>
      </c>
      <c r="L113" t="s">
        <v>508</v>
      </c>
      <c r="M113" t="s">
        <v>611</v>
      </c>
    </row>
    <row r="114" spans="2:19">
      <c r="J114" s="31">
        <v>77</v>
      </c>
      <c r="K114">
        <v>15</v>
      </c>
      <c r="M114" t="s">
        <v>612</v>
      </c>
    </row>
    <row r="115" spans="2:19">
      <c r="J115" s="31">
        <v>88</v>
      </c>
      <c r="K115">
        <v>16</v>
      </c>
      <c r="M115" t="s">
        <v>613</v>
      </c>
    </row>
    <row r="116" spans="2:19">
      <c r="J116" s="31">
        <v>99</v>
      </c>
      <c r="Q116">
        <v>20</v>
      </c>
      <c r="R116">
        <f>53-Q116</f>
        <v>33</v>
      </c>
      <c r="S116">
        <f>R116/4</f>
        <v>8.25</v>
      </c>
    </row>
    <row r="117" spans="2:19">
      <c r="F117" s="31">
        <f t="shared" ref="F117:F122" si="2">(H117-G117)/2</f>
        <v>53</v>
      </c>
      <c r="G117" s="31">
        <v>15</v>
      </c>
      <c r="H117" s="31">
        <v>121</v>
      </c>
      <c r="J117" s="31">
        <v>110</v>
      </c>
      <c r="P117">
        <v>53</v>
      </c>
      <c r="Q117">
        <v>40</v>
      </c>
      <c r="R117" s="31">
        <f>53-Q117</f>
        <v>13</v>
      </c>
      <c r="S117" s="31">
        <f>R117/4</f>
        <v>3.25</v>
      </c>
    </row>
    <row r="118" spans="2:19">
      <c r="F118" s="31">
        <f t="shared" si="2"/>
        <v>53.5</v>
      </c>
      <c r="G118" s="31">
        <v>14</v>
      </c>
      <c r="H118" s="31">
        <v>121</v>
      </c>
      <c r="J118" s="31">
        <v>121</v>
      </c>
      <c r="Q118" s="31"/>
      <c r="R118" s="31"/>
      <c r="S118" s="31"/>
    </row>
    <row r="119" spans="2:19">
      <c r="B119" s="31">
        <v>13</v>
      </c>
      <c r="C119" s="31">
        <v>4</v>
      </c>
      <c r="D119" s="31">
        <v>52</v>
      </c>
      <c r="F119" s="31">
        <f t="shared" si="2"/>
        <v>54</v>
      </c>
      <c r="G119" s="31">
        <v>13</v>
      </c>
      <c r="H119" s="31">
        <v>121</v>
      </c>
      <c r="J119" s="31"/>
    </row>
    <row r="120" spans="2:19">
      <c r="B120" s="31">
        <v>11</v>
      </c>
      <c r="C120" s="31">
        <v>3</v>
      </c>
      <c r="D120" s="31">
        <v>33</v>
      </c>
      <c r="F120" s="31">
        <f t="shared" si="2"/>
        <v>54.5</v>
      </c>
      <c r="G120" s="31">
        <v>12</v>
      </c>
      <c r="H120" s="31">
        <v>121</v>
      </c>
      <c r="J120" s="31"/>
    </row>
    <row r="121" spans="2:19">
      <c r="B121" s="31">
        <v>7</v>
      </c>
      <c r="C121" s="31">
        <v>2</v>
      </c>
      <c r="D121" s="31">
        <v>14</v>
      </c>
      <c r="F121" s="31">
        <f t="shared" si="2"/>
        <v>55</v>
      </c>
      <c r="G121" s="31">
        <v>11</v>
      </c>
      <c r="H121" s="31">
        <v>121</v>
      </c>
      <c r="J121" s="31"/>
    </row>
    <row r="122" spans="2:19">
      <c r="B122" s="31">
        <v>3</v>
      </c>
      <c r="C122" s="31">
        <v>1</v>
      </c>
      <c r="D122" s="31">
        <v>2</v>
      </c>
      <c r="F122" s="31">
        <f t="shared" si="2"/>
        <v>55.5</v>
      </c>
      <c r="G122" s="31">
        <v>10</v>
      </c>
      <c r="H122" s="31">
        <v>121</v>
      </c>
      <c r="J122" s="31"/>
    </row>
    <row r="123" spans="2:19">
      <c r="B123" s="31">
        <v>33</v>
      </c>
      <c r="D123" s="31">
        <v>101</v>
      </c>
      <c r="J123" s="31"/>
      <c r="O123" t="s">
        <v>648</v>
      </c>
    </row>
    <row r="124" spans="2:19">
      <c r="J124" s="31"/>
      <c r="O124">
        <v>1</v>
      </c>
      <c r="P124">
        <v>2</v>
      </c>
      <c r="Q124">
        <v>3</v>
      </c>
    </row>
    <row r="125" spans="2:19">
      <c r="J125" s="31"/>
      <c r="M125" t="s">
        <v>649</v>
      </c>
      <c r="N125">
        <v>1</v>
      </c>
    </row>
    <row r="126" spans="2:19">
      <c r="B126" s="31">
        <v>4</v>
      </c>
      <c r="C126" s="31">
        <v>6</v>
      </c>
      <c r="D126" s="31">
        <f>B126*C126</f>
        <v>24</v>
      </c>
      <c r="J126" s="31"/>
    </row>
    <row r="127" spans="2:19">
      <c r="B127" s="31">
        <f>33-B128-B129-B126</f>
        <v>20</v>
      </c>
      <c r="C127" s="31">
        <v>4</v>
      </c>
      <c r="D127" s="31">
        <f>B127*C127</f>
        <v>80</v>
      </c>
      <c r="F127" s="31">
        <v>11</v>
      </c>
      <c r="J127" s="31"/>
    </row>
    <row r="128" spans="2:19">
      <c r="B128" s="31">
        <f>9-B129</f>
        <v>6</v>
      </c>
      <c r="C128" s="31">
        <v>2</v>
      </c>
      <c r="D128" s="31">
        <f>B128*C128</f>
        <v>12</v>
      </c>
      <c r="F128" s="31">
        <v>7</v>
      </c>
      <c r="J128" s="31"/>
    </row>
    <row r="129" spans="2:16">
      <c r="B129" s="31">
        <v>3</v>
      </c>
      <c r="C129" s="31">
        <v>1</v>
      </c>
      <c r="D129" s="31">
        <f>B129*C129</f>
        <v>3</v>
      </c>
      <c r="E129" s="31">
        <v>4</v>
      </c>
      <c r="F129" s="31">
        <f>E129*F127</f>
        <v>44</v>
      </c>
      <c r="G129" s="31">
        <f>SUM(F129:F132)</f>
        <v>80</v>
      </c>
      <c r="H129" s="31">
        <f>G129*1.5</f>
        <v>120</v>
      </c>
      <c r="J129" s="31"/>
      <c r="N129">
        <v>6</v>
      </c>
    </row>
    <row r="130" spans="2:16">
      <c r="B130" s="31">
        <f>SUM(B126:B129)</f>
        <v>33</v>
      </c>
      <c r="D130" s="31">
        <f>SUM(D126:D129)</f>
        <v>119</v>
      </c>
      <c r="E130" s="31">
        <v>4</v>
      </c>
      <c r="F130" s="31">
        <f>E130*F128</f>
        <v>28</v>
      </c>
      <c r="J130" s="31"/>
      <c r="N130">
        <v>12</v>
      </c>
      <c r="O130">
        <v>3</v>
      </c>
    </row>
    <row r="131" spans="2:16">
      <c r="E131" s="31">
        <v>3</v>
      </c>
      <c r="F131" s="31">
        <v>6</v>
      </c>
      <c r="J131" s="31"/>
      <c r="O131">
        <v>15</v>
      </c>
    </row>
    <row r="132" spans="2:16">
      <c r="E132" s="31">
        <v>2</v>
      </c>
      <c r="F132" s="31">
        <v>2</v>
      </c>
    </row>
    <row r="133" spans="2:16">
      <c r="O133">
        <v>53</v>
      </c>
      <c r="P133">
        <v>20</v>
      </c>
    </row>
    <row r="134" spans="2:16">
      <c r="G134" s="31" t="s">
        <v>533</v>
      </c>
    </row>
    <row r="135" spans="2:16">
      <c r="G135" s="33" t="s">
        <v>527</v>
      </c>
    </row>
    <row r="136" spans="2:16">
      <c r="B136" s="31" t="s">
        <v>547</v>
      </c>
      <c r="G136" s="33" t="s">
        <v>532</v>
      </c>
    </row>
    <row r="137" spans="2:16">
      <c r="B137" s="31" t="s">
        <v>544</v>
      </c>
      <c r="G137" s="31" t="s">
        <v>524</v>
      </c>
    </row>
    <row r="138" spans="2:16">
      <c r="B138" s="31" t="s">
        <v>542</v>
      </c>
      <c r="G138" s="33" t="s">
        <v>531</v>
      </c>
    </row>
    <row r="139" spans="2:16">
      <c r="B139" s="31" t="s">
        <v>539</v>
      </c>
      <c r="G139" s="33" t="s">
        <v>528</v>
      </c>
    </row>
    <row r="140" spans="2:16">
      <c r="G140" s="31" t="s">
        <v>525</v>
      </c>
    </row>
    <row r="141" spans="2:16">
      <c r="B141" s="31" t="s">
        <v>546</v>
      </c>
      <c r="G141" s="31" t="s">
        <v>526</v>
      </c>
    </row>
    <row r="142" spans="2:16">
      <c r="B142" s="31" t="s">
        <v>541</v>
      </c>
      <c r="G142" s="33" t="s">
        <v>530</v>
      </c>
    </row>
    <row r="143" spans="2:16">
      <c r="B143" s="31" t="s">
        <v>540</v>
      </c>
      <c r="G143" s="33" t="s">
        <v>529</v>
      </c>
    </row>
    <row r="144" spans="2:16">
      <c r="B144" s="31" t="s">
        <v>537</v>
      </c>
      <c r="G144" s="31" t="s">
        <v>535</v>
      </c>
    </row>
    <row r="145" spans="2:7">
      <c r="G145" s="31" t="s">
        <v>536</v>
      </c>
    </row>
    <row r="146" spans="2:7">
      <c r="B146" s="31" t="s">
        <v>545</v>
      </c>
    </row>
    <row r="147" spans="2:7">
      <c r="B147" s="31" t="s">
        <v>543</v>
      </c>
    </row>
    <row r="148" spans="2:7">
      <c r="B148" s="31" t="s">
        <v>538</v>
      </c>
    </row>
    <row r="150" spans="2:7">
      <c r="B150" s="31" t="s">
        <v>530</v>
      </c>
    </row>
    <row r="151" spans="2:7">
      <c r="B151" s="31" t="s">
        <v>534</v>
      </c>
    </row>
    <row r="157" spans="2:7">
      <c r="C157" s="31">
        <v>6</v>
      </c>
      <c r="D157" s="31">
        <f>C157*11</f>
        <v>66</v>
      </c>
      <c r="E157" s="31">
        <f>SUM(D157:D160)</f>
        <v>121</v>
      </c>
    </row>
    <row r="158" spans="2:7">
      <c r="C158" s="31">
        <v>7</v>
      </c>
      <c r="D158" s="31">
        <f>C158*6</f>
        <v>42</v>
      </c>
    </row>
    <row r="159" spans="2:7">
      <c r="C159" s="31">
        <v>6</v>
      </c>
      <c r="D159" s="31">
        <v>12</v>
      </c>
    </row>
    <row r="160" spans="2:7">
      <c r="C160" s="31">
        <v>1</v>
      </c>
      <c r="D160" s="31">
        <v>1</v>
      </c>
    </row>
    <row r="161" spans="2:6">
      <c r="F161" s="31" t="s">
        <v>549</v>
      </c>
    </row>
    <row r="162" spans="2:6">
      <c r="B162" s="31" t="s">
        <v>552</v>
      </c>
      <c r="F162" s="31" t="s">
        <v>551</v>
      </c>
    </row>
    <row r="163" spans="2:6">
      <c r="B163" s="31" t="s">
        <v>553</v>
      </c>
    </row>
    <row r="164" spans="2:6">
      <c r="B164" s="31" t="s">
        <v>568</v>
      </c>
      <c r="F164" s="31" t="s">
        <v>555</v>
      </c>
    </row>
    <row r="165" spans="2:6">
      <c r="B165" s="31" t="s">
        <v>569</v>
      </c>
      <c r="F165" s="31" t="s">
        <v>556</v>
      </c>
    </row>
    <row r="166" spans="2:6">
      <c r="B166" s="31" t="s">
        <v>574</v>
      </c>
    </row>
    <row r="167" spans="2:6">
      <c r="B167" s="31" t="s">
        <v>577</v>
      </c>
      <c r="F167" s="31" t="s">
        <v>557</v>
      </c>
    </row>
    <row r="168" spans="2:6">
      <c r="B168" s="31" t="s">
        <v>550</v>
      </c>
      <c r="F168" s="31" t="s">
        <v>559</v>
      </c>
    </row>
    <row r="169" spans="2:6">
      <c r="B169" s="31" t="s">
        <v>548</v>
      </c>
      <c r="F169" s="31" t="s">
        <v>560</v>
      </c>
    </row>
    <row r="170" spans="2:6">
      <c r="B170" s="31" t="s">
        <v>561</v>
      </c>
    </row>
    <row r="171" spans="2:6">
      <c r="B171" s="31" t="s">
        <v>563</v>
      </c>
      <c r="F171" s="31" t="s">
        <v>562</v>
      </c>
    </row>
    <row r="172" spans="2:6">
      <c r="B172" s="31" t="s">
        <v>567</v>
      </c>
      <c r="F172" s="31" t="s">
        <v>566</v>
      </c>
    </row>
    <row r="173" spans="2:6">
      <c r="B173" s="31" t="s">
        <v>573</v>
      </c>
    </row>
    <row r="174" spans="2:6">
      <c r="B174" s="31" t="s">
        <v>576</v>
      </c>
      <c r="F174" s="31" t="s">
        <v>571</v>
      </c>
    </row>
    <row r="175" spans="2:6">
      <c r="B175" s="31" t="s">
        <v>554</v>
      </c>
      <c r="F175" s="31" t="s">
        <v>572</v>
      </c>
    </row>
    <row r="176" spans="2:6">
      <c r="B176" s="31" t="s">
        <v>558</v>
      </c>
      <c r="F176" s="31" t="s">
        <v>582</v>
      </c>
    </row>
    <row r="177" spans="2:6">
      <c r="B177" s="31" t="s">
        <v>564</v>
      </c>
    </row>
    <row r="178" spans="2:6">
      <c r="B178" s="31" t="s">
        <v>565</v>
      </c>
      <c r="F178" s="31" t="s">
        <v>578</v>
      </c>
    </row>
    <row r="179" spans="2:6">
      <c r="B179" s="31" t="s">
        <v>570</v>
      </c>
      <c r="F179" s="31" t="s">
        <v>579</v>
      </c>
    </row>
    <row r="180" spans="2:6">
      <c r="B180" s="31" t="s">
        <v>575</v>
      </c>
      <c r="F180" s="31" t="s">
        <v>580</v>
      </c>
    </row>
    <row r="181" spans="2:6">
      <c r="B181" s="31" t="s">
        <v>572</v>
      </c>
    </row>
    <row r="182" spans="2:6">
      <c r="F182" s="31" t="s">
        <v>581</v>
      </c>
    </row>
    <row r="197" spans="7:8">
      <c r="G197" s="31">
        <v>5</v>
      </c>
      <c r="H197" s="31" t="s">
        <v>647</v>
      </c>
    </row>
    <row r="198" spans="7:8">
      <c r="G198" s="31">
        <v>6</v>
      </c>
      <c r="H198" s="31" t="s">
        <v>646</v>
      </c>
    </row>
    <row r="199" spans="7:8">
      <c r="G199" s="31">
        <v>7</v>
      </c>
      <c r="H199" s="31" t="s">
        <v>644</v>
      </c>
    </row>
    <row r="200" spans="7:8">
      <c r="G200" s="31">
        <v>8</v>
      </c>
      <c r="H200" s="31" t="s">
        <v>642</v>
      </c>
    </row>
    <row r="201" spans="7:8">
      <c r="G201" s="31">
        <v>9</v>
      </c>
      <c r="H201" s="31" t="s">
        <v>639</v>
      </c>
    </row>
    <row r="202" spans="7:8">
      <c r="G202" s="31">
        <v>10</v>
      </c>
      <c r="H202" s="31" t="s">
        <v>638</v>
      </c>
    </row>
    <row r="203" spans="7:8">
      <c r="G203" s="31">
        <v>11</v>
      </c>
      <c r="H203" s="31" t="s">
        <v>637</v>
      </c>
    </row>
    <row r="204" spans="7:8">
      <c r="G204" s="31">
        <v>12</v>
      </c>
      <c r="H204" s="31" t="s">
        <v>636</v>
      </c>
    </row>
    <row r="205" spans="7:8">
      <c r="G205" s="31">
        <v>13</v>
      </c>
      <c r="H205" s="31" t="s">
        <v>634</v>
      </c>
    </row>
    <row r="206" spans="7:8">
      <c r="G206" s="31">
        <v>14</v>
      </c>
      <c r="H206" s="31" t="s">
        <v>633</v>
      </c>
    </row>
    <row r="207" spans="7:8">
      <c r="G207" s="31">
        <v>15</v>
      </c>
      <c r="H207" s="31" t="s">
        <v>632</v>
      </c>
    </row>
    <row r="208" spans="7:8">
      <c r="G208" s="31">
        <v>16</v>
      </c>
      <c r="H208" s="31" t="s">
        <v>631</v>
      </c>
    </row>
    <row r="209" spans="1:13">
      <c r="G209" s="31">
        <v>17</v>
      </c>
      <c r="H209" s="31" t="s">
        <v>627</v>
      </c>
    </row>
    <row r="210" spans="1:13">
      <c r="G210" s="31">
        <v>18</v>
      </c>
      <c r="H210" s="31" t="s">
        <v>624</v>
      </c>
    </row>
    <row r="211" spans="1:13">
      <c r="G211" s="31">
        <v>19</v>
      </c>
      <c r="H211" s="31" t="s">
        <v>622</v>
      </c>
    </row>
    <row r="212" spans="1:13">
      <c r="G212" s="31">
        <v>20</v>
      </c>
      <c r="H212" s="31" t="s">
        <v>621</v>
      </c>
    </row>
    <row r="213" spans="1:13">
      <c r="A213">
        <v>1</v>
      </c>
      <c r="B213" s="31" t="s">
        <v>629</v>
      </c>
      <c r="G213" s="31">
        <v>21</v>
      </c>
      <c r="H213" s="31" t="s">
        <v>620</v>
      </c>
    </row>
    <row r="214" spans="1:13">
      <c r="A214" s="31">
        <v>2</v>
      </c>
      <c r="B214" s="31" t="s">
        <v>628</v>
      </c>
      <c r="G214" s="31">
        <v>22</v>
      </c>
      <c r="H214" s="31" t="s">
        <v>615</v>
      </c>
    </row>
    <row r="215" spans="1:13">
      <c r="A215" s="31">
        <v>3</v>
      </c>
      <c r="B215" s="31" t="s">
        <v>626</v>
      </c>
      <c r="G215" s="31">
        <v>23</v>
      </c>
      <c r="H215" s="31" t="s">
        <v>616</v>
      </c>
    </row>
    <row r="216" spans="1:13">
      <c r="A216" s="31">
        <v>4</v>
      </c>
      <c r="B216" s="31" t="s">
        <v>623</v>
      </c>
      <c r="G216" s="31">
        <v>24</v>
      </c>
      <c r="H216" s="31" t="s">
        <v>617</v>
      </c>
    </row>
    <row r="219" spans="1:13">
      <c r="G219" s="31">
        <v>1</v>
      </c>
      <c r="H219" s="31" t="s">
        <v>645</v>
      </c>
    </row>
    <row r="220" spans="1:13">
      <c r="G220" s="31">
        <v>2</v>
      </c>
      <c r="H220" s="31" t="s">
        <v>641</v>
      </c>
      <c r="M220" t="s">
        <v>643</v>
      </c>
    </row>
    <row r="221" spans="1:13">
      <c r="G221" s="31">
        <v>3</v>
      </c>
      <c r="H221" s="31" t="s">
        <v>635</v>
      </c>
      <c r="M221" t="s">
        <v>640</v>
      </c>
    </row>
    <row r="222" spans="1:13">
      <c r="G222" s="31">
        <v>4</v>
      </c>
      <c r="H222" s="31" t="s">
        <v>630</v>
      </c>
      <c r="M222" t="s">
        <v>619</v>
      </c>
    </row>
    <row r="223" spans="1:13">
      <c r="G223" s="31">
        <v>5</v>
      </c>
      <c r="H223" s="31" t="s">
        <v>625</v>
      </c>
    </row>
    <row r="224" spans="1:13">
      <c r="G224" s="31">
        <v>6</v>
      </c>
      <c r="H224" s="31" t="s">
        <v>618</v>
      </c>
    </row>
    <row r="226" spans="1:9">
      <c r="B226" s="49"/>
    </row>
    <row r="227" spans="1:9">
      <c r="A227">
        <v>1</v>
      </c>
      <c r="B227" s="31" t="s">
        <v>3524</v>
      </c>
      <c r="H227" s="31">
        <v>1</v>
      </c>
      <c r="I227" s="31" t="s">
        <v>3531</v>
      </c>
    </row>
    <row r="228" spans="1:9">
      <c r="A228">
        <v>2</v>
      </c>
      <c r="B228" s="31" t="s">
        <v>3552</v>
      </c>
      <c r="H228" s="31">
        <v>2</v>
      </c>
      <c r="I228" s="31" t="s">
        <v>3532</v>
      </c>
    </row>
    <row r="229" spans="1:9">
      <c r="A229" s="49">
        <v>3</v>
      </c>
      <c r="B229" s="31" t="s">
        <v>3522</v>
      </c>
      <c r="H229" s="49">
        <v>3</v>
      </c>
      <c r="I229" s="49" t="s">
        <v>3524</v>
      </c>
    </row>
    <row r="230" spans="1:9">
      <c r="A230" s="49">
        <v>4</v>
      </c>
      <c r="B230" s="31" t="s">
        <v>3527</v>
      </c>
      <c r="H230" s="49">
        <v>4</v>
      </c>
      <c r="I230" s="31" t="s">
        <v>3530</v>
      </c>
    </row>
    <row r="231" spans="1:9">
      <c r="A231" s="49">
        <v>5</v>
      </c>
      <c r="B231" s="31" t="s">
        <v>3537</v>
      </c>
      <c r="H231" s="49">
        <v>5</v>
      </c>
      <c r="I231" s="31" t="s">
        <v>3529</v>
      </c>
    </row>
    <row r="232" spans="1:9">
      <c r="A232" s="49">
        <v>6</v>
      </c>
      <c r="B232" s="31" t="s">
        <v>3538</v>
      </c>
      <c r="H232" s="49">
        <v>6</v>
      </c>
      <c r="I232" s="31" t="s">
        <v>3534</v>
      </c>
    </row>
    <row r="233" spans="1:9">
      <c r="A233" s="49">
        <v>7</v>
      </c>
      <c r="B233" s="31" t="s">
        <v>3554</v>
      </c>
      <c r="H233" s="49">
        <v>7</v>
      </c>
      <c r="I233" s="31" t="s">
        <v>3536</v>
      </c>
    </row>
    <row r="234" spans="1:9">
      <c r="A234" s="49">
        <v>8</v>
      </c>
      <c r="B234" s="31" t="s">
        <v>3523</v>
      </c>
      <c r="H234" s="49">
        <v>8</v>
      </c>
      <c r="I234" s="31" t="s">
        <v>3539</v>
      </c>
    </row>
    <row r="235" spans="1:9">
      <c r="A235" s="49">
        <v>9</v>
      </c>
      <c r="B235" s="31" t="s">
        <v>3525</v>
      </c>
      <c r="H235" s="49">
        <v>9</v>
      </c>
      <c r="I235" s="31" t="s">
        <v>3540</v>
      </c>
    </row>
    <row r="236" spans="1:9">
      <c r="A236" s="49">
        <v>10</v>
      </c>
      <c r="B236" s="31" t="s">
        <v>3526</v>
      </c>
      <c r="H236" s="49">
        <v>10</v>
      </c>
      <c r="I236" s="31" t="s">
        <v>3544</v>
      </c>
    </row>
    <row r="237" spans="1:9">
      <c r="A237" s="49">
        <v>11</v>
      </c>
      <c r="B237" s="31" t="s">
        <v>3528</v>
      </c>
      <c r="H237" s="49">
        <v>11</v>
      </c>
      <c r="I237" s="31" t="s">
        <v>3549</v>
      </c>
    </row>
    <row r="238" spans="1:9">
      <c r="A238" s="49">
        <v>12</v>
      </c>
      <c r="B238" s="31" t="s">
        <v>3541</v>
      </c>
      <c r="H238" s="49">
        <v>12</v>
      </c>
      <c r="I238" s="31" t="s">
        <v>3550</v>
      </c>
    </row>
    <row r="239" spans="1:9">
      <c r="A239" s="49">
        <v>13</v>
      </c>
      <c r="B239" s="31" t="s">
        <v>3543</v>
      </c>
      <c r="H239" s="49">
        <v>13</v>
      </c>
      <c r="I239" s="31" t="s">
        <v>3551</v>
      </c>
    </row>
    <row r="240" spans="1:9">
      <c r="A240" s="49">
        <v>14</v>
      </c>
      <c r="B240" s="31" t="s">
        <v>3545</v>
      </c>
      <c r="H240" s="49">
        <v>14</v>
      </c>
      <c r="I240" s="31" t="s">
        <v>3552</v>
      </c>
    </row>
    <row r="241" spans="1:2">
      <c r="A241" s="49">
        <v>15</v>
      </c>
      <c r="B241" s="31" t="s">
        <v>3546</v>
      </c>
    </row>
    <row r="242" spans="1:2">
      <c r="A242" s="49">
        <v>16</v>
      </c>
      <c r="B242" s="31" t="s">
        <v>3547</v>
      </c>
    </row>
    <row r="243" spans="1:2">
      <c r="A243" s="49">
        <v>17</v>
      </c>
      <c r="B243" s="31" t="s">
        <v>3553</v>
      </c>
    </row>
    <row r="244" spans="1:2">
      <c r="A244" s="49">
        <v>18</v>
      </c>
      <c r="B244" s="31" t="s">
        <v>3533</v>
      </c>
    </row>
    <row r="245" spans="1:2">
      <c r="A245" s="49">
        <v>19</v>
      </c>
      <c r="B245" s="31" t="s">
        <v>3535</v>
      </c>
    </row>
    <row r="246" spans="1:2">
      <c r="A246" s="49">
        <v>20</v>
      </c>
      <c r="B246" s="31" t="s">
        <v>3542</v>
      </c>
    </row>
    <row r="247" spans="1:2">
      <c r="A247" s="49">
        <v>21</v>
      </c>
      <c r="B247" s="31" t="s">
        <v>3548</v>
      </c>
    </row>
    <row r="257" spans="3:15">
      <c r="C257" s="31" t="s">
        <v>3938</v>
      </c>
    </row>
    <row r="261" spans="3:15">
      <c r="E261" s="31" t="s">
        <v>3939</v>
      </c>
      <c r="F261" s="31" t="s">
        <v>3940</v>
      </c>
      <c r="G261" s="31" t="s">
        <v>3941</v>
      </c>
      <c r="H261" s="31" t="s">
        <v>3942</v>
      </c>
    </row>
    <row r="262" spans="3:15">
      <c r="D262" s="31" t="s">
        <v>3943</v>
      </c>
      <c r="H262" s="31">
        <v>1</v>
      </c>
      <c r="I262" s="49">
        <f t="shared" ref="I262:I269" si="3">SUM(E262:H262)</f>
        <v>1</v>
      </c>
    </row>
    <row r="263" spans="3:15">
      <c r="C263" s="31">
        <v>221</v>
      </c>
      <c r="D263" s="31" t="s">
        <v>3940</v>
      </c>
      <c r="H263" s="31">
        <v>2</v>
      </c>
      <c r="I263" s="49">
        <f t="shared" si="3"/>
        <v>2</v>
      </c>
    </row>
    <row r="264" spans="3:15">
      <c r="C264" s="31">
        <f>C263-12</f>
        <v>209</v>
      </c>
      <c r="D264" s="31" t="s">
        <v>3944</v>
      </c>
      <c r="H264" s="31">
        <v>1</v>
      </c>
      <c r="I264" s="49">
        <f t="shared" si="3"/>
        <v>1</v>
      </c>
    </row>
    <row r="265" spans="3:15">
      <c r="D265" s="31" t="s">
        <v>3941</v>
      </c>
      <c r="H265" s="31">
        <v>1</v>
      </c>
      <c r="I265" s="49">
        <f t="shared" si="3"/>
        <v>1</v>
      </c>
    </row>
    <row r="266" spans="3:15">
      <c r="D266" s="31" t="s">
        <v>3945</v>
      </c>
      <c r="H266" s="31">
        <v>2</v>
      </c>
      <c r="I266" s="49">
        <f t="shared" si="3"/>
        <v>2</v>
      </c>
      <c r="M266">
        <v>42</v>
      </c>
      <c r="N266">
        <v>12</v>
      </c>
      <c r="O266">
        <f>M266*2+N266</f>
        <v>96</v>
      </c>
    </row>
    <row r="267" spans="3:15">
      <c r="D267" s="31" t="s">
        <v>3942</v>
      </c>
      <c r="H267" s="31">
        <v>4</v>
      </c>
      <c r="I267" s="49">
        <f t="shared" si="3"/>
        <v>4</v>
      </c>
      <c r="M267">
        <f>M266+21</f>
        <v>63</v>
      </c>
      <c r="N267">
        <f>N266+6</f>
        <v>18</v>
      </c>
      <c r="O267" s="49">
        <f>M267*2+N267</f>
        <v>144</v>
      </c>
    </row>
    <row r="268" spans="3:15">
      <c r="D268" s="31" t="s">
        <v>3946</v>
      </c>
      <c r="E268" s="31">
        <v>5</v>
      </c>
      <c r="F268" s="31">
        <v>5</v>
      </c>
      <c r="G268" s="31">
        <v>5</v>
      </c>
      <c r="H268" s="31">
        <v>1</v>
      </c>
      <c r="I268" s="49">
        <f t="shared" si="3"/>
        <v>16</v>
      </c>
      <c r="M268" s="49">
        <f>M267+21</f>
        <v>84</v>
      </c>
      <c r="N268" s="49">
        <f>N267+6</f>
        <v>24</v>
      </c>
      <c r="O268" s="49">
        <f>M268*2+N268</f>
        <v>192</v>
      </c>
    </row>
    <row r="269" spans="3:15">
      <c r="D269" s="31" t="s">
        <v>3947</v>
      </c>
      <c r="E269" s="31">
        <v>80</v>
      </c>
      <c r="F269" s="31">
        <v>60</v>
      </c>
      <c r="G269" s="31">
        <v>42</v>
      </c>
      <c r="I269" s="49">
        <f t="shared" si="3"/>
        <v>182</v>
      </c>
    </row>
    <row r="270" spans="3:15">
      <c r="D270" s="31" t="s">
        <v>3948</v>
      </c>
      <c r="E270" s="31">
        <v>5</v>
      </c>
      <c r="F270" s="31">
        <v>2</v>
      </c>
      <c r="G270" s="31">
        <v>3</v>
      </c>
      <c r="H270" s="31">
        <v>2</v>
      </c>
      <c r="I270" s="31">
        <f>SUM(E270:H270)</f>
        <v>12</v>
      </c>
    </row>
    <row r="271" spans="3:15">
      <c r="E271" s="49">
        <f t="shared" ref="E271:H271" si="4">SUM(E262:E270)</f>
        <v>90</v>
      </c>
      <c r="F271" s="49">
        <f t="shared" si="4"/>
        <v>67</v>
      </c>
      <c r="G271" s="49">
        <f t="shared" si="4"/>
        <v>50</v>
      </c>
      <c r="H271" s="49">
        <f t="shared" si="4"/>
        <v>14</v>
      </c>
      <c r="I271" s="31">
        <f>SUM(I262:I270)</f>
        <v>221</v>
      </c>
    </row>
  </sheetData>
  <phoneticPr fontId="1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H180"/>
  <sheetViews>
    <sheetView topLeftCell="A151" workbookViewId="0">
      <selection activeCell="C2" sqref="C2"/>
    </sheetView>
  </sheetViews>
  <sheetFormatPr defaultRowHeight="13.5"/>
  <cols>
    <col min="1" max="1" width="11.75" customWidth="1"/>
    <col min="2" max="2" width="2.5" bestFit="1" customWidth="1"/>
    <col min="4" max="8" width="9" style="31"/>
    <col min="19" max="19" width="10.75" customWidth="1"/>
    <col min="30" max="30" width="11.75" style="49" customWidth="1"/>
    <col min="31" max="31" width="2.5" style="49" bestFit="1" customWidth="1"/>
  </cols>
  <sheetData>
    <row r="1" spans="1:34">
      <c r="A1" t="s">
        <v>157</v>
      </c>
      <c r="B1">
        <f t="shared" ref="B1:B32" si="0">COUNTIF(A:A,A1)</f>
        <v>1</v>
      </c>
      <c r="C1">
        <f>SUM(B:B)</f>
        <v>167</v>
      </c>
      <c r="D1" s="31" t="s">
        <v>157</v>
      </c>
      <c r="E1" s="31" t="s">
        <v>688</v>
      </c>
      <c r="F1" s="31" t="s">
        <v>162</v>
      </c>
      <c r="G1" s="31" t="s">
        <v>319</v>
      </c>
      <c r="H1" s="31" t="s">
        <v>660</v>
      </c>
      <c r="AB1" t="s">
        <v>2406</v>
      </c>
      <c r="AD1" s="49" t="s">
        <v>157</v>
      </c>
      <c r="AE1" s="49">
        <f t="shared" ref="AE1:AE32" si="1">COUNTIF(AB:AB,AD1)</f>
        <v>1</v>
      </c>
      <c r="AG1" s="49"/>
      <c r="AH1" s="49"/>
    </row>
    <row r="2" spans="1:34">
      <c r="A2" t="s">
        <v>158</v>
      </c>
      <c r="B2" s="31">
        <f t="shared" si="0"/>
        <v>1</v>
      </c>
      <c r="D2" s="31" t="s">
        <v>158</v>
      </c>
      <c r="E2" s="31" t="s">
        <v>708</v>
      </c>
      <c r="F2" s="31" t="s">
        <v>744</v>
      </c>
      <c r="G2" s="31" t="s">
        <v>749</v>
      </c>
      <c r="H2" s="31" t="s">
        <v>751</v>
      </c>
      <c r="J2" s="17"/>
      <c r="K2" s="17" t="s">
        <v>768</v>
      </c>
      <c r="L2" s="17" t="s">
        <v>758</v>
      </c>
      <c r="M2" s="17" t="s">
        <v>764</v>
      </c>
      <c r="N2" s="17" t="s">
        <v>760</v>
      </c>
      <c r="O2" s="17" t="s">
        <v>759</v>
      </c>
      <c r="P2" s="17" t="s">
        <v>765</v>
      </c>
      <c r="Q2" s="17" t="s">
        <v>766</v>
      </c>
      <c r="R2" s="17" t="s">
        <v>767</v>
      </c>
      <c r="S2" s="34" t="s">
        <v>862</v>
      </c>
      <c r="T2" t="s">
        <v>853</v>
      </c>
      <c r="X2" t="s">
        <v>861</v>
      </c>
      <c r="AB2" t="s">
        <v>2407</v>
      </c>
      <c r="AD2" s="49" t="s">
        <v>158</v>
      </c>
      <c r="AE2" s="49">
        <f t="shared" si="1"/>
        <v>1</v>
      </c>
    </row>
    <row r="3" spans="1:34">
      <c r="A3" t="s">
        <v>650</v>
      </c>
      <c r="B3" s="31">
        <f t="shared" si="0"/>
        <v>1</v>
      </c>
      <c r="D3" s="31" t="s">
        <v>742</v>
      </c>
      <c r="E3" s="31" t="s">
        <v>713</v>
      </c>
      <c r="F3" s="31" t="s">
        <v>745</v>
      </c>
      <c r="G3" s="31" t="s">
        <v>750</v>
      </c>
      <c r="H3" s="31" t="s">
        <v>754</v>
      </c>
      <c r="J3" s="17" t="s">
        <v>319</v>
      </c>
      <c r="K3" s="17" t="s">
        <v>722</v>
      </c>
      <c r="L3" s="17" t="s">
        <v>659</v>
      </c>
      <c r="M3" s="17" t="s">
        <v>721</v>
      </c>
      <c r="N3" s="17" t="s">
        <v>700</v>
      </c>
      <c r="O3" s="17" t="s">
        <v>707</v>
      </c>
      <c r="P3" s="17" t="s">
        <v>336</v>
      </c>
      <c r="Q3" s="17" t="s">
        <v>292</v>
      </c>
      <c r="R3" s="17" t="s">
        <v>677</v>
      </c>
      <c r="S3" s="17" t="s">
        <v>745</v>
      </c>
      <c r="T3" t="s">
        <v>854</v>
      </c>
      <c r="U3" t="s">
        <v>855</v>
      </c>
      <c r="V3" t="s">
        <v>856</v>
      </c>
      <c r="X3" t="s">
        <v>308</v>
      </c>
      <c r="AB3" t="s">
        <v>2408</v>
      </c>
      <c r="AD3" s="49" t="s">
        <v>2461</v>
      </c>
      <c r="AE3" s="49">
        <f t="shared" si="1"/>
        <v>1</v>
      </c>
    </row>
    <row r="4" spans="1:34">
      <c r="A4" t="s">
        <v>160</v>
      </c>
      <c r="B4" s="31">
        <f t="shared" si="0"/>
        <v>1</v>
      </c>
      <c r="D4" s="31" t="s">
        <v>160</v>
      </c>
      <c r="E4" s="31" t="s">
        <v>724</v>
      </c>
      <c r="F4" s="31" t="s">
        <v>163</v>
      </c>
      <c r="G4" s="31" t="s">
        <v>752</v>
      </c>
      <c r="H4" s="31" t="s">
        <v>675</v>
      </c>
      <c r="J4" s="17" t="s">
        <v>748</v>
      </c>
      <c r="K4" s="17" t="s">
        <v>324</v>
      </c>
      <c r="L4" s="17" t="s">
        <v>747</v>
      </c>
      <c r="M4" s="17" t="s">
        <v>335</v>
      </c>
      <c r="N4" s="17" t="s">
        <v>329</v>
      </c>
      <c r="O4" s="17" t="s">
        <v>291</v>
      </c>
      <c r="P4" s="17" t="s">
        <v>304</v>
      </c>
      <c r="Q4" s="17" t="s">
        <v>242</v>
      </c>
      <c r="R4" s="17" t="s">
        <v>678</v>
      </c>
      <c r="S4" s="17" t="s">
        <v>658</v>
      </c>
      <c r="T4" t="s">
        <v>850</v>
      </c>
      <c r="U4" t="s">
        <v>323</v>
      </c>
      <c r="V4" t="s">
        <v>707</v>
      </c>
      <c r="X4" t="s">
        <v>285</v>
      </c>
      <c r="AB4" t="s">
        <v>2409</v>
      </c>
      <c r="AD4" s="49" t="s">
        <v>160</v>
      </c>
      <c r="AE4" s="49">
        <f t="shared" si="1"/>
        <v>1</v>
      </c>
    </row>
    <row r="5" spans="1:34">
      <c r="A5" t="s">
        <v>161</v>
      </c>
      <c r="B5" s="31">
        <f t="shared" si="0"/>
        <v>1</v>
      </c>
      <c r="D5" s="31" t="s">
        <v>161</v>
      </c>
      <c r="E5" s="31" t="s">
        <v>736</v>
      </c>
      <c r="F5" s="31" t="s">
        <v>658</v>
      </c>
      <c r="G5" s="31" t="s">
        <v>753</v>
      </c>
      <c r="H5" s="31" t="s">
        <v>850</v>
      </c>
      <c r="J5" s="17" t="s">
        <v>749</v>
      </c>
      <c r="K5" s="17"/>
      <c r="L5" s="17" t="s">
        <v>769</v>
      </c>
      <c r="M5" s="17" t="s">
        <v>730</v>
      </c>
      <c r="N5" s="17" t="s">
        <v>660</v>
      </c>
      <c r="O5" s="17" t="s">
        <v>293</v>
      </c>
      <c r="P5" s="17" t="s">
        <v>300</v>
      </c>
      <c r="Q5" s="17" t="s">
        <v>290</v>
      </c>
      <c r="R5" s="17" t="s">
        <v>679</v>
      </c>
      <c r="S5" s="17" t="s">
        <v>752</v>
      </c>
      <c r="T5" t="s">
        <v>705</v>
      </c>
      <c r="U5" t="s">
        <v>299</v>
      </c>
      <c r="V5" t="s">
        <v>246</v>
      </c>
      <c r="X5" t="s">
        <v>303</v>
      </c>
      <c r="AB5" t="s">
        <v>2410</v>
      </c>
      <c r="AD5" s="49" t="s">
        <v>161</v>
      </c>
      <c r="AE5" s="49">
        <f t="shared" si="1"/>
        <v>0</v>
      </c>
    </row>
    <row r="6" spans="1:34">
      <c r="A6" t="s">
        <v>162</v>
      </c>
      <c r="B6" s="31">
        <f t="shared" si="0"/>
        <v>1</v>
      </c>
      <c r="D6" s="31" t="s">
        <v>687</v>
      </c>
      <c r="F6" s="31" t="s">
        <v>659</v>
      </c>
      <c r="G6" s="31" t="s">
        <v>673</v>
      </c>
      <c r="H6" s="31" t="s">
        <v>689</v>
      </c>
      <c r="J6" s="17" t="s">
        <v>750</v>
      </c>
      <c r="K6" s="17"/>
      <c r="L6" s="17" t="s">
        <v>157</v>
      </c>
      <c r="M6" s="17" t="s">
        <v>299</v>
      </c>
      <c r="N6" s="17" t="s">
        <v>754</v>
      </c>
      <c r="O6" s="17" t="s">
        <v>322</v>
      </c>
      <c r="P6" s="17" t="s">
        <v>688</v>
      </c>
      <c r="Q6" s="17" t="s">
        <v>860</v>
      </c>
      <c r="R6" s="17" t="s">
        <v>674</v>
      </c>
      <c r="S6" s="17" t="s">
        <v>705</v>
      </c>
      <c r="T6" t="s">
        <v>592</v>
      </c>
      <c r="V6" t="s">
        <v>683</v>
      </c>
      <c r="X6" t="s">
        <v>696</v>
      </c>
      <c r="AB6" t="s">
        <v>2411</v>
      </c>
      <c r="AD6" s="49" t="s">
        <v>162</v>
      </c>
      <c r="AE6" s="49">
        <f t="shared" si="1"/>
        <v>0</v>
      </c>
    </row>
    <row r="7" spans="1:34">
      <c r="A7" t="s">
        <v>687</v>
      </c>
      <c r="B7" s="31">
        <f t="shared" si="0"/>
        <v>1</v>
      </c>
      <c r="D7" s="31" t="s">
        <v>651</v>
      </c>
      <c r="F7" s="31" t="s">
        <v>746</v>
      </c>
      <c r="G7" s="31" t="s">
        <v>692</v>
      </c>
      <c r="H7" s="31" t="s">
        <v>691</v>
      </c>
      <c r="J7" s="17" t="s">
        <v>673</v>
      </c>
      <c r="K7" s="17"/>
      <c r="L7" s="17" t="s">
        <v>158</v>
      </c>
      <c r="M7" s="17" t="s">
        <v>301</v>
      </c>
      <c r="N7" s="17" t="s">
        <v>849</v>
      </c>
      <c r="O7" s="17" t="s">
        <v>298</v>
      </c>
      <c r="P7" s="17" t="s">
        <v>243</v>
      </c>
      <c r="Q7" s="17" t="s">
        <v>295</v>
      </c>
      <c r="R7" s="17" t="s">
        <v>728</v>
      </c>
      <c r="S7" s="17" t="s">
        <v>308</v>
      </c>
      <c r="T7" t="s">
        <v>688</v>
      </c>
      <c r="V7" t="s">
        <v>716</v>
      </c>
      <c r="X7" t="s">
        <v>298</v>
      </c>
      <c r="AB7" t="s">
        <v>2412</v>
      </c>
      <c r="AD7" s="49" t="s">
        <v>2460</v>
      </c>
      <c r="AE7" s="49">
        <f t="shared" si="1"/>
        <v>1</v>
      </c>
    </row>
    <row r="8" spans="1:34">
      <c r="A8" t="s">
        <v>651</v>
      </c>
      <c r="B8" s="31">
        <f t="shared" si="0"/>
        <v>1</v>
      </c>
      <c r="D8" s="31" t="s">
        <v>652</v>
      </c>
      <c r="F8" s="31" t="s">
        <v>747</v>
      </c>
      <c r="G8" s="31" t="s">
        <v>693</v>
      </c>
      <c r="H8" s="31" t="s">
        <v>694</v>
      </c>
      <c r="J8" s="17" t="s">
        <v>686</v>
      </c>
      <c r="K8" s="17"/>
      <c r="L8" s="17" t="s">
        <v>742</v>
      </c>
      <c r="M8" s="17" t="s">
        <v>312</v>
      </c>
      <c r="N8" s="17" t="s">
        <v>583</v>
      </c>
      <c r="O8" s="17" t="s">
        <v>294</v>
      </c>
      <c r="P8" s="17" t="s">
        <v>330</v>
      </c>
      <c r="Q8" s="17" t="s">
        <v>693</v>
      </c>
      <c r="R8" s="17" t="s">
        <v>727</v>
      </c>
      <c r="S8" s="17" t="s">
        <v>285</v>
      </c>
      <c r="T8" t="s">
        <v>337</v>
      </c>
      <c r="V8" t="s">
        <v>697</v>
      </c>
      <c r="X8" t="s">
        <v>331</v>
      </c>
      <c r="AB8" t="s">
        <v>2413</v>
      </c>
      <c r="AD8" s="49" t="s">
        <v>651</v>
      </c>
      <c r="AE8" s="49">
        <f t="shared" si="1"/>
        <v>1</v>
      </c>
    </row>
    <row r="9" spans="1:34">
      <c r="A9" t="s">
        <v>652</v>
      </c>
      <c r="B9" s="31">
        <f t="shared" si="0"/>
        <v>1</v>
      </c>
      <c r="D9" s="31" t="s">
        <v>653</v>
      </c>
      <c r="F9" s="31" t="s">
        <v>748</v>
      </c>
      <c r="G9" s="31" t="s">
        <v>246</v>
      </c>
      <c r="H9" s="31" t="s">
        <v>704</v>
      </c>
      <c r="J9" s="17" t="s">
        <v>305</v>
      </c>
      <c r="K9" s="17"/>
      <c r="L9" s="17" t="s">
        <v>160</v>
      </c>
      <c r="M9" s="17" t="s">
        <v>592</v>
      </c>
      <c r="N9" s="17" t="s">
        <v>685</v>
      </c>
      <c r="O9" s="17" t="s">
        <v>286</v>
      </c>
      <c r="P9" s="17" t="s">
        <v>284</v>
      </c>
      <c r="Q9" s="17" t="s">
        <v>715</v>
      </c>
      <c r="R9" s="17" t="s">
        <v>723</v>
      </c>
      <c r="S9" s="17" t="s">
        <v>332</v>
      </c>
      <c r="T9" t="s">
        <v>285</v>
      </c>
      <c r="V9" t="s">
        <v>593</v>
      </c>
      <c r="X9" t="s">
        <v>243</v>
      </c>
      <c r="AB9" t="s">
        <v>2414</v>
      </c>
      <c r="AD9" s="49" t="s">
        <v>775</v>
      </c>
      <c r="AE9" s="49">
        <f t="shared" si="1"/>
        <v>1</v>
      </c>
    </row>
    <row r="10" spans="1:34">
      <c r="A10" t="s">
        <v>653</v>
      </c>
      <c r="B10" s="31">
        <f t="shared" si="0"/>
        <v>1</v>
      </c>
      <c r="D10" s="31" t="s">
        <v>654</v>
      </c>
      <c r="F10" s="31" t="s">
        <v>667</v>
      </c>
      <c r="G10" s="31" t="s">
        <v>294</v>
      </c>
      <c r="H10" s="31" t="s">
        <v>717</v>
      </c>
      <c r="J10" s="17" t="s">
        <v>307</v>
      </c>
      <c r="K10" s="17"/>
      <c r="L10" s="17" t="s">
        <v>161</v>
      </c>
      <c r="M10" s="17" t="s">
        <v>318</v>
      </c>
      <c r="N10" s="17" t="s">
        <v>313</v>
      </c>
      <c r="O10" s="17" t="s">
        <v>244</v>
      </c>
      <c r="P10" s="17" t="s">
        <v>314</v>
      </c>
      <c r="Q10" s="17" t="s">
        <v>725</v>
      </c>
      <c r="R10" s="17" t="s">
        <v>857</v>
      </c>
      <c r="S10" s="17" t="s">
        <v>689</v>
      </c>
      <c r="T10" t="s">
        <v>712</v>
      </c>
      <c r="V10" t="s">
        <v>678</v>
      </c>
      <c r="X10" t="s">
        <v>288</v>
      </c>
      <c r="AB10" t="s">
        <v>2415</v>
      </c>
      <c r="AD10" s="49" t="s">
        <v>653</v>
      </c>
      <c r="AE10" s="49">
        <f t="shared" si="1"/>
        <v>0</v>
      </c>
    </row>
    <row r="11" spans="1:34">
      <c r="A11" t="s">
        <v>654</v>
      </c>
      <c r="B11" s="31">
        <f t="shared" si="0"/>
        <v>1</v>
      </c>
      <c r="D11" s="31" t="s">
        <v>655</v>
      </c>
      <c r="F11" s="31" t="s">
        <v>671</v>
      </c>
      <c r="G11" s="31" t="s">
        <v>695</v>
      </c>
      <c r="H11" s="31" t="s">
        <v>312</v>
      </c>
      <c r="J11" s="17" t="s">
        <v>699</v>
      </c>
      <c r="K11" s="17"/>
      <c r="L11" s="17" t="s">
        <v>687</v>
      </c>
      <c r="M11" s="17" t="s">
        <v>303</v>
      </c>
      <c r="N11" s="17" t="s">
        <v>694</v>
      </c>
      <c r="O11" s="17" t="s">
        <v>287</v>
      </c>
      <c r="P11" s="17" t="s">
        <v>850</v>
      </c>
      <c r="Q11" s="17" t="s">
        <v>731</v>
      </c>
      <c r="R11" s="17"/>
      <c r="S11" s="17" t="s">
        <v>691</v>
      </c>
      <c r="T11" t="s">
        <v>753</v>
      </c>
      <c r="X11" t="s">
        <v>316</v>
      </c>
      <c r="AB11" t="s">
        <v>2416</v>
      </c>
      <c r="AD11" s="49" t="s">
        <v>654</v>
      </c>
      <c r="AE11" s="49">
        <f t="shared" si="1"/>
        <v>1</v>
      </c>
    </row>
    <row r="12" spans="1:34">
      <c r="A12" t="s">
        <v>655</v>
      </c>
      <c r="B12" s="31">
        <f t="shared" si="0"/>
        <v>1</v>
      </c>
      <c r="D12" s="31" t="s">
        <v>656</v>
      </c>
      <c r="F12" s="31" t="s">
        <v>672</v>
      </c>
      <c r="G12" s="31" t="s">
        <v>594</v>
      </c>
      <c r="H12" s="31" t="s">
        <v>336</v>
      </c>
      <c r="J12" s="17" t="s">
        <v>865</v>
      </c>
      <c r="K12" s="17"/>
      <c r="L12" s="17" t="s">
        <v>651</v>
      </c>
      <c r="M12" s="17" t="s">
        <v>682</v>
      </c>
      <c r="N12" s="17" t="s">
        <v>698</v>
      </c>
      <c r="O12" s="17" t="s">
        <v>309</v>
      </c>
      <c r="P12" s="17" t="s">
        <v>594</v>
      </c>
      <c r="Q12" s="17" t="s">
        <v>859</v>
      </c>
      <c r="R12" s="17"/>
      <c r="S12" s="17" t="s">
        <v>755</v>
      </c>
      <c r="T12" t="s">
        <v>714</v>
      </c>
      <c r="X12" t="s">
        <v>715</v>
      </c>
      <c r="AB12" t="s">
        <v>2150</v>
      </c>
      <c r="AD12" s="49" t="s">
        <v>655</v>
      </c>
      <c r="AE12" s="49">
        <f t="shared" si="1"/>
        <v>0</v>
      </c>
    </row>
    <row r="13" spans="1:34">
      <c r="A13" t="s">
        <v>656</v>
      </c>
      <c r="B13" s="31">
        <f t="shared" si="0"/>
        <v>1</v>
      </c>
      <c r="D13" s="31" t="s">
        <v>743</v>
      </c>
      <c r="F13" s="31" t="s">
        <v>674</v>
      </c>
      <c r="G13" s="31" t="s">
        <v>289</v>
      </c>
      <c r="H13" s="31" t="s">
        <v>330</v>
      </c>
      <c r="J13" s="17" t="s">
        <v>866</v>
      </c>
      <c r="K13" s="17"/>
      <c r="L13" s="17" t="s">
        <v>652</v>
      </c>
      <c r="M13" s="17" t="s">
        <v>692</v>
      </c>
      <c r="N13" s="17" t="s">
        <v>696</v>
      </c>
      <c r="O13" s="17" t="s">
        <v>683</v>
      </c>
      <c r="P13" s="17" t="s">
        <v>762</v>
      </c>
      <c r="Q13" s="17" t="s">
        <v>732</v>
      </c>
      <c r="R13" s="17"/>
      <c r="S13" s="17" t="s">
        <v>704</v>
      </c>
      <c r="T13" t="s">
        <v>720</v>
      </c>
      <c r="X13" t="s">
        <v>311</v>
      </c>
      <c r="AB13" t="s">
        <v>2417</v>
      </c>
      <c r="AD13" s="49" t="s">
        <v>656</v>
      </c>
      <c r="AE13" s="49">
        <f t="shared" si="1"/>
        <v>1</v>
      </c>
    </row>
    <row r="14" spans="1:34">
      <c r="A14" t="s">
        <v>657</v>
      </c>
      <c r="B14" s="31">
        <f t="shared" si="0"/>
        <v>1</v>
      </c>
      <c r="D14" s="31" t="s">
        <v>676</v>
      </c>
      <c r="F14" s="31" t="s">
        <v>677</v>
      </c>
      <c r="G14" s="31" t="s">
        <v>247</v>
      </c>
      <c r="H14" s="31" t="s">
        <v>325</v>
      </c>
      <c r="J14" s="17" t="s">
        <v>867</v>
      </c>
      <c r="K14" s="17"/>
      <c r="L14" s="17" t="s">
        <v>654</v>
      </c>
      <c r="M14" s="17" t="s">
        <v>710</v>
      </c>
      <c r="N14" s="17" t="s">
        <v>695</v>
      </c>
      <c r="O14" s="17" t="s">
        <v>690</v>
      </c>
      <c r="P14" s="17" t="s">
        <v>288</v>
      </c>
      <c r="Q14" s="17" t="s">
        <v>247</v>
      </c>
      <c r="R14" s="17"/>
      <c r="S14" s="17" t="s">
        <v>337</v>
      </c>
      <c r="T14" t="s">
        <v>301</v>
      </c>
      <c r="X14" t="s">
        <v>292</v>
      </c>
      <c r="AB14" t="s">
        <v>2418</v>
      </c>
      <c r="AD14" s="49" t="s">
        <v>2462</v>
      </c>
      <c r="AE14" s="49">
        <f t="shared" si="1"/>
        <v>1</v>
      </c>
    </row>
    <row r="15" spans="1:34">
      <c r="A15" t="s">
        <v>661</v>
      </c>
      <c r="B15" s="31">
        <f t="shared" si="0"/>
        <v>1</v>
      </c>
      <c r="D15" s="31" t="s">
        <v>680</v>
      </c>
      <c r="F15" s="31" t="s">
        <v>678</v>
      </c>
      <c r="G15" s="31" t="s">
        <v>698</v>
      </c>
      <c r="H15" s="31" t="s">
        <v>851</v>
      </c>
      <c r="J15" s="17" t="s">
        <v>868</v>
      </c>
      <c r="K15" s="17"/>
      <c r="L15" s="17" t="s">
        <v>163</v>
      </c>
      <c r="M15" s="17" t="s">
        <v>306</v>
      </c>
      <c r="N15" s="17" t="s">
        <v>593</v>
      </c>
      <c r="O15" s="17" t="s">
        <v>289</v>
      </c>
      <c r="P15" s="17" t="s">
        <v>717</v>
      </c>
      <c r="Q15" s="17" t="s">
        <v>321</v>
      </c>
      <c r="R15" s="17"/>
      <c r="S15" s="17" t="s">
        <v>323</v>
      </c>
      <c r="X15" t="s">
        <v>321</v>
      </c>
      <c r="AB15" t="s">
        <v>747</v>
      </c>
      <c r="AD15" s="49" t="s">
        <v>661</v>
      </c>
      <c r="AE15" s="49">
        <f t="shared" si="1"/>
        <v>0</v>
      </c>
    </row>
    <row r="16" spans="1:34">
      <c r="A16" t="s">
        <v>662</v>
      </c>
      <c r="B16" s="31">
        <f t="shared" si="0"/>
        <v>1</v>
      </c>
      <c r="D16" s="31" t="s">
        <v>740</v>
      </c>
      <c r="F16" s="31" t="s">
        <v>679</v>
      </c>
      <c r="G16" s="31" t="s">
        <v>287</v>
      </c>
      <c r="H16" s="31" t="s">
        <v>731</v>
      </c>
      <c r="J16" s="17" t="s">
        <v>869</v>
      </c>
      <c r="K16" s="17"/>
      <c r="L16" s="17" t="s">
        <v>672</v>
      </c>
      <c r="M16" s="17" t="s">
        <v>326</v>
      </c>
      <c r="N16" s="17" t="s">
        <v>246</v>
      </c>
      <c r="O16" s="17" t="s">
        <v>751</v>
      </c>
      <c r="P16" s="17" t="s">
        <v>712</v>
      </c>
      <c r="Q16" s="17" t="s">
        <v>718</v>
      </c>
      <c r="R16" s="17"/>
      <c r="S16" s="17" t="s">
        <v>753</v>
      </c>
      <c r="T16" t="s">
        <v>287</v>
      </c>
      <c r="V16" t="s">
        <v>332</v>
      </c>
      <c r="X16" t="s">
        <v>327</v>
      </c>
      <c r="AB16" t="s">
        <v>2419</v>
      </c>
      <c r="AD16" s="49" t="s">
        <v>662</v>
      </c>
      <c r="AE16" s="49">
        <f t="shared" si="1"/>
        <v>0</v>
      </c>
    </row>
    <row r="17" spans="1:31">
      <c r="A17" t="s">
        <v>319</v>
      </c>
      <c r="B17" s="31">
        <f t="shared" si="0"/>
        <v>1</v>
      </c>
      <c r="D17" s="31" t="s">
        <v>215</v>
      </c>
      <c r="F17" s="31" t="s">
        <v>682</v>
      </c>
      <c r="G17" s="31" t="s">
        <v>710</v>
      </c>
      <c r="H17" s="31" t="s">
        <v>302</v>
      </c>
      <c r="J17" s="34" t="s">
        <v>870</v>
      </c>
      <c r="K17" s="17"/>
      <c r="L17" s="17" t="s">
        <v>702</v>
      </c>
      <c r="M17" s="17"/>
      <c r="N17" s="17"/>
      <c r="O17" s="17" t="s">
        <v>763</v>
      </c>
      <c r="P17" s="17" t="s">
        <v>675</v>
      </c>
      <c r="Q17" s="17" t="s">
        <v>327</v>
      </c>
      <c r="R17" s="17"/>
      <c r="S17" s="17" t="s">
        <v>325</v>
      </c>
      <c r="T17" t="s">
        <v>329</v>
      </c>
      <c r="V17" t="s">
        <v>691</v>
      </c>
      <c r="X17" t="s">
        <v>678</v>
      </c>
      <c r="AB17" t="s">
        <v>2420</v>
      </c>
      <c r="AD17" s="49" t="s">
        <v>319</v>
      </c>
      <c r="AE17" s="49">
        <f t="shared" si="1"/>
        <v>1</v>
      </c>
    </row>
    <row r="18" spans="1:31">
      <c r="A18" t="s">
        <v>163</v>
      </c>
      <c r="B18" s="31">
        <f t="shared" si="0"/>
        <v>1</v>
      </c>
      <c r="D18" s="31" t="s">
        <v>709</v>
      </c>
      <c r="F18" s="31" t="s">
        <v>683</v>
      </c>
      <c r="G18" s="31" t="s">
        <v>763</v>
      </c>
      <c r="H18" s="31" t="s">
        <v>298</v>
      </c>
      <c r="J18" s="34" t="s">
        <v>871</v>
      </c>
      <c r="K18" s="17"/>
      <c r="L18" s="17" t="s">
        <v>703</v>
      </c>
      <c r="M18" s="17"/>
      <c r="N18" s="17"/>
      <c r="O18" s="17" t="s">
        <v>655</v>
      </c>
      <c r="P18" s="17" t="s">
        <v>864</v>
      </c>
      <c r="Q18" s="17" t="s">
        <v>719</v>
      </c>
      <c r="R18" s="17"/>
      <c r="S18" s="17" t="s">
        <v>310</v>
      </c>
      <c r="T18" t="s">
        <v>310</v>
      </c>
      <c r="V18" t="s">
        <v>700</v>
      </c>
      <c r="X18" t="s">
        <v>307</v>
      </c>
      <c r="AB18" t="s">
        <v>2421</v>
      </c>
      <c r="AD18" s="49" t="s">
        <v>163</v>
      </c>
      <c r="AE18" s="49">
        <f t="shared" si="1"/>
        <v>1</v>
      </c>
    </row>
    <row r="19" spans="1:31">
      <c r="A19" t="s">
        <v>658</v>
      </c>
      <c r="B19" s="31">
        <f t="shared" si="0"/>
        <v>1</v>
      </c>
      <c r="D19" s="31" t="s">
        <v>320</v>
      </c>
      <c r="F19" s="31" t="s">
        <v>686</v>
      </c>
      <c r="G19" s="31" t="s">
        <v>714</v>
      </c>
      <c r="H19" s="31" t="s">
        <v>737</v>
      </c>
      <c r="J19" s="17" t="s">
        <v>872</v>
      </c>
      <c r="K19" s="17"/>
      <c r="L19" s="17" t="s">
        <v>706</v>
      </c>
      <c r="M19" s="17"/>
      <c r="N19" s="17"/>
      <c r="O19" s="17"/>
      <c r="P19" s="17"/>
      <c r="Q19" s="17"/>
      <c r="R19" s="17"/>
      <c r="S19" s="17" t="s">
        <v>302</v>
      </c>
      <c r="T19" t="s">
        <v>315</v>
      </c>
      <c r="V19" t="s">
        <v>858</v>
      </c>
      <c r="AB19" t="s">
        <v>2422</v>
      </c>
      <c r="AD19" s="49" t="s">
        <v>658</v>
      </c>
      <c r="AE19" s="49">
        <f t="shared" si="1"/>
        <v>0</v>
      </c>
    </row>
    <row r="20" spans="1:31">
      <c r="A20" t="s">
        <v>659</v>
      </c>
      <c r="B20" s="31">
        <f t="shared" si="0"/>
        <v>1</v>
      </c>
      <c r="D20" s="31" t="s">
        <v>305</v>
      </c>
      <c r="F20" s="31" t="s">
        <v>685</v>
      </c>
      <c r="G20" s="31" t="s">
        <v>715</v>
      </c>
      <c r="H20" s="31" t="s">
        <v>738</v>
      </c>
      <c r="J20" s="17"/>
      <c r="K20" s="17"/>
      <c r="L20" s="17" t="s">
        <v>780</v>
      </c>
      <c r="M20" s="17"/>
      <c r="N20" s="17"/>
      <c r="O20" s="17"/>
      <c r="P20" s="17"/>
      <c r="Q20" s="17"/>
      <c r="R20" s="17"/>
      <c r="S20" s="17" t="s">
        <v>714</v>
      </c>
      <c r="T20" t="s">
        <v>327</v>
      </c>
      <c r="V20" t="s">
        <v>692</v>
      </c>
      <c r="AB20" t="s">
        <v>2423</v>
      </c>
      <c r="AD20" s="49" t="s">
        <v>659</v>
      </c>
      <c r="AE20" s="49">
        <f t="shared" si="1"/>
        <v>1</v>
      </c>
    </row>
    <row r="21" spans="1:31">
      <c r="A21" t="s">
        <v>664</v>
      </c>
      <c r="B21" s="31">
        <f t="shared" si="0"/>
        <v>1</v>
      </c>
      <c r="F21" s="31" t="s">
        <v>690</v>
      </c>
      <c r="G21" s="31" t="s">
        <v>719</v>
      </c>
      <c r="J21" s="17"/>
      <c r="K21" s="17"/>
      <c r="L21" s="17" t="s">
        <v>701</v>
      </c>
      <c r="M21" s="17"/>
      <c r="N21" s="17"/>
      <c r="O21" s="17"/>
      <c r="P21" s="17"/>
      <c r="Q21" s="17"/>
      <c r="R21" s="17"/>
      <c r="S21" s="17" t="s">
        <v>716</v>
      </c>
      <c r="T21" t="s">
        <v>302</v>
      </c>
      <c r="AB21" t="s">
        <v>2424</v>
      </c>
      <c r="AD21" s="49" t="s">
        <v>664</v>
      </c>
      <c r="AE21" s="49">
        <f t="shared" si="1"/>
        <v>0</v>
      </c>
    </row>
    <row r="22" spans="1:31">
      <c r="A22" t="s">
        <v>660</v>
      </c>
      <c r="B22" s="31">
        <f t="shared" si="0"/>
        <v>1</v>
      </c>
      <c r="F22" s="31" t="s">
        <v>244</v>
      </c>
      <c r="G22" s="31" t="s">
        <v>722</v>
      </c>
      <c r="J22" s="17"/>
      <c r="K22" s="17"/>
      <c r="L22" s="17"/>
      <c r="M22" s="17"/>
      <c r="N22" s="17"/>
      <c r="O22" s="17"/>
      <c r="P22" s="17"/>
      <c r="Q22" s="17"/>
      <c r="R22" s="17"/>
      <c r="S22" s="17" t="s">
        <v>720</v>
      </c>
      <c r="T22" t="s">
        <v>730</v>
      </c>
      <c r="AB22" t="s">
        <v>2425</v>
      </c>
      <c r="AD22" s="49" t="s">
        <v>660</v>
      </c>
      <c r="AE22" s="49">
        <f t="shared" si="1"/>
        <v>0</v>
      </c>
    </row>
    <row r="23" spans="1:31">
      <c r="A23" t="s">
        <v>663</v>
      </c>
      <c r="B23" s="31">
        <f t="shared" si="0"/>
        <v>1</v>
      </c>
      <c r="F23" s="31" t="s">
        <v>243</v>
      </c>
      <c r="G23" s="31" t="s">
        <v>723</v>
      </c>
      <c r="J23" s="17"/>
      <c r="K23" s="17"/>
      <c r="L23" s="17"/>
      <c r="M23" s="17"/>
      <c r="N23" s="17"/>
      <c r="O23" s="17"/>
      <c r="P23" s="17"/>
      <c r="Q23" s="17"/>
      <c r="R23" s="17"/>
      <c r="S23" s="17" t="s">
        <v>315</v>
      </c>
      <c r="T23" s="19" t="s">
        <v>325</v>
      </c>
      <c r="V23" t="s">
        <v>311</v>
      </c>
      <c r="AB23" t="s">
        <v>2426</v>
      </c>
      <c r="AD23" s="49" t="s">
        <v>663</v>
      </c>
      <c r="AE23" s="49">
        <f t="shared" si="1"/>
        <v>1</v>
      </c>
    </row>
    <row r="24" spans="1:31">
      <c r="A24" t="s">
        <v>665</v>
      </c>
      <c r="B24" s="31">
        <f t="shared" si="0"/>
        <v>1</v>
      </c>
      <c r="F24" s="31" t="s">
        <v>696</v>
      </c>
      <c r="G24" s="31" t="s">
        <v>592</v>
      </c>
      <c r="I24" s="17" t="s">
        <v>863</v>
      </c>
      <c r="J24" s="17"/>
      <c r="K24" s="17"/>
      <c r="L24" s="17"/>
      <c r="M24" s="17"/>
      <c r="N24" s="17"/>
      <c r="O24" s="17"/>
      <c r="P24" s="17"/>
      <c r="Q24" s="17"/>
      <c r="R24" s="17"/>
      <c r="S24" s="17" t="s">
        <v>724</v>
      </c>
      <c r="T24" s="31"/>
      <c r="AB24" t="s">
        <v>2427</v>
      </c>
      <c r="AD24" s="49" t="s">
        <v>665</v>
      </c>
      <c r="AE24" s="49">
        <f t="shared" si="1"/>
        <v>0</v>
      </c>
    </row>
    <row r="25" spans="1:31">
      <c r="A25" t="s">
        <v>666</v>
      </c>
      <c r="B25" s="31">
        <f t="shared" si="0"/>
        <v>1</v>
      </c>
      <c r="F25" s="31" t="s">
        <v>697</v>
      </c>
      <c r="G25" s="31" t="s">
        <v>593</v>
      </c>
      <c r="I25" s="17" t="s">
        <v>746</v>
      </c>
      <c r="M25" s="31"/>
      <c r="N25" s="31"/>
      <c r="O25" s="31"/>
      <c r="P25" s="31"/>
      <c r="Q25" s="31"/>
      <c r="S25" s="17" t="s">
        <v>697</v>
      </c>
      <c r="T25" t="s">
        <v>318</v>
      </c>
      <c r="AB25" t="s">
        <v>2428</v>
      </c>
      <c r="AD25" s="49" t="s">
        <v>666</v>
      </c>
      <c r="AE25" s="49">
        <f t="shared" si="1"/>
        <v>0</v>
      </c>
    </row>
    <row r="26" spans="1:31">
      <c r="A26" t="s">
        <v>667</v>
      </c>
      <c r="B26" s="31">
        <f t="shared" si="0"/>
        <v>1</v>
      </c>
      <c r="F26" s="31" t="s">
        <v>699</v>
      </c>
      <c r="G26" s="31" t="s">
        <v>293</v>
      </c>
      <c r="I26" s="17" t="s">
        <v>671</v>
      </c>
      <c r="K26" t="s">
        <v>781</v>
      </c>
      <c r="M26" s="17" t="s">
        <v>30</v>
      </c>
      <c r="N26" s="17" t="s">
        <v>7</v>
      </c>
      <c r="O26" s="17" t="s">
        <v>8</v>
      </c>
      <c r="P26" s="17" t="s">
        <v>31</v>
      </c>
      <c r="Q26" s="17" t="s">
        <v>32</v>
      </c>
      <c r="S26" s="17" t="s">
        <v>713</v>
      </c>
      <c r="T26" t="s">
        <v>326</v>
      </c>
      <c r="AB26" t="s">
        <v>2429</v>
      </c>
      <c r="AD26" s="49" t="s">
        <v>667</v>
      </c>
      <c r="AE26" s="49">
        <f t="shared" si="1"/>
        <v>0</v>
      </c>
    </row>
    <row r="27" spans="1:31">
      <c r="A27" t="s">
        <v>668</v>
      </c>
      <c r="B27" s="31">
        <f t="shared" si="0"/>
        <v>1</v>
      </c>
      <c r="F27" s="31" t="s">
        <v>700</v>
      </c>
      <c r="G27" s="31" t="s">
        <v>335</v>
      </c>
      <c r="I27" s="17" t="s">
        <v>744</v>
      </c>
      <c r="K27" t="s">
        <v>782</v>
      </c>
      <c r="M27" s="17"/>
      <c r="O27" s="17" t="s">
        <v>331</v>
      </c>
      <c r="P27" s="17" t="s">
        <v>328</v>
      </c>
      <c r="Q27" s="17" t="s">
        <v>245</v>
      </c>
      <c r="S27" s="17" t="s">
        <v>708</v>
      </c>
      <c r="T27" t="s">
        <v>754</v>
      </c>
      <c r="AB27" t="s">
        <v>2431</v>
      </c>
      <c r="AD27" s="49" t="s">
        <v>668</v>
      </c>
      <c r="AE27" s="49">
        <f t="shared" si="1"/>
        <v>0</v>
      </c>
    </row>
    <row r="28" spans="1:31">
      <c r="A28" t="s">
        <v>333</v>
      </c>
      <c r="B28" s="31">
        <f t="shared" si="0"/>
        <v>1</v>
      </c>
      <c r="F28" s="31" t="s">
        <v>701</v>
      </c>
      <c r="G28" s="31" t="s">
        <v>329</v>
      </c>
      <c r="I28" s="17" t="s">
        <v>741</v>
      </c>
      <c r="K28" t="s">
        <v>783</v>
      </c>
      <c r="M28" s="17"/>
      <c r="N28" s="17"/>
      <c r="O28" s="17"/>
      <c r="P28" s="17"/>
      <c r="Q28" s="17"/>
      <c r="S28" s="17" t="s">
        <v>729</v>
      </c>
      <c r="T28" t="s">
        <v>685</v>
      </c>
      <c r="AB28" t="s">
        <v>2430</v>
      </c>
      <c r="AD28" s="49" t="s">
        <v>2463</v>
      </c>
      <c r="AE28" s="49">
        <f t="shared" si="1"/>
        <v>1</v>
      </c>
    </row>
    <row r="29" spans="1:31">
      <c r="A29" t="s">
        <v>669</v>
      </c>
      <c r="B29" s="31">
        <f t="shared" si="0"/>
        <v>1</v>
      </c>
      <c r="F29" s="31" t="s">
        <v>702</v>
      </c>
      <c r="G29" s="31" t="s">
        <v>332</v>
      </c>
      <c r="I29" s="17" t="s">
        <v>736</v>
      </c>
      <c r="K29" t="s">
        <v>846</v>
      </c>
      <c r="M29" s="17"/>
      <c r="N29" s="17"/>
      <c r="O29" s="17"/>
      <c r="P29" s="17"/>
      <c r="Q29" s="17"/>
      <c r="T29" t="s">
        <v>704</v>
      </c>
      <c r="AB29" t="s">
        <v>2432</v>
      </c>
      <c r="AD29" s="49" t="s">
        <v>669</v>
      </c>
      <c r="AE29" s="49">
        <f t="shared" si="1"/>
        <v>0</v>
      </c>
    </row>
    <row r="30" spans="1:31">
      <c r="A30" t="s">
        <v>670</v>
      </c>
      <c r="B30" s="31">
        <f t="shared" si="0"/>
        <v>1</v>
      </c>
      <c r="F30" s="31" t="s">
        <v>703</v>
      </c>
      <c r="G30" s="31" t="s">
        <v>286</v>
      </c>
      <c r="I30" s="17" t="s">
        <v>734</v>
      </c>
      <c r="K30" t="s">
        <v>847</v>
      </c>
      <c r="M30" s="17"/>
      <c r="N30" s="17"/>
      <c r="O30" s="17"/>
      <c r="P30" s="17"/>
      <c r="Q30" s="17"/>
      <c r="T30" t="s">
        <v>293</v>
      </c>
      <c r="U30" t="s">
        <v>316</v>
      </c>
      <c r="AB30" t="s">
        <v>2433</v>
      </c>
      <c r="AD30" s="49" t="s">
        <v>670</v>
      </c>
      <c r="AE30" s="49">
        <f t="shared" si="1"/>
        <v>0</v>
      </c>
    </row>
    <row r="31" spans="1:31">
      <c r="A31" t="s">
        <v>305</v>
      </c>
      <c r="B31" s="31">
        <f t="shared" si="0"/>
        <v>1</v>
      </c>
      <c r="F31" s="31" t="s">
        <v>705</v>
      </c>
      <c r="G31" s="31" t="s">
        <v>306</v>
      </c>
      <c r="I31" s="17" t="s">
        <v>733</v>
      </c>
      <c r="M31" s="17" t="s">
        <v>33</v>
      </c>
      <c r="N31" s="17" t="s">
        <v>34</v>
      </c>
      <c r="O31" s="17" t="s">
        <v>35</v>
      </c>
      <c r="P31" s="17" t="s">
        <v>36</v>
      </c>
      <c r="Q31" s="17" t="s">
        <v>37</v>
      </c>
      <c r="T31" t="s">
        <v>294</v>
      </c>
      <c r="U31" t="s">
        <v>693</v>
      </c>
      <c r="AB31" t="s">
        <v>2434</v>
      </c>
      <c r="AD31" s="49" t="s">
        <v>305</v>
      </c>
      <c r="AE31" s="49">
        <f t="shared" si="1"/>
        <v>1</v>
      </c>
    </row>
    <row r="32" spans="1:31">
      <c r="A32" t="s">
        <v>671</v>
      </c>
      <c r="B32" s="31">
        <f t="shared" si="0"/>
        <v>1</v>
      </c>
      <c r="F32" s="31" t="s">
        <v>706</v>
      </c>
      <c r="G32" s="31" t="s">
        <v>311</v>
      </c>
      <c r="I32" s="17" t="s">
        <v>737</v>
      </c>
      <c r="M32" s="17"/>
      <c r="N32" s="17"/>
      <c r="O32" s="17"/>
      <c r="P32" s="17"/>
      <c r="Q32" s="17"/>
      <c r="T32" t="s">
        <v>309</v>
      </c>
      <c r="U32" t="s">
        <v>715</v>
      </c>
      <c r="AB32" t="s">
        <v>2435</v>
      </c>
      <c r="AD32" s="49" t="s">
        <v>671</v>
      </c>
      <c r="AE32" s="49">
        <f t="shared" si="1"/>
        <v>0</v>
      </c>
    </row>
    <row r="33" spans="1:31">
      <c r="A33" t="s">
        <v>672</v>
      </c>
      <c r="B33" s="31">
        <f t="shared" ref="B33:B64" si="2">COUNTIF(A:A,A33)</f>
        <v>1</v>
      </c>
      <c r="F33" s="31" t="s">
        <v>707</v>
      </c>
      <c r="G33" s="31" t="s">
        <v>300</v>
      </c>
      <c r="I33" s="17" t="s">
        <v>738</v>
      </c>
      <c r="M33" s="17"/>
      <c r="N33" s="17"/>
      <c r="O33" s="17"/>
      <c r="P33" s="17"/>
      <c r="Q33" s="17"/>
      <c r="T33" t="s">
        <v>289</v>
      </c>
      <c r="U33" t="s">
        <v>731</v>
      </c>
      <c r="AB33" t="s">
        <v>2205</v>
      </c>
      <c r="AD33" s="49" t="s">
        <v>672</v>
      </c>
      <c r="AE33" s="49">
        <f t="shared" ref="AE33:AE64" si="3">COUNTIF(AB:AB,AD33)</f>
        <v>0</v>
      </c>
    </row>
    <row r="34" spans="1:31">
      <c r="A34" t="s">
        <v>248</v>
      </c>
      <c r="B34" s="31">
        <f t="shared" si="2"/>
        <v>1</v>
      </c>
      <c r="F34" s="31" t="s">
        <v>712</v>
      </c>
      <c r="G34" s="31" t="s">
        <v>316</v>
      </c>
      <c r="I34" s="17" t="s">
        <v>735</v>
      </c>
      <c r="T34" t="s">
        <v>300</v>
      </c>
      <c r="U34" t="s">
        <v>292</v>
      </c>
      <c r="AB34" t="s">
        <v>2436</v>
      </c>
      <c r="AD34" s="49" t="s">
        <v>248</v>
      </c>
      <c r="AE34" s="49">
        <f t="shared" si="3"/>
        <v>0</v>
      </c>
    </row>
    <row r="35" spans="1:31">
      <c r="A35" t="s">
        <v>673</v>
      </c>
      <c r="B35" s="31">
        <f t="shared" si="2"/>
        <v>1</v>
      </c>
      <c r="F35" s="31" t="s">
        <v>291</v>
      </c>
      <c r="G35" s="31" t="s">
        <v>337</v>
      </c>
      <c r="I35" s="17" t="s">
        <v>667</v>
      </c>
      <c r="T35" t="s">
        <v>243</v>
      </c>
      <c r="U35" t="s">
        <v>708</v>
      </c>
      <c r="AB35" t="s">
        <v>2437</v>
      </c>
      <c r="AD35" s="49" t="s">
        <v>2464</v>
      </c>
      <c r="AE35" s="49">
        <f t="shared" si="3"/>
        <v>1</v>
      </c>
    </row>
    <row r="36" spans="1:31">
      <c r="A36" t="s">
        <v>674</v>
      </c>
      <c r="B36" s="31">
        <f t="shared" si="2"/>
        <v>1</v>
      </c>
      <c r="F36" s="31" t="s">
        <v>716</v>
      </c>
      <c r="G36" s="31" t="s">
        <v>732</v>
      </c>
      <c r="T36" t="s">
        <v>288</v>
      </c>
      <c r="U36" t="s">
        <v>857</v>
      </c>
      <c r="AB36" t="s">
        <v>2438</v>
      </c>
      <c r="AD36" s="49" t="s">
        <v>674</v>
      </c>
      <c r="AE36" s="49">
        <f t="shared" si="3"/>
        <v>0</v>
      </c>
    </row>
    <row r="37" spans="1:31">
      <c r="A37" t="s">
        <v>675</v>
      </c>
      <c r="B37" s="31">
        <f t="shared" si="2"/>
        <v>1</v>
      </c>
      <c r="F37" s="31" t="s">
        <v>245</v>
      </c>
      <c r="G37" s="31" t="s">
        <v>734</v>
      </c>
      <c r="T37" t="s">
        <v>717</v>
      </c>
      <c r="U37" t="s">
        <v>328</v>
      </c>
      <c r="AB37" t="s">
        <v>2439</v>
      </c>
      <c r="AD37" s="49" t="s">
        <v>675</v>
      </c>
      <c r="AE37" s="49">
        <f t="shared" si="3"/>
        <v>0</v>
      </c>
    </row>
    <row r="38" spans="1:31">
      <c r="A38" t="s">
        <v>676</v>
      </c>
      <c r="B38" s="31">
        <f t="shared" si="2"/>
        <v>1</v>
      </c>
      <c r="F38" s="31" t="s">
        <v>718</v>
      </c>
      <c r="G38" s="31" t="s">
        <v>735</v>
      </c>
      <c r="I38" s="31"/>
      <c r="J38" s="31"/>
      <c r="K38" s="31"/>
      <c r="L38" s="31"/>
      <c r="M38" s="31"/>
      <c r="N38" s="31"/>
      <c r="O38" s="31"/>
      <c r="P38" s="31"/>
      <c r="Q38" s="31"/>
      <c r="R38" s="31"/>
      <c r="S38" s="31"/>
      <c r="T38" t="s">
        <v>242</v>
      </c>
      <c r="AB38" t="s">
        <v>2440</v>
      </c>
      <c r="AD38" s="49" t="s">
        <v>676</v>
      </c>
      <c r="AE38" s="49">
        <f t="shared" si="3"/>
        <v>1</v>
      </c>
    </row>
    <row r="39" spans="1:31">
      <c r="A39" t="s">
        <v>677</v>
      </c>
      <c r="B39" s="31">
        <f t="shared" si="2"/>
        <v>1</v>
      </c>
      <c r="F39" s="31" t="s">
        <v>720</v>
      </c>
      <c r="I39" s="31"/>
      <c r="J39" s="31"/>
      <c r="K39" s="31"/>
      <c r="L39" s="31"/>
      <c r="M39" s="31"/>
      <c r="N39" s="31"/>
      <c r="O39" s="31"/>
      <c r="P39" s="31"/>
      <c r="Q39" s="31"/>
      <c r="R39" s="31"/>
      <c r="S39" s="31"/>
      <c r="AB39" t="s">
        <v>2441</v>
      </c>
      <c r="AD39" s="49" t="s">
        <v>677</v>
      </c>
      <c r="AE39" s="49">
        <f t="shared" si="3"/>
        <v>0</v>
      </c>
    </row>
    <row r="40" spans="1:31">
      <c r="A40" t="s">
        <v>678</v>
      </c>
      <c r="B40" s="31">
        <f t="shared" si="2"/>
        <v>1</v>
      </c>
      <c r="F40" s="31" t="s">
        <v>288</v>
      </c>
      <c r="I40" s="31"/>
      <c r="J40" s="31"/>
      <c r="K40" s="31"/>
      <c r="L40" s="31"/>
      <c r="M40" s="31"/>
      <c r="N40" s="31"/>
      <c r="O40" s="31"/>
      <c r="P40" s="31"/>
      <c r="Q40" s="31"/>
      <c r="R40" s="31"/>
      <c r="S40" s="31"/>
      <c r="AB40" t="s">
        <v>2442</v>
      </c>
      <c r="AD40" s="49" t="s">
        <v>678</v>
      </c>
      <c r="AE40" s="49">
        <f t="shared" si="3"/>
        <v>0</v>
      </c>
    </row>
    <row r="41" spans="1:31">
      <c r="A41" t="s">
        <v>679</v>
      </c>
      <c r="B41" s="31">
        <f t="shared" si="2"/>
        <v>1</v>
      </c>
      <c r="F41" s="31" t="s">
        <v>284</v>
      </c>
      <c r="I41" s="31"/>
      <c r="J41" s="31"/>
      <c r="K41" s="31"/>
      <c r="L41" s="31"/>
      <c r="M41" s="31"/>
      <c r="N41" s="31"/>
      <c r="O41" s="31"/>
      <c r="P41" s="31"/>
      <c r="Q41" s="31"/>
      <c r="R41" s="31"/>
      <c r="S41" s="31"/>
      <c r="AB41" t="s">
        <v>2443</v>
      </c>
      <c r="AD41" s="49" t="s">
        <v>679</v>
      </c>
      <c r="AE41" s="49">
        <f t="shared" si="3"/>
        <v>1</v>
      </c>
    </row>
    <row r="42" spans="1:31">
      <c r="A42" t="s">
        <v>680</v>
      </c>
      <c r="B42" s="31">
        <f t="shared" si="2"/>
        <v>1</v>
      </c>
      <c r="F42" s="31" t="s">
        <v>721</v>
      </c>
      <c r="I42" s="31"/>
      <c r="J42" s="31"/>
      <c r="K42" s="31"/>
      <c r="L42" s="31"/>
      <c r="M42" s="31"/>
      <c r="N42" s="31"/>
      <c r="O42" s="31"/>
      <c r="P42" s="31"/>
      <c r="Q42" s="31"/>
      <c r="R42" s="31"/>
      <c r="S42" s="31"/>
      <c r="AB42" t="s">
        <v>2444</v>
      </c>
      <c r="AD42" s="49" t="s">
        <v>680</v>
      </c>
      <c r="AE42" s="49">
        <f t="shared" si="3"/>
        <v>1</v>
      </c>
    </row>
    <row r="43" spans="1:31">
      <c r="A43" t="s">
        <v>681</v>
      </c>
      <c r="B43" s="31">
        <f t="shared" si="2"/>
        <v>1</v>
      </c>
      <c r="F43" s="31" t="s">
        <v>242</v>
      </c>
      <c r="I43" s="31"/>
      <c r="J43" s="31"/>
      <c r="K43" s="31"/>
      <c r="L43" s="31"/>
      <c r="M43" s="31"/>
      <c r="N43" s="31"/>
      <c r="O43" s="31"/>
      <c r="P43" s="31"/>
      <c r="Q43" s="31"/>
      <c r="R43" s="31"/>
      <c r="S43" s="31"/>
      <c r="AB43" t="s">
        <v>2445</v>
      </c>
      <c r="AD43" s="49" t="s">
        <v>681</v>
      </c>
      <c r="AE43" s="49">
        <f t="shared" si="3"/>
        <v>0</v>
      </c>
    </row>
    <row r="44" spans="1:31">
      <c r="A44" t="s">
        <v>682</v>
      </c>
      <c r="B44" s="31">
        <f t="shared" si="2"/>
        <v>1</v>
      </c>
      <c r="F44" s="31" t="s">
        <v>725</v>
      </c>
      <c r="I44" s="31"/>
      <c r="J44" s="31"/>
      <c r="K44" s="31"/>
      <c r="L44" s="31"/>
      <c r="M44" s="31"/>
      <c r="N44" s="31"/>
      <c r="O44" s="31"/>
      <c r="P44" s="31"/>
      <c r="Q44" s="31"/>
      <c r="R44" s="31"/>
      <c r="S44" s="31"/>
      <c r="AB44" t="s">
        <v>2446</v>
      </c>
      <c r="AD44" s="49" t="s">
        <v>682</v>
      </c>
      <c r="AE44" s="49">
        <f t="shared" si="3"/>
        <v>1</v>
      </c>
    </row>
    <row r="45" spans="1:31">
      <c r="A45" t="s">
        <v>683</v>
      </c>
      <c r="B45" s="31">
        <f t="shared" si="2"/>
        <v>1</v>
      </c>
      <c r="F45" s="31" t="s">
        <v>755</v>
      </c>
      <c r="I45" s="31"/>
      <c r="J45" s="31"/>
      <c r="K45" s="31"/>
      <c r="L45" s="31"/>
      <c r="M45" s="31"/>
      <c r="N45" s="31"/>
      <c r="O45" s="31"/>
      <c r="P45" s="31"/>
      <c r="Q45" s="31"/>
      <c r="R45" s="31"/>
      <c r="S45" s="31"/>
      <c r="AB45" t="s">
        <v>2447</v>
      </c>
      <c r="AD45" s="49" t="s">
        <v>683</v>
      </c>
      <c r="AE45" s="49">
        <f t="shared" si="3"/>
        <v>1</v>
      </c>
    </row>
    <row r="46" spans="1:31">
      <c r="A46" t="s">
        <v>684</v>
      </c>
      <c r="B46" s="31">
        <f t="shared" si="2"/>
        <v>1</v>
      </c>
      <c r="F46" s="31" t="s">
        <v>295</v>
      </c>
      <c r="I46" s="31"/>
      <c r="J46" s="31"/>
      <c r="K46" s="31"/>
      <c r="L46" s="31"/>
      <c r="M46" s="31"/>
      <c r="N46" s="31"/>
      <c r="O46" s="31"/>
      <c r="P46" s="31"/>
      <c r="Q46" s="31"/>
      <c r="R46" s="31"/>
      <c r="S46" s="31"/>
      <c r="AB46" t="s">
        <v>2448</v>
      </c>
      <c r="AD46" s="49" t="s">
        <v>684</v>
      </c>
      <c r="AE46" s="49">
        <f t="shared" si="3"/>
        <v>1</v>
      </c>
    </row>
    <row r="47" spans="1:31">
      <c r="A47" t="s">
        <v>686</v>
      </c>
      <c r="B47" s="31">
        <f t="shared" si="2"/>
        <v>1</v>
      </c>
      <c r="F47" s="31" t="s">
        <v>727</v>
      </c>
      <c r="I47" s="31"/>
      <c r="J47" s="31"/>
      <c r="K47" s="31"/>
      <c r="L47" s="31"/>
      <c r="M47" s="31"/>
      <c r="N47" s="31"/>
      <c r="O47" s="31"/>
      <c r="P47" s="31"/>
      <c r="Q47" s="31"/>
      <c r="R47" s="31"/>
      <c r="S47" s="31"/>
      <c r="AB47" t="s">
        <v>2450</v>
      </c>
      <c r="AD47" s="49" t="s">
        <v>686</v>
      </c>
      <c r="AE47" s="49">
        <f t="shared" si="3"/>
        <v>0</v>
      </c>
    </row>
    <row r="48" spans="1:31">
      <c r="A48" t="s">
        <v>685</v>
      </c>
      <c r="B48" s="31">
        <f t="shared" si="2"/>
        <v>1</v>
      </c>
      <c r="F48" s="31" t="s">
        <v>728</v>
      </c>
      <c r="I48" s="31"/>
      <c r="J48" s="31"/>
      <c r="K48" s="31"/>
      <c r="L48" s="31"/>
      <c r="M48" s="31"/>
      <c r="N48" s="31"/>
      <c r="O48" s="31"/>
      <c r="P48" s="31"/>
      <c r="Q48" s="31"/>
      <c r="R48" s="31"/>
      <c r="S48" s="31"/>
      <c r="AB48" t="s">
        <v>2449</v>
      </c>
      <c r="AD48" s="49" t="s">
        <v>685</v>
      </c>
      <c r="AE48" s="49">
        <f t="shared" si="3"/>
        <v>1</v>
      </c>
    </row>
    <row r="49" spans="1:31">
      <c r="A49" t="s">
        <v>688</v>
      </c>
      <c r="B49" s="31">
        <f t="shared" si="2"/>
        <v>1</v>
      </c>
      <c r="F49" s="31" t="s">
        <v>729</v>
      </c>
      <c r="I49" s="31"/>
      <c r="J49" s="31"/>
      <c r="K49" s="31"/>
      <c r="L49" s="31"/>
      <c r="M49" s="31"/>
      <c r="N49" s="31"/>
      <c r="O49" s="31"/>
      <c r="P49" s="31"/>
      <c r="Q49" s="31"/>
      <c r="R49" s="31"/>
      <c r="S49" s="31"/>
      <c r="AB49" t="s">
        <v>2451</v>
      </c>
      <c r="AD49" s="49" t="s">
        <v>688</v>
      </c>
      <c r="AE49" s="49">
        <f t="shared" si="3"/>
        <v>0</v>
      </c>
    </row>
    <row r="50" spans="1:31">
      <c r="A50" t="s">
        <v>689</v>
      </c>
      <c r="B50" s="31">
        <f t="shared" si="2"/>
        <v>1</v>
      </c>
      <c r="F50" s="31" t="s">
        <v>739</v>
      </c>
      <c r="I50" s="31"/>
      <c r="J50" s="31"/>
      <c r="K50" s="31"/>
      <c r="L50" s="31"/>
      <c r="M50" s="31"/>
      <c r="N50" s="31"/>
      <c r="O50" s="31"/>
      <c r="P50" s="31"/>
      <c r="Q50" s="31"/>
      <c r="R50" s="31"/>
      <c r="S50" s="31"/>
      <c r="AB50" t="s">
        <v>2452</v>
      </c>
      <c r="AD50" s="49" t="s">
        <v>689</v>
      </c>
      <c r="AE50" s="49">
        <f t="shared" si="3"/>
        <v>0</v>
      </c>
    </row>
    <row r="51" spans="1:31">
      <c r="A51" t="s">
        <v>690</v>
      </c>
      <c r="B51" s="31">
        <f t="shared" si="2"/>
        <v>1</v>
      </c>
      <c r="F51" s="31" t="s">
        <v>290</v>
      </c>
      <c r="I51" s="31"/>
      <c r="J51" s="31"/>
      <c r="K51" s="31"/>
      <c r="L51" s="31"/>
      <c r="M51" s="31"/>
      <c r="N51" s="31"/>
      <c r="O51" s="31"/>
      <c r="P51" s="31"/>
      <c r="Q51" s="31"/>
      <c r="R51" s="31"/>
      <c r="S51" s="31"/>
      <c r="AB51" t="s">
        <v>2453</v>
      </c>
      <c r="AD51" s="49" t="s">
        <v>690</v>
      </c>
      <c r="AE51" s="49">
        <f t="shared" si="3"/>
        <v>0</v>
      </c>
    </row>
    <row r="52" spans="1:31">
      <c r="A52" t="s">
        <v>691</v>
      </c>
      <c r="B52" s="31">
        <f t="shared" si="2"/>
        <v>1</v>
      </c>
      <c r="F52" s="31" t="s">
        <v>730</v>
      </c>
      <c r="K52" t="s">
        <v>804</v>
      </c>
      <c r="L52" t="s">
        <v>791</v>
      </c>
      <c r="M52" t="s">
        <v>789</v>
      </c>
      <c r="N52" t="s">
        <v>2648</v>
      </c>
      <c r="O52" t="s">
        <v>788</v>
      </c>
      <c r="Q52" t="s">
        <v>817</v>
      </c>
      <c r="AB52" t="s">
        <v>2454</v>
      </c>
      <c r="AD52" s="49" t="s">
        <v>691</v>
      </c>
      <c r="AE52" s="49">
        <f t="shared" si="3"/>
        <v>0</v>
      </c>
    </row>
    <row r="53" spans="1:31">
      <c r="A53" t="s">
        <v>692</v>
      </c>
      <c r="B53" s="31">
        <f t="shared" si="2"/>
        <v>1</v>
      </c>
      <c r="F53" s="31" t="s">
        <v>331</v>
      </c>
      <c r="K53" t="s">
        <v>2600</v>
      </c>
      <c r="L53" t="s">
        <v>2596</v>
      </c>
      <c r="M53" t="s">
        <v>790</v>
      </c>
      <c r="N53" t="s">
        <v>793</v>
      </c>
      <c r="O53" t="s">
        <v>792</v>
      </c>
      <c r="Q53" t="s">
        <v>828</v>
      </c>
      <c r="AB53" t="s">
        <v>2455</v>
      </c>
      <c r="AD53" s="49" t="s">
        <v>692</v>
      </c>
      <c r="AE53" s="49">
        <f t="shared" si="3"/>
        <v>0</v>
      </c>
    </row>
    <row r="54" spans="1:31">
      <c r="A54" t="s">
        <v>693</v>
      </c>
      <c r="B54" s="31">
        <f t="shared" si="2"/>
        <v>1</v>
      </c>
      <c r="F54" s="31" t="s">
        <v>292</v>
      </c>
      <c r="I54" t="s">
        <v>761</v>
      </c>
      <c r="K54" t="s">
        <v>809</v>
      </c>
      <c r="L54" t="s">
        <v>800</v>
      </c>
      <c r="M54" t="s">
        <v>839</v>
      </c>
      <c r="N54" t="s">
        <v>799</v>
      </c>
      <c r="O54" t="s">
        <v>798</v>
      </c>
      <c r="Q54" t="s">
        <v>833</v>
      </c>
      <c r="AB54" t="s">
        <v>2310</v>
      </c>
      <c r="AD54" s="49" t="s">
        <v>693</v>
      </c>
      <c r="AE54" s="49">
        <f t="shared" si="3"/>
        <v>0</v>
      </c>
    </row>
    <row r="55" spans="1:31">
      <c r="A55" t="s">
        <v>246</v>
      </c>
      <c r="B55" s="31">
        <f t="shared" si="2"/>
        <v>1</v>
      </c>
      <c r="F55" s="31" t="s">
        <v>326</v>
      </c>
      <c r="I55" t="s">
        <v>761</v>
      </c>
      <c r="K55" t="s">
        <v>812</v>
      </c>
      <c r="L55" t="s">
        <v>805</v>
      </c>
      <c r="M55" t="s">
        <v>795</v>
      </c>
      <c r="N55" t="s">
        <v>811</v>
      </c>
      <c r="O55" t="s">
        <v>801</v>
      </c>
      <c r="Q55" t="s">
        <v>837</v>
      </c>
      <c r="AB55" t="s">
        <v>2456</v>
      </c>
      <c r="AD55" s="49" t="s">
        <v>246</v>
      </c>
      <c r="AE55" s="49">
        <f t="shared" si="3"/>
        <v>0</v>
      </c>
    </row>
    <row r="56" spans="1:31">
      <c r="A56" t="s">
        <v>244</v>
      </c>
      <c r="B56" s="31">
        <f t="shared" si="2"/>
        <v>1</v>
      </c>
      <c r="F56" s="31" t="s">
        <v>327</v>
      </c>
      <c r="I56" t="s">
        <v>848</v>
      </c>
      <c r="K56" t="s">
        <v>2656</v>
      </c>
      <c r="L56" t="s">
        <v>806</v>
      </c>
      <c r="M56" t="s">
        <v>813</v>
      </c>
      <c r="N56" t="s">
        <v>821</v>
      </c>
      <c r="O56" t="s">
        <v>802</v>
      </c>
      <c r="AB56" t="s">
        <v>2457</v>
      </c>
      <c r="AD56" s="49" t="s">
        <v>244</v>
      </c>
      <c r="AE56" s="49">
        <f t="shared" si="3"/>
        <v>1</v>
      </c>
    </row>
    <row r="57" spans="1:31">
      <c r="A57" t="s">
        <v>694</v>
      </c>
      <c r="B57" s="31">
        <f t="shared" si="2"/>
        <v>1</v>
      </c>
      <c r="F57" s="31" t="s">
        <v>328</v>
      </c>
      <c r="I57" t="s">
        <v>843</v>
      </c>
      <c r="K57" t="s">
        <v>824</v>
      </c>
      <c r="L57" t="s">
        <v>808</v>
      </c>
      <c r="M57" t="s">
        <v>838</v>
      </c>
      <c r="N57" t="s">
        <v>823</v>
      </c>
      <c r="O57" t="s">
        <v>803</v>
      </c>
      <c r="AB57" t="s">
        <v>2458</v>
      </c>
      <c r="AD57" s="49" t="s">
        <v>694</v>
      </c>
      <c r="AE57" s="49">
        <f t="shared" si="3"/>
        <v>0</v>
      </c>
    </row>
    <row r="58" spans="1:31">
      <c r="A58" t="s">
        <v>294</v>
      </c>
      <c r="B58" s="31">
        <f t="shared" si="2"/>
        <v>1</v>
      </c>
      <c r="F58" s="31" t="s">
        <v>285</v>
      </c>
      <c r="I58" t="s">
        <v>822</v>
      </c>
      <c r="K58" t="s">
        <v>825</v>
      </c>
      <c r="L58" t="s">
        <v>810</v>
      </c>
      <c r="N58" t="s">
        <v>832</v>
      </c>
      <c r="O58" t="s">
        <v>816</v>
      </c>
      <c r="AB58" t="s">
        <v>2459</v>
      </c>
      <c r="AD58" s="49" t="s">
        <v>294</v>
      </c>
      <c r="AE58" s="49">
        <f t="shared" si="3"/>
        <v>1</v>
      </c>
    </row>
    <row r="59" spans="1:31">
      <c r="A59" t="s">
        <v>243</v>
      </c>
      <c r="B59" s="31">
        <f t="shared" si="2"/>
        <v>1</v>
      </c>
      <c r="F59" s="31" t="s">
        <v>762</v>
      </c>
      <c r="I59" t="s">
        <v>845</v>
      </c>
      <c r="K59" t="s">
        <v>826</v>
      </c>
      <c r="L59" t="s">
        <v>814</v>
      </c>
      <c r="N59" t="s">
        <v>835</v>
      </c>
      <c r="O59" t="s">
        <v>818</v>
      </c>
      <c r="AD59" s="49" t="s">
        <v>243</v>
      </c>
      <c r="AE59" s="49">
        <f t="shared" si="3"/>
        <v>0</v>
      </c>
    </row>
    <row r="60" spans="1:31">
      <c r="A60" t="s">
        <v>695</v>
      </c>
      <c r="B60" s="31">
        <f t="shared" si="2"/>
        <v>1</v>
      </c>
      <c r="F60" s="31" t="s">
        <v>318</v>
      </c>
      <c r="I60" t="s">
        <v>819</v>
      </c>
      <c r="K60" t="s">
        <v>836</v>
      </c>
      <c r="L60" s="31"/>
      <c r="M60" s="31"/>
      <c r="N60" t="s">
        <v>844</v>
      </c>
      <c r="O60" t="s">
        <v>827</v>
      </c>
      <c r="AD60" s="49" t="s">
        <v>695</v>
      </c>
      <c r="AE60" s="49">
        <f t="shared" si="3"/>
        <v>0</v>
      </c>
    </row>
    <row r="61" spans="1:31">
      <c r="A61" t="s">
        <v>594</v>
      </c>
      <c r="B61" s="31">
        <f t="shared" si="2"/>
        <v>1</v>
      </c>
      <c r="F61" s="31" t="s">
        <v>321</v>
      </c>
      <c r="I61" t="s">
        <v>820</v>
      </c>
      <c r="L61" s="31"/>
      <c r="M61" s="31"/>
      <c r="AD61" s="49" t="s">
        <v>594</v>
      </c>
      <c r="AE61" s="49">
        <f t="shared" si="3"/>
        <v>0</v>
      </c>
    </row>
    <row r="62" spans="1:31">
      <c r="A62" t="s">
        <v>696</v>
      </c>
      <c r="B62" s="31">
        <f t="shared" si="2"/>
        <v>1</v>
      </c>
      <c r="F62" s="31" t="s">
        <v>322</v>
      </c>
      <c r="I62" t="s">
        <v>841</v>
      </c>
      <c r="K62" s="31"/>
      <c r="L62" s="31"/>
      <c r="M62" s="31"/>
      <c r="N62" s="31"/>
      <c r="O62" t="s">
        <v>831</v>
      </c>
      <c r="AD62" s="49" t="s">
        <v>696</v>
      </c>
      <c r="AE62" s="49">
        <f t="shared" si="3"/>
        <v>1</v>
      </c>
    </row>
    <row r="63" spans="1:31">
      <c r="A63" t="s">
        <v>289</v>
      </c>
      <c r="B63" s="31">
        <f t="shared" si="2"/>
        <v>1</v>
      </c>
      <c r="F63" s="31" t="s">
        <v>323</v>
      </c>
      <c r="K63" s="31"/>
      <c r="L63" s="31"/>
      <c r="M63" s="31"/>
      <c r="N63" s="31"/>
      <c r="AD63" s="49" t="s">
        <v>289</v>
      </c>
      <c r="AE63" s="49">
        <f t="shared" si="3"/>
        <v>0</v>
      </c>
    </row>
    <row r="64" spans="1:31">
      <c r="A64" t="s">
        <v>697</v>
      </c>
      <c r="B64" s="31">
        <f t="shared" si="2"/>
        <v>1</v>
      </c>
      <c r="F64" s="31" t="s">
        <v>308</v>
      </c>
      <c r="K64" s="31"/>
      <c r="L64" s="31"/>
      <c r="M64" s="31"/>
      <c r="N64" s="31"/>
      <c r="O64" s="31"/>
      <c r="AD64" s="49" t="s">
        <v>697</v>
      </c>
      <c r="AE64" s="49">
        <f t="shared" si="3"/>
        <v>0</v>
      </c>
    </row>
    <row r="65" spans="1:31">
      <c r="A65" t="s">
        <v>215</v>
      </c>
      <c r="B65" s="31">
        <f t="shared" ref="B65:B96" si="4">COUNTIF(A:A,A65)</f>
        <v>1</v>
      </c>
      <c r="F65" s="31" t="s">
        <v>309</v>
      </c>
      <c r="K65" t="s">
        <v>840</v>
      </c>
      <c r="M65" t="s">
        <v>794</v>
      </c>
      <c r="O65" t="s">
        <v>807</v>
      </c>
      <c r="AD65" s="49" t="s">
        <v>215</v>
      </c>
      <c r="AE65" s="49">
        <f t="shared" ref="AE65:AE96" si="5">COUNTIF(AB:AB,AD65)</f>
        <v>1</v>
      </c>
    </row>
    <row r="66" spans="1:31">
      <c r="A66" t="s">
        <v>247</v>
      </c>
      <c r="B66" s="31">
        <f t="shared" si="4"/>
        <v>1</v>
      </c>
      <c r="F66" s="31" t="s">
        <v>310</v>
      </c>
      <c r="K66" t="s">
        <v>815</v>
      </c>
      <c r="AD66" s="49" t="s">
        <v>247</v>
      </c>
      <c r="AE66" s="49">
        <f t="shared" si="5"/>
        <v>1</v>
      </c>
    </row>
    <row r="67" spans="1:31">
      <c r="A67" t="s">
        <v>698</v>
      </c>
      <c r="B67" s="31">
        <f t="shared" si="4"/>
        <v>1</v>
      </c>
      <c r="F67" s="31" t="s">
        <v>314</v>
      </c>
      <c r="K67" t="s">
        <v>842</v>
      </c>
      <c r="AD67" s="49" t="s">
        <v>698</v>
      </c>
      <c r="AE67" s="49">
        <f t="shared" si="5"/>
        <v>0</v>
      </c>
    </row>
    <row r="68" spans="1:31">
      <c r="A68" t="s">
        <v>699</v>
      </c>
      <c r="B68" s="31">
        <f t="shared" si="4"/>
        <v>1</v>
      </c>
      <c r="F68" s="31" t="s">
        <v>307</v>
      </c>
      <c r="K68" t="s">
        <v>830</v>
      </c>
      <c r="L68" s="31"/>
      <c r="M68" s="31"/>
      <c r="N68" s="31"/>
      <c r="O68" s="31"/>
      <c r="AD68" s="49" t="s">
        <v>699</v>
      </c>
      <c r="AE68" s="49">
        <f t="shared" si="5"/>
        <v>0</v>
      </c>
    </row>
    <row r="69" spans="1:31">
      <c r="A69" t="s">
        <v>287</v>
      </c>
      <c r="B69" s="31">
        <f t="shared" si="4"/>
        <v>1</v>
      </c>
      <c r="F69" s="31" t="s">
        <v>315</v>
      </c>
      <c r="L69" s="31"/>
      <c r="M69" s="31"/>
      <c r="N69" s="31"/>
      <c r="O69" s="31"/>
      <c r="AD69" s="49" t="s">
        <v>287</v>
      </c>
      <c r="AE69" s="49">
        <f t="shared" si="5"/>
        <v>0</v>
      </c>
    </row>
    <row r="70" spans="1:31">
      <c r="A70" t="s">
        <v>700</v>
      </c>
      <c r="B70" s="31">
        <f t="shared" si="4"/>
        <v>1</v>
      </c>
      <c r="F70" s="31" t="s">
        <v>313</v>
      </c>
      <c r="K70" s="31"/>
      <c r="L70" s="31"/>
      <c r="M70" s="31"/>
      <c r="N70" s="31"/>
      <c r="O70" s="31"/>
      <c r="AD70" s="49" t="s">
        <v>700</v>
      </c>
      <c r="AE70" s="49">
        <f t="shared" si="5"/>
        <v>0</v>
      </c>
    </row>
    <row r="71" spans="1:31">
      <c r="A71" t="s">
        <v>701</v>
      </c>
      <c r="B71" s="31">
        <f t="shared" si="4"/>
        <v>1</v>
      </c>
      <c r="F71" s="31" t="s">
        <v>303</v>
      </c>
      <c r="K71" s="31"/>
      <c r="L71" s="31"/>
      <c r="M71" s="31"/>
      <c r="N71" s="31"/>
      <c r="O71" s="31"/>
      <c r="AD71" s="49" t="s">
        <v>701</v>
      </c>
      <c r="AE71" s="49">
        <f t="shared" si="5"/>
        <v>1</v>
      </c>
    </row>
    <row r="72" spans="1:31">
      <c r="A72" t="s">
        <v>702</v>
      </c>
      <c r="B72" s="31">
        <f t="shared" si="4"/>
        <v>1</v>
      </c>
      <c r="F72" s="31" t="s">
        <v>304</v>
      </c>
      <c r="K72" t="s">
        <v>796</v>
      </c>
      <c r="L72" t="s">
        <v>829</v>
      </c>
      <c r="N72" t="s">
        <v>834</v>
      </c>
      <c r="O72" t="s">
        <v>797</v>
      </c>
      <c r="AD72" s="49" t="s">
        <v>702</v>
      </c>
      <c r="AE72" s="49">
        <f t="shared" si="5"/>
        <v>1</v>
      </c>
    </row>
    <row r="73" spans="1:31">
      <c r="A73" t="s">
        <v>703</v>
      </c>
      <c r="B73" s="31">
        <f t="shared" si="4"/>
        <v>1</v>
      </c>
      <c r="F73" s="31" t="s">
        <v>849</v>
      </c>
      <c r="O73" t="s">
        <v>2274</v>
      </c>
      <c r="AD73" s="49" t="s">
        <v>703</v>
      </c>
      <c r="AE73" s="49">
        <f t="shared" si="5"/>
        <v>1</v>
      </c>
    </row>
    <row r="74" spans="1:31">
      <c r="A74" t="s">
        <v>704</v>
      </c>
      <c r="B74" s="31">
        <f t="shared" si="4"/>
        <v>1</v>
      </c>
      <c r="F74" s="31" t="s">
        <v>299</v>
      </c>
      <c r="AD74" s="49" t="s">
        <v>704</v>
      </c>
      <c r="AE74" s="49">
        <f t="shared" si="5"/>
        <v>0</v>
      </c>
    </row>
    <row r="75" spans="1:31">
      <c r="A75" t="s">
        <v>705</v>
      </c>
      <c r="B75" s="31">
        <f t="shared" si="4"/>
        <v>1</v>
      </c>
      <c r="F75" s="31" t="s">
        <v>301</v>
      </c>
      <c r="AD75" s="49" t="s">
        <v>705</v>
      </c>
      <c r="AE75" s="49">
        <f t="shared" si="5"/>
        <v>0</v>
      </c>
    </row>
    <row r="76" spans="1:31">
      <c r="A76" t="s">
        <v>706</v>
      </c>
      <c r="B76" s="31">
        <f t="shared" si="4"/>
        <v>1</v>
      </c>
      <c r="F76" s="31" t="s">
        <v>583</v>
      </c>
      <c r="AD76" s="49" t="s">
        <v>706</v>
      </c>
      <c r="AE76" s="49">
        <f t="shared" si="5"/>
        <v>1</v>
      </c>
    </row>
    <row r="77" spans="1:31">
      <c r="A77" t="s">
        <v>707</v>
      </c>
      <c r="B77" s="31">
        <f t="shared" si="4"/>
        <v>1</v>
      </c>
      <c r="F77" s="31" t="s">
        <v>741</v>
      </c>
      <c r="AD77" s="49" t="s">
        <v>707</v>
      </c>
      <c r="AE77" s="49">
        <f t="shared" si="5"/>
        <v>0</v>
      </c>
    </row>
    <row r="78" spans="1:31">
      <c r="A78" t="s">
        <v>708</v>
      </c>
      <c r="B78" s="31">
        <f t="shared" si="4"/>
        <v>1</v>
      </c>
      <c r="AD78" s="49" t="s">
        <v>708</v>
      </c>
      <c r="AE78" s="49">
        <f t="shared" si="5"/>
        <v>0</v>
      </c>
    </row>
    <row r="79" spans="1:31">
      <c r="A79" t="s">
        <v>709</v>
      </c>
      <c r="B79" s="31">
        <f t="shared" si="4"/>
        <v>1</v>
      </c>
      <c r="F79"/>
      <c r="AD79" s="49" t="s">
        <v>709</v>
      </c>
      <c r="AE79" s="49">
        <f t="shared" si="5"/>
        <v>1</v>
      </c>
    </row>
    <row r="80" spans="1:31">
      <c r="A80" t="s">
        <v>710</v>
      </c>
      <c r="B80" s="31">
        <f t="shared" si="4"/>
        <v>1</v>
      </c>
      <c r="F80"/>
      <c r="AD80" s="49" t="s">
        <v>710</v>
      </c>
      <c r="AE80" s="49">
        <f t="shared" si="5"/>
        <v>1</v>
      </c>
    </row>
    <row r="81" spans="1:31">
      <c r="A81" t="s">
        <v>711</v>
      </c>
      <c r="B81" s="31">
        <f t="shared" si="4"/>
        <v>1</v>
      </c>
      <c r="F81"/>
      <c r="AD81" s="49" t="s">
        <v>711</v>
      </c>
      <c r="AE81" s="49">
        <f t="shared" si="5"/>
        <v>0</v>
      </c>
    </row>
    <row r="82" spans="1:31">
      <c r="A82" t="s">
        <v>712</v>
      </c>
      <c r="B82" s="31">
        <f t="shared" si="4"/>
        <v>1</v>
      </c>
      <c r="F82"/>
      <c r="AD82" s="49" t="s">
        <v>712</v>
      </c>
      <c r="AE82" s="49">
        <f t="shared" si="5"/>
        <v>1</v>
      </c>
    </row>
    <row r="83" spans="1:31">
      <c r="A83" t="s">
        <v>291</v>
      </c>
      <c r="B83" s="31">
        <f t="shared" si="4"/>
        <v>1</v>
      </c>
      <c r="E83" t="s">
        <v>162</v>
      </c>
      <c r="F83">
        <v>0</v>
      </c>
      <c r="AD83" s="49" t="s">
        <v>291</v>
      </c>
      <c r="AE83" s="49">
        <f t="shared" si="5"/>
        <v>1</v>
      </c>
    </row>
    <row r="84" spans="1:31">
      <c r="A84" t="s">
        <v>713</v>
      </c>
      <c r="B84" s="31">
        <f t="shared" si="4"/>
        <v>1</v>
      </c>
      <c r="E84" t="s">
        <v>655</v>
      </c>
      <c r="F84">
        <v>0</v>
      </c>
      <c r="AD84" s="49" t="s">
        <v>713</v>
      </c>
      <c r="AE84" s="49">
        <f t="shared" si="5"/>
        <v>0</v>
      </c>
    </row>
    <row r="85" spans="1:31">
      <c r="A85" t="s">
        <v>714</v>
      </c>
      <c r="B85" s="31">
        <f t="shared" si="4"/>
        <v>1</v>
      </c>
      <c r="E85" t="s">
        <v>744</v>
      </c>
      <c r="F85">
        <v>0</v>
      </c>
      <c r="AD85" s="49" t="s">
        <v>714</v>
      </c>
      <c r="AE85" s="49">
        <f t="shared" si="5"/>
        <v>0</v>
      </c>
    </row>
    <row r="86" spans="1:31">
      <c r="A86" t="s">
        <v>715</v>
      </c>
      <c r="B86" s="31">
        <f t="shared" si="4"/>
        <v>1</v>
      </c>
      <c r="E86" t="s">
        <v>745</v>
      </c>
      <c r="F86">
        <v>0</v>
      </c>
      <c r="AD86" s="49" t="s">
        <v>715</v>
      </c>
      <c r="AE86" s="49">
        <f t="shared" si="5"/>
        <v>0</v>
      </c>
    </row>
    <row r="87" spans="1:31">
      <c r="A87" t="s">
        <v>716</v>
      </c>
      <c r="B87" s="31">
        <f t="shared" si="4"/>
        <v>1</v>
      </c>
      <c r="E87" t="s">
        <v>658</v>
      </c>
      <c r="F87">
        <v>0</v>
      </c>
      <c r="AD87" s="49" t="s">
        <v>716</v>
      </c>
      <c r="AE87" s="49">
        <f t="shared" si="5"/>
        <v>0</v>
      </c>
    </row>
    <row r="88" spans="1:31">
      <c r="A88" t="s">
        <v>717</v>
      </c>
      <c r="B88" s="31">
        <f t="shared" si="4"/>
        <v>1</v>
      </c>
      <c r="E88" t="s">
        <v>746</v>
      </c>
      <c r="F88">
        <v>0</v>
      </c>
      <c r="AD88" s="49" t="s">
        <v>717</v>
      </c>
      <c r="AE88" s="49">
        <f t="shared" si="5"/>
        <v>0</v>
      </c>
    </row>
    <row r="89" spans="1:31">
      <c r="A89" t="s">
        <v>245</v>
      </c>
      <c r="B89" s="31">
        <f t="shared" si="4"/>
        <v>1</v>
      </c>
      <c r="E89" t="s">
        <v>660</v>
      </c>
      <c r="F89">
        <v>0</v>
      </c>
      <c r="AD89" s="49" t="s">
        <v>245</v>
      </c>
      <c r="AE89" s="49">
        <f t="shared" si="5"/>
        <v>1</v>
      </c>
    </row>
    <row r="90" spans="1:31">
      <c r="A90" t="s">
        <v>718</v>
      </c>
      <c r="B90" s="31">
        <f t="shared" si="4"/>
        <v>1</v>
      </c>
      <c r="E90" t="s">
        <v>748</v>
      </c>
      <c r="F90">
        <v>0</v>
      </c>
      <c r="AD90" s="49" t="s">
        <v>718</v>
      </c>
      <c r="AE90" s="49">
        <f t="shared" si="5"/>
        <v>1</v>
      </c>
    </row>
    <row r="91" spans="1:31">
      <c r="A91" t="s">
        <v>719</v>
      </c>
      <c r="B91" s="31">
        <f t="shared" si="4"/>
        <v>1</v>
      </c>
      <c r="E91" t="s">
        <v>749</v>
      </c>
      <c r="F91">
        <v>0</v>
      </c>
      <c r="AD91" s="49" t="s">
        <v>719</v>
      </c>
      <c r="AE91" s="49">
        <f t="shared" si="5"/>
        <v>0</v>
      </c>
    </row>
    <row r="92" spans="1:31">
      <c r="A92" t="s">
        <v>720</v>
      </c>
      <c r="B92" s="31">
        <f t="shared" si="4"/>
        <v>1</v>
      </c>
      <c r="E92" t="s">
        <v>667</v>
      </c>
      <c r="F92">
        <v>0</v>
      </c>
      <c r="AD92" s="49" t="s">
        <v>720</v>
      </c>
      <c r="AE92" s="49">
        <f t="shared" si="5"/>
        <v>0</v>
      </c>
    </row>
    <row r="93" spans="1:31">
      <c r="A93" t="s">
        <v>288</v>
      </c>
      <c r="B93" s="31">
        <f t="shared" si="4"/>
        <v>1</v>
      </c>
      <c r="E93" t="s">
        <v>752</v>
      </c>
      <c r="F93">
        <v>0</v>
      </c>
      <c r="AD93" s="49" t="s">
        <v>288</v>
      </c>
      <c r="AE93" s="49">
        <f t="shared" si="5"/>
        <v>0</v>
      </c>
    </row>
    <row r="94" spans="1:31">
      <c r="A94" t="s">
        <v>284</v>
      </c>
      <c r="B94" s="31">
        <f t="shared" si="4"/>
        <v>1</v>
      </c>
      <c r="E94" t="s">
        <v>671</v>
      </c>
      <c r="F94">
        <v>0</v>
      </c>
      <c r="H94" s="31" t="s">
        <v>677</v>
      </c>
      <c r="AD94" s="49" t="s">
        <v>284</v>
      </c>
      <c r="AE94" s="49">
        <f t="shared" si="5"/>
        <v>0</v>
      </c>
    </row>
    <row r="95" spans="1:31">
      <c r="A95" t="s">
        <v>721</v>
      </c>
      <c r="B95" s="31">
        <f t="shared" si="4"/>
        <v>1</v>
      </c>
      <c r="E95" t="s">
        <v>672</v>
      </c>
      <c r="F95">
        <v>0</v>
      </c>
      <c r="G95" s="31" t="s">
        <v>690</v>
      </c>
      <c r="M95" s="35"/>
      <c r="N95" s="35" t="s">
        <v>5</v>
      </c>
      <c r="O95" s="35" t="s">
        <v>4</v>
      </c>
      <c r="P95" s="35" t="s">
        <v>3</v>
      </c>
      <c r="Q95" s="35" t="s">
        <v>2</v>
      </c>
      <c r="R95" s="35" t="s">
        <v>28</v>
      </c>
      <c r="S95" s="35" t="s">
        <v>29</v>
      </c>
      <c r="T95" s="35" t="s">
        <v>914</v>
      </c>
      <c r="U95" s="35" t="s">
        <v>9</v>
      </c>
      <c r="V95" s="35"/>
      <c r="W95" s="35"/>
      <c r="X95" s="35"/>
      <c r="AD95" s="49" t="s">
        <v>721</v>
      </c>
      <c r="AE95" s="49">
        <f t="shared" si="5"/>
        <v>0</v>
      </c>
    </row>
    <row r="96" spans="1:31">
      <c r="A96" t="s">
        <v>722</v>
      </c>
      <c r="B96" s="31">
        <f t="shared" si="4"/>
        <v>1</v>
      </c>
      <c r="E96" t="s">
        <v>754</v>
      </c>
      <c r="F96">
        <v>0</v>
      </c>
      <c r="H96" s="31" t="s">
        <v>693</v>
      </c>
      <c r="M96" s="35"/>
      <c r="N96" s="35" t="s">
        <v>743</v>
      </c>
      <c r="O96" s="35" t="s">
        <v>700</v>
      </c>
      <c r="P96" s="35" t="s">
        <v>655</v>
      </c>
      <c r="Q96" s="35" t="s">
        <v>304</v>
      </c>
      <c r="R96" s="35"/>
      <c r="S96" s="35" t="s">
        <v>677</v>
      </c>
      <c r="T96" s="35" t="s">
        <v>724</v>
      </c>
      <c r="U96" s="35" t="s">
        <v>713</v>
      </c>
      <c r="V96" s="35"/>
      <c r="W96" s="35"/>
      <c r="X96" s="35"/>
      <c r="AD96" s="49" t="s">
        <v>722</v>
      </c>
      <c r="AE96" s="49">
        <f t="shared" si="5"/>
        <v>0</v>
      </c>
    </row>
    <row r="97" spans="1:31">
      <c r="A97" t="s">
        <v>242</v>
      </c>
      <c r="B97" s="31">
        <f t="shared" ref="B97:B128" si="6">COUNTIF(A:A,A97)</f>
        <v>1</v>
      </c>
      <c r="E97" t="s">
        <v>674</v>
      </c>
      <c r="F97">
        <v>0</v>
      </c>
      <c r="H97" s="31" t="s">
        <v>243</v>
      </c>
      <c r="M97" s="35"/>
      <c r="N97" s="35"/>
      <c r="O97" s="35"/>
      <c r="P97" s="35" t="s">
        <v>707</v>
      </c>
      <c r="Q97" s="35" t="s">
        <v>656</v>
      </c>
      <c r="R97" s="35"/>
      <c r="S97" s="35" t="s">
        <v>678</v>
      </c>
      <c r="T97" s="35"/>
      <c r="U97" s="35"/>
      <c r="V97" s="35"/>
      <c r="W97" s="35"/>
      <c r="X97" s="35"/>
      <c r="AD97" s="49" t="s">
        <v>242</v>
      </c>
      <c r="AE97" s="49">
        <f t="shared" ref="AE97:AE128" si="7">COUNTIF(AB:AB,AD97)</f>
        <v>1</v>
      </c>
    </row>
    <row r="98" spans="1:31">
      <c r="A98" t="s">
        <v>723</v>
      </c>
      <c r="B98" s="31">
        <f t="shared" si="6"/>
        <v>1</v>
      </c>
      <c r="E98" t="s">
        <v>678</v>
      </c>
      <c r="F98">
        <v>0</v>
      </c>
      <c r="H98" s="31" t="s">
        <v>594</v>
      </c>
      <c r="M98" s="35"/>
      <c r="N98" s="35"/>
      <c r="O98" s="35"/>
      <c r="P98" s="35" t="s">
        <v>704</v>
      </c>
      <c r="Q98" s="35"/>
      <c r="R98" s="35"/>
      <c r="S98" s="35" t="s">
        <v>679</v>
      </c>
      <c r="T98" s="35"/>
      <c r="U98" s="35"/>
      <c r="V98" s="35"/>
      <c r="W98" s="35"/>
      <c r="X98" s="35"/>
      <c r="AD98" s="49" t="s">
        <v>723</v>
      </c>
      <c r="AE98" s="49">
        <f t="shared" si="7"/>
        <v>0</v>
      </c>
    </row>
    <row r="99" spans="1:31">
      <c r="A99" t="s">
        <v>724</v>
      </c>
      <c r="B99" s="31">
        <f t="shared" si="6"/>
        <v>1</v>
      </c>
      <c r="E99" t="s">
        <v>686</v>
      </c>
      <c r="F99">
        <v>0</v>
      </c>
      <c r="H99" s="31" t="s">
        <v>699</v>
      </c>
      <c r="M99" s="35"/>
      <c r="N99" s="35"/>
      <c r="O99" s="35"/>
      <c r="P99" s="35"/>
      <c r="Q99" s="35"/>
      <c r="R99" s="35"/>
      <c r="S99" s="35" t="s">
        <v>674</v>
      </c>
      <c r="T99" s="35"/>
      <c r="U99" s="35"/>
      <c r="V99" s="35"/>
      <c r="W99" s="35"/>
      <c r="X99" s="35"/>
      <c r="AD99" s="49" t="s">
        <v>724</v>
      </c>
      <c r="AE99" s="49">
        <f t="shared" si="7"/>
        <v>0</v>
      </c>
    </row>
    <row r="100" spans="1:31">
      <c r="A100" t="s">
        <v>725</v>
      </c>
      <c r="B100" s="31">
        <f t="shared" si="6"/>
        <v>1</v>
      </c>
      <c r="E100" t="s">
        <v>688</v>
      </c>
      <c r="F100">
        <v>0</v>
      </c>
      <c r="H100" s="31" t="s">
        <v>287</v>
      </c>
      <c r="M100" s="35"/>
      <c r="N100" s="35"/>
      <c r="O100" s="35"/>
      <c r="P100" s="35"/>
      <c r="Q100" s="35"/>
      <c r="R100" s="35"/>
      <c r="S100" s="35" t="s">
        <v>728</v>
      </c>
      <c r="T100" s="35"/>
      <c r="U100" s="35"/>
      <c r="V100" s="35"/>
      <c r="W100" s="35"/>
      <c r="X100" s="35"/>
      <c r="AD100" s="49" t="s">
        <v>725</v>
      </c>
      <c r="AE100" s="49">
        <f t="shared" si="7"/>
        <v>0</v>
      </c>
    </row>
    <row r="101" spans="1:31">
      <c r="A101" t="s">
        <v>312</v>
      </c>
      <c r="B101" s="31">
        <f t="shared" si="6"/>
        <v>1</v>
      </c>
      <c r="E101" t="s">
        <v>689</v>
      </c>
      <c r="F101">
        <v>0</v>
      </c>
      <c r="G101" s="31" t="s">
        <v>715</v>
      </c>
      <c r="M101" s="35"/>
      <c r="N101" s="35"/>
      <c r="O101" s="35"/>
      <c r="P101" s="35"/>
      <c r="Q101" s="35"/>
      <c r="R101" s="35"/>
      <c r="S101" s="35" t="s">
        <v>676</v>
      </c>
      <c r="T101" s="35"/>
      <c r="U101" s="35"/>
      <c r="V101" s="35"/>
      <c r="W101" s="35"/>
      <c r="X101" s="35"/>
      <c r="AD101" s="49" t="s">
        <v>312</v>
      </c>
      <c r="AE101" s="49">
        <f t="shared" si="7"/>
        <v>0</v>
      </c>
    </row>
    <row r="102" spans="1:31">
      <c r="A102" t="s">
        <v>726</v>
      </c>
      <c r="B102" s="31">
        <f t="shared" si="6"/>
        <v>1</v>
      </c>
      <c r="E102" t="s">
        <v>690</v>
      </c>
      <c r="F102">
        <v>0</v>
      </c>
      <c r="H102" s="31" t="s">
        <v>288</v>
      </c>
      <c r="M102" s="35"/>
      <c r="N102" s="35"/>
      <c r="O102" s="35"/>
      <c r="P102" s="35"/>
      <c r="Q102" s="35"/>
      <c r="R102" s="35"/>
      <c r="S102" s="35" t="s">
        <v>708</v>
      </c>
      <c r="T102" s="35"/>
      <c r="U102" s="35"/>
      <c r="V102" s="35"/>
      <c r="W102" s="35"/>
      <c r="X102" s="35"/>
      <c r="AD102" s="49" t="s">
        <v>726</v>
      </c>
      <c r="AE102" s="49">
        <f t="shared" si="7"/>
        <v>0</v>
      </c>
    </row>
    <row r="103" spans="1:31">
      <c r="A103" t="s">
        <v>295</v>
      </c>
      <c r="B103" s="31">
        <f t="shared" si="6"/>
        <v>1</v>
      </c>
      <c r="E103" t="s">
        <v>692</v>
      </c>
      <c r="F103">
        <v>0</v>
      </c>
      <c r="G103" s="31" t="s">
        <v>284</v>
      </c>
      <c r="M103" s="35"/>
      <c r="N103" s="35"/>
      <c r="O103" s="35"/>
      <c r="P103" s="35"/>
      <c r="Q103" s="35"/>
      <c r="R103" s="35"/>
      <c r="S103" s="35"/>
      <c r="T103" s="35"/>
      <c r="U103" s="35"/>
      <c r="V103" s="35"/>
      <c r="W103" s="35"/>
      <c r="X103" s="35"/>
      <c r="AD103" s="49" t="s">
        <v>295</v>
      </c>
      <c r="AE103" s="49">
        <f t="shared" si="7"/>
        <v>1</v>
      </c>
    </row>
    <row r="104" spans="1:31">
      <c r="A104" t="s">
        <v>592</v>
      </c>
      <c r="B104" s="31">
        <f t="shared" si="6"/>
        <v>1</v>
      </c>
      <c r="E104" t="s">
        <v>246</v>
      </c>
      <c r="F104">
        <v>0</v>
      </c>
      <c r="G104" s="31" t="s">
        <v>721</v>
      </c>
      <c r="K104" s="35" t="s">
        <v>583</v>
      </c>
      <c r="L104" s="35" t="s">
        <v>312</v>
      </c>
      <c r="M104" s="35" t="s">
        <v>659</v>
      </c>
      <c r="N104" s="35" t="s">
        <v>30</v>
      </c>
      <c r="O104" s="35" t="s">
        <v>7</v>
      </c>
      <c r="P104" s="35" t="s">
        <v>8</v>
      </c>
      <c r="Q104" s="35" t="s">
        <v>31</v>
      </c>
      <c r="R104" s="35" t="s">
        <v>32</v>
      </c>
      <c r="S104" s="35" t="s">
        <v>33</v>
      </c>
      <c r="T104" s="35" t="s">
        <v>34</v>
      </c>
      <c r="U104" s="35" t="s">
        <v>35</v>
      </c>
      <c r="V104" s="35" t="s">
        <v>36</v>
      </c>
      <c r="W104" s="35" t="s">
        <v>37</v>
      </c>
      <c r="X104" s="35" t="s">
        <v>915</v>
      </c>
      <c r="AD104" s="49" t="s">
        <v>592</v>
      </c>
      <c r="AE104" s="49">
        <f t="shared" si="7"/>
        <v>0</v>
      </c>
    </row>
    <row r="105" spans="1:31">
      <c r="A105" t="s">
        <v>593</v>
      </c>
      <c r="B105" s="31">
        <f t="shared" si="6"/>
        <v>1</v>
      </c>
      <c r="E105" t="s">
        <v>694</v>
      </c>
      <c r="F105">
        <v>0</v>
      </c>
      <c r="G105" s="31" t="s">
        <v>722</v>
      </c>
      <c r="K105" s="35" t="s">
        <v>313</v>
      </c>
      <c r="L105" s="35" t="s">
        <v>592</v>
      </c>
      <c r="M105" s="35" t="s">
        <v>747</v>
      </c>
      <c r="N105" s="35" t="s">
        <v>329</v>
      </c>
      <c r="O105" s="35" t="s">
        <v>685</v>
      </c>
      <c r="P105" s="35" t="s">
        <v>158</v>
      </c>
      <c r="Q105" s="35" t="s">
        <v>742</v>
      </c>
      <c r="R105" s="35" t="s">
        <v>160</v>
      </c>
      <c r="S105" s="35" t="s">
        <v>161</v>
      </c>
      <c r="T105" s="35" t="s">
        <v>694</v>
      </c>
      <c r="U105" s="35" t="s">
        <v>687</v>
      </c>
      <c r="V105" s="35" t="s">
        <v>651</v>
      </c>
      <c r="W105" s="35" t="s">
        <v>215</v>
      </c>
      <c r="X105" s="35" t="s">
        <v>754</v>
      </c>
      <c r="AD105" s="49" t="s">
        <v>593</v>
      </c>
      <c r="AE105" s="49">
        <f t="shared" si="7"/>
        <v>1</v>
      </c>
    </row>
    <row r="106" spans="1:31">
      <c r="A106" t="s">
        <v>727</v>
      </c>
      <c r="B106" s="31">
        <f t="shared" si="6"/>
        <v>1</v>
      </c>
      <c r="E106" t="s">
        <v>695</v>
      </c>
      <c r="F106">
        <v>0</v>
      </c>
      <c r="K106" s="35" t="s">
        <v>315</v>
      </c>
      <c r="L106" s="35" t="s">
        <v>695</v>
      </c>
      <c r="M106" s="35" t="s">
        <v>913</v>
      </c>
      <c r="N106" s="35" t="s">
        <v>298</v>
      </c>
      <c r="O106" s="35" t="s">
        <v>246</v>
      </c>
      <c r="P106" s="35" t="s">
        <v>314</v>
      </c>
      <c r="Q106" s="35" t="s">
        <v>739</v>
      </c>
      <c r="R106" s="35" t="s">
        <v>303</v>
      </c>
      <c r="S106" s="35" t="s">
        <v>294</v>
      </c>
      <c r="T106" s="35" t="s">
        <v>330</v>
      </c>
      <c r="U106" s="35" t="s">
        <v>292</v>
      </c>
      <c r="V106" s="35" t="s">
        <v>652</v>
      </c>
      <c r="W106" s="35" t="s">
        <v>653</v>
      </c>
      <c r="X106" s="35" t="s">
        <v>318</v>
      </c>
      <c r="AD106" s="49" t="s">
        <v>727</v>
      </c>
      <c r="AE106" s="49">
        <f t="shared" si="7"/>
        <v>0</v>
      </c>
    </row>
    <row r="107" spans="1:31">
      <c r="A107" t="s">
        <v>728</v>
      </c>
      <c r="B107" s="31">
        <f t="shared" si="6"/>
        <v>1</v>
      </c>
      <c r="E107" t="s">
        <v>289</v>
      </c>
      <c r="F107">
        <v>0</v>
      </c>
      <c r="K107" s="35" t="s">
        <v>335</v>
      </c>
      <c r="M107" s="35" t="s">
        <v>157</v>
      </c>
      <c r="N107" s="35" t="s">
        <v>721</v>
      </c>
      <c r="O107" s="35" t="s">
        <v>325</v>
      </c>
      <c r="P107" s="35" t="s">
        <v>594</v>
      </c>
      <c r="Q107" s="35" t="s">
        <v>328</v>
      </c>
      <c r="R107" s="35" t="s">
        <v>332</v>
      </c>
      <c r="S107" s="35" t="s">
        <v>286</v>
      </c>
      <c r="T107" s="35" t="s">
        <v>162</v>
      </c>
      <c r="U107" s="35" t="s">
        <v>290</v>
      </c>
      <c r="V107" s="35" t="s">
        <v>692</v>
      </c>
      <c r="W107" s="35" t="s">
        <v>654</v>
      </c>
      <c r="X107" s="35" t="s">
        <v>722</v>
      </c>
      <c r="AD107" s="49" t="s">
        <v>728</v>
      </c>
      <c r="AE107" s="49">
        <f t="shared" si="7"/>
        <v>0</v>
      </c>
    </row>
    <row r="108" spans="1:31">
      <c r="A108" t="s">
        <v>729</v>
      </c>
      <c r="B108" s="31">
        <f t="shared" si="6"/>
        <v>1</v>
      </c>
      <c r="E108" t="s">
        <v>697</v>
      </c>
      <c r="F108">
        <v>0</v>
      </c>
      <c r="K108" s="35" t="s">
        <v>300</v>
      </c>
      <c r="M108" s="35" t="s">
        <v>158</v>
      </c>
      <c r="N108" s="35" t="s">
        <v>285</v>
      </c>
      <c r="O108" s="35" t="s">
        <v>849</v>
      </c>
      <c r="P108" s="35" t="s">
        <v>331</v>
      </c>
      <c r="Q108" s="35" t="s">
        <v>321</v>
      </c>
      <c r="R108" s="35" t="s">
        <v>860</v>
      </c>
      <c r="S108" s="35"/>
      <c r="T108" s="35"/>
      <c r="U108" s="35" t="s">
        <v>293</v>
      </c>
      <c r="V108" s="35" t="s">
        <v>326</v>
      </c>
      <c r="W108" s="35" t="s">
        <v>305</v>
      </c>
      <c r="X108" s="35" t="s">
        <v>324</v>
      </c>
      <c r="AD108" s="49" t="s">
        <v>334</v>
      </c>
      <c r="AE108" s="49">
        <f t="shared" si="7"/>
        <v>0</v>
      </c>
    </row>
    <row r="109" spans="1:31">
      <c r="A109" t="s">
        <v>293</v>
      </c>
      <c r="B109" s="31">
        <f t="shared" si="6"/>
        <v>1</v>
      </c>
      <c r="E109"/>
      <c r="F109"/>
      <c r="K109" s="35" t="s">
        <v>322</v>
      </c>
      <c r="M109" s="35" t="s">
        <v>742</v>
      </c>
      <c r="N109" s="35"/>
      <c r="P109" s="35" t="s">
        <v>717</v>
      </c>
      <c r="Q109" s="35" t="s">
        <v>243</v>
      </c>
      <c r="R109" s="35" t="s">
        <v>859</v>
      </c>
      <c r="S109" s="35"/>
      <c r="T109" s="35"/>
      <c r="U109" s="35" t="s">
        <v>244</v>
      </c>
      <c r="V109" s="35" t="s">
        <v>299</v>
      </c>
      <c r="W109" s="35" t="s">
        <v>696</v>
      </c>
      <c r="X109" s="35" t="s">
        <v>705</v>
      </c>
      <c r="AD109" s="49" t="s">
        <v>293</v>
      </c>
      <c r="AE109" s="49">
        <f t="shared" si="7"/>
        <v>0</v>
      </c>
    </row>
    <row r="110" spans="1:31">
      <c r="A110" t="s">
        <v>739</v>
      </c>
      <c r="B110" s="31">
        <f t="shared" si="6"/>
        <v>1</v>
      </c>
      <c r="E110" t="s">
        <v>700</v>
      </c>
      <c r="F110">
        <v>0</v>
      </c>
      <c r="K110" s="35" t="s">
        <v>323</v>
      </c>
      <c r="M110" s="35" t="s">
        <v>160</v>
      </c>
      <c r="N110" s="35"/>
      <c r="O110" s="35"/>
      <c r="P110" s="35"/>
      <c r="Q110" s="35" t="s">
        <v>242</v>
      </c>
      <c r="R110" s="35" t="s">
        <v>693</v>
      </c>
      <c r="S110" s="35"/>
      <c r="T110" s="35"/>
      <c r="U110" s="35" t="s">
        <v>295</v>
      </c>
      <c r="W110" s="35" t="s">
        <v>327</v>
      </c>
      <c r="X110" s="35" t="s">
        <v>291</v>
      </c>
      <c r="AD110" s="49" t="s">
        <v>1943</v>
      </c>
      <c r="AE110" s="49">
        <f t="shared" si="7"/>
        <v>1</v>
      </c>
    </row>
    <row r="111" spans="1:31">
      <c r="A111" t="s">
        <v>290</v>
      </c>
      <c r="B111" s="31">
        <f t="shared" si="6"/>
        <v>1</v>
      </c>
      <c r="E111" t="s">
        <v>704</v>
      </c>
      <c r="F111">
        <v>0</v>
      </c>
      <c r="K111" s="35" t="s">
        <v>337</v>
      </c>
      <c r="M111" s="35" t="s">
        <v>161</v>
      </c>
      <c r="N111" s="35"/>
      <c r="O111" s="35"/>
      <c r="P111" s="35"/>
      <c r="Q111" s="35" t="s">
        <v>288</v>
      </c>
      <c r="R111" s="35"/>
      <c r="S111" s="35"/>
      <c r="T111" s="35"/>
      <c r="U111" s="35" t="s">
        <v>718</v>
      </c>
      <c r="W111" s="35" t="s">
        <v>916</v>
      </c>
      <c r="X111" s="35" t="s">
        <v>698</v>
      </c>
      <c r="AD111" s="49" t="s">
        <v>290</v>
      </c>
      <c r="AE111" s="49">
        <f t="shared" si="7"/>
        <v>0</v>
      </c>
    </row>
    <row r="112" spans="1:31">
      <c r="A112" t="s">
        <v>335</v>
      </c>
      <c r="B112" s="31">
        <f t="shared" si="6"/>
        <v>1</v>
      </c>
      <c r="E112" t="s">
        <v>705</v>
      </c>
      <c r="F112">
        <v>0</v>
      </c>
      <c r="K112" s="35" t="s">
        <v>727</v>
      </c>
      <c r="L112" s="35" t="s">
        <v>658</v>
      </c>
      <c r="M112" s="35" t="s">
        <v>687</v>
      </c>
      <c r="N112" s="35"/>
      <c r="O112" s="35"/>
      <c r="P112" s="35"/>
      <c r="Q112" s="35"/>
      <c r="R112" s="35"/>
      <c r="S112" s="35"/>
      <c r="T112" s="35"/>
      <c r="W112" s="35" t="s">
        <v>306</v>
      </c>
      <c r="X112" s="35" t="s">
        <v>710</v>
      </c>
      <c r="AD112" s="49" t="s">
        <v>335</v>
      </c>
      <c r="AE112" s="49">
        <f t="shared" si="7"/>
        <v>0</v>
      </c>
    </row>
    <row r="113" spans="1:31">
      <c r="A113" t="s">
        <v>336</v>
      </c>
      <c r="B113" s="31">
        <f t="shared" si="6"/>
        <v>1</v>
      </c>
      <c r="E113" t="s">
        <v>707</v>
      </c>
      <c r="F113">
        <v>0</v>
      </c>
      <c r="K113" s="35" t="s">
        <v>691</v>
      </c>
      <c r="L113" s="35" t="s">
        <v>660</v>
      </c>
      <c r="M113" s="35" t="s">
        <v>651</v>
      </c>
      <c r="N113" s="35"/>
      <c r="O113" s="35"/>
      <c r="P113" s="35"/>
      <c r="Q113" s="35"/>
      <c r="R113" s="35"/>
      <c r="S113" s="35"/>
      <c r="T113" s="35"/>
      <c r="U113" s="35"/>
      <c r="V113" s="35"/>
      <c r="W113" s="35"/>
      <c r="X113" s="35" t="s">
        <v>723</v>
      </c>
      <c r="AD113" s="49" t="s">
        <v>336</v>
      </c>
      <c r="AE113" s="49">
        <f t="shared" si="7"/>
        <v>0</v>
      </c>
    </row>
    <row r="114" spans="1:31">
      <c r="A114" t="s">
        <v>730</v>
      </c>
      <c r="B114" s="31">
        <f t="shared" si="6"/>
        <v>1</v>
      </c>
      <c r="E114" t="s">
        <v>708</v>
      </c>
      <c r="F114">
        <v>0</v>
      </c>
      <c r="K114" s="35" t="s">
        <v>682</v>
      </c>
      <c r="L114" s="35" t="s">
        <v>752</v>
      </c>
      <c r="M114" s="35" t="s">
        <v>652</v>
      </c>
      <c r="N114" s="35"/>
      <c r="O114" s="35"/>
      <c r="P114" s="35"/>
      <c r="Q114" s="35"/>
      <c r="R114" s="35"/>
      <c r="S114" s="35"/>
      <c r="T114" s="35"/>
      <c r="U114" s="35"/>
      <c r="V114" s="35"/>
      <c r="W114" s="35"/>
      <c r="X114" s="35" t="s">
        <v>689</v>
      </c>
      <c r="AD114" s="49" t="s">
        <v>730</v>
      </c>
      <c r="AE114" s="49">
        <f t="shared" si="7"/>
        <v>0</v>
      </c>
    </row>
    <row r="115" spans="1:31">
      <c r="A115" t="s">
        <v>329</v>
      </c>
      <c r="B115" s="31">
        <f t="shared" si="6"/>
        <v>1</v>
      </c>
      <c r="E115" t="s">
        <v>711</v>
      </c>
      <c r="F115">
        <v>0</v>
      </c>
      <c r="K115" s="35" t="s">
        <v>683</v>
      </c>
      <c r="L115" s="35" t="s">
        <v>714</v>
      </c>
      <c r="M115" s="35" t="s">
        <v>654</v>
      </c>
      <c r="N115" s="35"/>
      <c r="O115" s="35"/>
      <c r="P115" s="35"/>
      <c r="Q115" s="35"/>
      <c r="R115" s="35"/>
      <c r="S115" s="35"/>
      <c r="T115" s="35"/>
      <c r="U115" s="35"/>
      <c r="V115" s="35"/>
      <c r="W115" s="35"/>
      <c r="X115" s="35" t="s">
        <v>755</v>
      </c>
      <c r="AD115" s="49" t="s">
        <v>329</v>
      </c>
      <c r="AE115" s="49">
        <f t="shared" si="7"/>
        <v>0</v>
      </c>
    </row>
    <row r="116" spans="1:31">
      <c r="A116" t="s">
        <v>330</v>
      </c>
      <c r="B116" s="31">
        <f t="shared" si="6"/>
        <v>1</v>
      </c>
      <c r="E116" t="s">
        <v>713</v>
      </c>
      <c r="F116">
        <v>0</v>
      </c>
      <c r="K116" s="35" t="s">
        <v>307</v>
      </c>
      <c r="L116" s="35" t="s">
        <v>716</v>
      </c>
      <c r="M116" s="35" t="s">
        <v>163</v>
      </c>
      <c r="N116" s="35" t="s">
        <v>590</v>
      </c>
      <c r="O116" s="35" t="s">
        <v>141</v>
      </c>
      <c r="P116" s="35" t="s">
        <v>756</v>
      </c>
      <c r="Q116" s="35" t="s">
        <v>591</v>
      </c>
      <c r="R116" s="35" t="s">
        <v>589</v>
      </c>
      <c r="S116" s="35" t="s">
        <v>900</v>
      </c>
      <c r="T116" s="35" t="s">
        <v>901</v>
      </c>
      <c r="U116" s="35" t="s">
        <v>903</v>
      </c>
      <c r="V116" s="35" t="s">
        <v>905</v>
      </c>
      <c r="W116" s="35" t="s">
        <v>907</v>
      </c>
      <c r="X116" s="35" t="s">
        <v>302</v>
      </c>
      <c r="AD116" s="49" t="s">
        <v>330</v>
      </c>
      <c r="AE116" s="49">
        <f t="shared" si="7"/>
        <v>0</v>
      </c>
    </row>
    <row r="117" spans="1:31">
      <c r="A117" t="s">
        <v>331</v>
      </c>
      <c r="B117" s="31">
        <f t="shared" si="6"/>
        <v>1</v>
      </c>
      <c r="E117" t="s">
        <v>714</v>
      </c>
      <c r="F117">
        <v>0</v>
      </c>
      <c r="K117" s="35" t="s">
        <v>593</v>
      </c>
      <c r="L117" s="35" t="s">
        <v>720</v>
      </c>
      <c r="M117" s="35" t="s">
        <v>672</v>
      </c>
      <c r="N117" s="35" t="s">
        <v>157</v>
      </c>
      <c r="O117" s="35" t="s">
        <v>284</v>
      </c>
      <c r="Q117" s="35" t="s">
        <v>745</v>
      </c>
      <c r="U117" s="35" t="s">
        <v>740</v>
      </c>
      <c r="X117" s="35" t="s">
        <v>688</v>
      </c>
      <c r="AD117" s="49" t="s">
        <v>331</v>
      </c>
      <c r="AE117" s="49">
        <f t="shared" si="7"/>
        <v>0</v>
      </c>
    </row>
    <row r="118" spans="1:31">
      <c r="A118" t="s">
        <v>292</v>
      </c>
      <c r="B118" s="31">
        <f t="shared" si="6"/>
        <v>1</v>
      </c>
      <c r="E118" t="s">
        <v>715</v>
      </c>
      <c r="F118">
        <v>0</v>
      </c>
      <c r="K118" s="35" t="s">
        <v>753</v>
      </c>
      <c r="L118" s="35" t="s">
        <v>699</v>
      </c>
      <c r="M118" s="35" t="s">
        <v>702</v>
      </c>
      <c r="O118" s="35" t="s">
        <v>751</v>
      </c>
      <c r="X118" s="35" t="s">
        <v>690</v>
      </c>
      <c r="AD118" s="49" t="s">
        <v>292</v>
      </c>
      <c r="AE118" s="49">
        <f t="shared" si="7"/>
        <v>0</v>
      </c>
    </row>
    <row r="119" spans="1:31">
      <c r="A119" t="s">
        <v>332</v>
      </c>
      <c r="B119" s="31">
        <f t="shared" si="6"/>
        <v>1</v>
      </c>
      <c r="E119" t="s">
        <v>716</v>
      </c>
      <c r="F119">
        <v>0</v>
      </c>
      <c r="K119" s="35" t="s">
        <v>308</v>
      </c>
      <c r="L119" s="35" t="s">
        <v>709</v>
      </c>
      <c r="M119" s="35" t="s">
        <v>703</v>
      </c>
      <c r="N119" s="35"/>
      <c r="S119" s="35"/>
      <c r="V119" s="35"/>
      <c r="W119" s="35"/>
      <c r="X119" s="35" t="s">
        <v>850</v>
      </c>
      <c r="AD119" s="49" t="s">
        <v>332</v>
      </c>
      <c r="AE119" s="49">
        <f t="shared" si="7"/>
        <v>0</v>
      </c>
    </row>
    <row r="120" spans="1:31">
      <c r="A120" t="s">
        <v>286</v>
      </c>
      <c r="B120" s="31">
        <f t="shared" si="6"/>
        <v>1</v>
      </c>
      <c r="E120" t="s">
        <v>717</v>
      </c>
      <c r="F120">
        <v>0</v>
      </c>
      <c r="K120" s="35" t="s">
        <v>301</v>
      </c>
      <c r="M120" s="35" t="s">
        <v>706</v>
      </c>
      <c r="N120" s="35"/>
      <c r="P120" s="35"/>
      <c r="S120" s="35"/>
      <c r="T120" s="35"/>
      <c r="U120" s="35"/>
      <c r="V120" s="35"/>
      <c r="W120" s="35"/>
      <c r="X120" s="35" t="s">
        <v>762</v>
      </c>
      <c r="AD120" s="49" t="s">
        <v>286</v>
      </c>
      <c r="AE120" s="49">
        <f t="shared" si="7"/>
        <v>1</v>
      </c>
    </row>
    <row r="121" spans="1:31">
      <c r="A121" t="s">
        <v>325</v>
      </c>
      <c r="B121" s="31">
        <f t="shared" si="6"/>
        <v>1</v>
      </c>
      <c r="E121" t="s">
        <v>720</v>
      </c>
      <c r="F121">
        <v>0</v>
      </c>
      <c r="K121" s="35" t="s">
        <v>715</v>
      </c>
      <c r="M121" s="35" t="s">
        <v>680</v>
      </c>
      <c r="N121" s="35"/>
      <c r="P121" s="35"/>
      <c r="S121" s="35"/>
      <c r="T121" s="35"/>
      <c r="U121" s="35"/>
      <c r="V121" s="35"/>
      <c r="W121" s="35"/>
      <c r="X121" s="35" t="s">
        <v>712</v>
      </c>
      <c r="AD121" s="49" t="s">
        <v>325</v>
      </c>
      <c r="AE121" s="49">
        <f t="shared" si="7"/>
        <v>0</v>
      </c>
    </row>
    <row r="122" spans="1:31">
      <c r="A122" t="s">
        <v>326</v>
      </c>
      <c r="B122" s="31">
        <f t="shared" si="6"/>
        <v>1</v>
      </c>
      <c r="E122"/>
      <c r="F122"/>
      <c r="K122" s="35" t="s">
        <v>725</v>
      </c>
      <c r="M122" s="35" t="s">
        <v>701</v>
      </c>
      <c r="N122" s="35"/>
      <c r="P122" s="35"/>
      <c r="R122" s="35"/>
      <c r="S122" s="35"/>
      <c r="T122" s="35"/>
      <c r="U122" s="35"/>
      <c r="V122" s="35"/>
      <c r="W122" s="35"/>
      <c r="X122" s="35" t="s">
        <v>675</v>
      </c>
      <c r="AD122" s="49" t="s">
        <v>326</v>
      </c>
      <c r="AE122" s="49">
        <f t="shared" si="7"/>
        <v>0</v>
      </c>
    </row>
    <row r="123" spans="1:31">
      <c r="A123" t="s">
        <v>327</v>
      </c>
      <c r="B123" s="31">
        <f t="shared" si="6"/>
        <v>1</v>
      </c>
      <c r="E123" t="s">
        <v>722</v>
      </c>
      <c r="F123">
        <v>0</v>
      </c>
      <c r="K123" s="35" t="s">
        <v>730</v>
      </c>
      <c r="M123" s="35"/>
      <c r="N123" s="35"/>
      <c r="O123" s="35"/>
      <c r="P123" s="35"/>
      <c r="Q123" s="35"/>
      <c r="R123" s="35"/>
      <c r="S123" s="35"/>
      <c r="T123" s="35"/>
      <c r="U123" s="35"/>
      <c r="V123" s="35"/>
      <c r="W123" s="35"/>
      <c r="X123" s="35" t="s">
        <v>763</v>
      </c>
      <c r="AD123" s="49" t="s">
        <v>327</v>
      </c>
      <c r="AE123" s="49">
        <f t="shared" si="7"/>
        <v>1</v>
      </c>
    </row>
    <row r="124" spans="1:31">
      <c r="A124" t="s">
        <v>328</v>
      </c>
      <c r="B124" s="31">
        <f t="shared" si="6"/>
        <v>1</v>
      </c>
      <c r="E124" t="s">
        <v>723</v>
      </c>
      <c r="F124">
        <v>0</v>
      </c>
      <c r="K124" s="35" t="s">
        <v>732</v>
      </c>
      <c r="M124" s="35"/>
      <c r="N124" s="35"/>
      <c r="O124" s="35"/>
      <c r="P124" s="35"/>
      <c r="Q124" s="35"/>
      <c r="R124" s="35"/>
      <c r="S124" s="35"/>
      <c r="T124" s="35"/>
      <c r="U124" s="35"/>
      <c r="V124" s="35"/>
      <c r="W124" s="35"/>
      <c r="X124" s="35" t="s">
        <v>697</v>
      </c>
      <c r="AD124" s="49" t="s">
        <v>328</v>
      </c>
      <c r="AE124" s="49">
        <f t="shared" si="7"/>
        <v>0</v>
      </c>
    </row>
    <row r="125" spans="1:31">
      <c r="A125" t="s">
        <v>324</v>
      </c>
      <c r="B125" s="31">
        <f t="shared" si="6"/>
        <v>1</v>
      </c>
      <c r="E125" t="s">
        <v>724</v>
      </c>
      <c r="F125">
        <v>0</v>
      </c>
      <c r="K125" s="35" t="s">
        <v>336</v>
      </c>
      <c r="M125" s="35"/>
      <c r="N125" s="35"/>
      <c r="O125" s="35"/>
      <c r="P125" s="35"/>
      <c r="Q125" s="35"/>
      <c r="R125" s="35"/>
      <c r="S125" s="35"/>
      <c r="T125" s="35"/>
      <c r="U125" s="35"/>
      <c r="V125" s="35"/>
      <c r="W125" s="35"/>
      <c r="X125" s="35" t="s">
        <v>686</v>
      </c>
      <c r="AD125" s="49" t="s">
        <v>324</v>
      </c>
      <c r="AE125" s="49">
        <f t="shared" si="7"/>
        <v>1</v>
      </c>
    </row>
    <row r="126" spans="1:31">
      <c r="A126" t="s">
        <v>320</v>
      </c>
      <c r="B126" s="31">
        <f t="shared" si="6"/>
        <v>1</v>
      </c>
      <c r="E126" t="s">
        <v>725</v>
      </c>
      <c r="F126">
        <v>0</v>
      </c>
      <c r="K126" s="35" t="s">
        <v>289</v>
      </c>
      <c r="M126" s="35"/>
      <c r="N126" s="35"/>
      <c r="O126" s="35"/>
      <c r="P126" s="35"/>
      <c r="Q126" s="35"/>
      <c r="R126" s="35"/>
      <c r="S126" s="35"/>
      <c r="T126" s="35"/>
      <c r="U126" s="35"/>
      <c r="V126" s="35"/>
      <c r="W126" s="35"/>
      <c r="X126" s="35" t="s">
        <v>319</v>
      </c>
      <c r="AD126" s="49" t="s">
        <v>320</v>
      </c>
      <c r="AE126" s="49">
        <f t="shared" si="7"/>
        <v>0</v>
      </c>
    </row>
    <row r="127" spans="1:31">
      <c r="A127" t="s">
        <v>285</v>
      </c>
      <c r="B127" s="31">
        <f t="shared" si="6"/>
        <v>1</v>
      </c>
      <c r="E127" t="s">
        <v>312</v>
      </c>
      <c r="F127">
        <v>0</v>
      </c>
      <c r="K127" s="35" t="s">
        <v>310</v>
      </c>
      <c r="M127" s="35"/>
      <c r="N127" s="35"/>
      <c r="O127" s="35"/>
      <c r="P127" s="35"/>
      <c r="Q127" s="35"/>
      <c r="R127" s="35"/>
      <c r="S127" s="35"/>
      <c r="T127" s="35"/>
      <c r="U127" s="35"/>
      <c r="V127" s="35"/>
      <c r="W127" s="35"/>
      <c r="X127" s="35" t="s">
        <v>748</v>
      </c>
      <c r="AD127" s="49" t="s">
        <v>285</v>
      </c>
      <c r="AE127" s="49">
        <f t="shared" si="7"/>
        <v>0</v>
      </c>
    </row>
    <row r="128" spans="1:31">
      <c r="A128" t="s">
        <v>317</v>
      </c>
      <c r="B128" s="31">
        <f t="shared" si="6"/>
        <v>1</v>
      </c>
      <c r="E128" t="s">
        <v>755</v>
      </c>
      <c r="F128">
        <v>0</v>
      </c>
      <c r="K128" s="35" t="s">
        <v>309</v>
      </c>
      <c r="M128" s="35"/>
      <c r="N128" s="35"/>
      <c r="O128" s="35"/>
      <c r="P128" s="35"/>
      <c r="Q128" s="35"/>
      <c r="R128" s="35"/>
      <c r="S128" s="35"/>
      <c r="T128" s="35"/>
      <c r="U128" s="35"/>
      <c r="V128" s="35"/>
      <c r="W128" s="35"/>
      <c r="X128" s="35" t="s">
        <v>749</v>
      </c>
      <c r="AD128" s="49" t="s">
        <v>317</v>
      </c>
      <c r="AE128" s="49">
        <f t="shared" si="7"/>
        <v>0</v>
      </c>
    </row>
    <row r="129" spans="1:31">
      <c r="A129" t="s">
        <v>318</v>
      </c>
      <c r="B129" s="31">
        <f t="shared" ref="B129:B160" si="8">COUNTIF(A:A,A129)</f>
        <v>1</v>
      </c>
      <c r="E129" t="s">
        <v>592</v>
      </c>
      <c r="F129">
        <v>0</v>
      </c>
      <c r="K129" s="35" t="s">
        <v>287</v>
      </c>
      <c r="M129" s="35"/>
      <c r="N129" s="35"/>
      <c r="O129" s="35"/>
      <c r="P129" s="35"/>
      <c r="Q129" s="35"/>
      <c r="R129" s="35"/>
      <c r="S129" s="35"/>
      <c r="T129" s="35"/>
      <c r="U129" s="35"/>
      <c r="V129" s="35"/>
      <c r="W129" s="35"/>
      <c r="X129" s="35" t="s">
        <v>750</v>
      </c>
      <c r="AD129" s="49" t="s">
        <v>318</v>
      </c>
      <c r="AE129" s="49">
        <f t="shared" ref="AE129:AE160" si="9">COUNTIF(AB:AB,AD129)</f>
        <v>1</v>
      </c>
    </row>
    <row r="130" spans="1:31">
      <c r="A130" t="s">
        <v>321</v>
      </c>
      <c r="B130" s="31">
        <f t="shared" si="8"/>
        <v>1</v>
      </c>
      <c r="E130" t="s">
        <v>334</v>
      </c>
      <c r="F130">
        <v>0</v>
      </c>
      <c r="N130" s="35"/>
      <c r="O130" s="35"/>
      <c r="P130" s="35"/>
      <c r="Q130" s="35"/>
      <c r="R130" s="35"/>
      <c r="S130" s="35"/>
      <c r="T130" s="35"/>
      <c r="U130" s="35"/>
      <c r="V130" s="35"/>
      <c r="W130" s="35"/>
      <c r="X130" s="35" t="s">
        <v>673</v>
      </c>
      <c r="AD130" s="49" t="s">
        <v>321</v>
      </c>
      <c r="AE130" s="49">
        <f t="shared" si="9"/>
        <v>0</v>
      </c>
    </row>
    <row r="131" spans="1:31">
      <c r="A131" t="s">
        <v>322</v>
      </c>
      <c r="B131" s="31">
        <f t="shared" si="8"/>
        <v>1</v>
      </c>
      <c r="E131" t="s">
        <v>335</v>
      </c>
      <c r="F131">
        <v>0</v>
      </c>
      <c r="N131" s="35"/>
      <c r="O131" s="35"/>
      <c r="P131" s="35"/>
      <c r="Q131" s="35"/>
      <c r="R131" s="35"/>
      <c r="S131" s="35"/>
      <c r="T131" s="35"/>
      <c r="U131" s="35"/>
      <c r="V131" s="35"/>
      <c r="W131" s="35"/>
      <c r="X131" s="35" t="s">
        <v>245</v>
      </c>
      <c r="AD131" s="49" t="s">
        <v>322</v>
      </c>
      <c r="AE131" s="49">
        <f t="shared" si="9"/>
        <v>0</v>
      </c>
    </row>
    <row r="132" spans="1:31">
      <c r="A132" t="s">
        <v>323</v>
      </c>
      <c r="B132" s="31">
        <f t="shared" si="8"/>
        <v>1</v>
      </c>
      <c r="E132" t="s">
        <v>730</v>
      </c>
      <c r="F132">
        <v>0</v>
      </c>
      <c r="N132" s="35"/>
      <c r="O132" s="35"/>
      <c r="P132" s="35"/>
      <c r="Q132" s="35"/>
      <c r="R132" s="35"/>
      <c r="S132" s="35"/>
      <c r="T132" s="35"/>
      <c r="U132" s="35"/>
      <c r="V132" s="35"/>
      <c r="W132" s="35"/>
      <c r="X132" s="35" t="s">
        <v>729</v>
      </c>
      <c r="AD132" s="49" t="s">
        <v>323</v>
      </c>
      <c r="AE132" s="49">
        <f t="shared" si="9"/>
        <v>0</v>
      </c>
    </row>
    <row r="133" spans="1:31">
      <c r="A133" t="s">
        <v>731</v>
      </c>
      <c r="B133" s="31">
        <f t="shared" si="8"/>
        <v>1</v>
      </c>
      <c r="E133" t="s">
        <v>329</v>
      </c>
      <c r="F133">
        <v>0</v>
      </c>
      <c r="N133" s="35"/>
      <c r="O133" s="35"/>
      <c r="P133" s="35"/>
      <c r="Q133" s="35"/>
      <c r="R133" s="35"/>
      <c r="S133" s="35"/>
      <c r="T133" s="35"/>
      <c r="U133" s="35"/>
      <c r="V133" s="35"/>
      <c r="W133" s="35"/>
      <c r="X133" s="35" t="s">
        <v>731</v>
      </c>
      <c r="AD133" s="49" t="s">
        <v>731</v>
      </c>
      <c r="AE133" s="49">
        <f t="shared" si="9"/>
        <v>0</v>
      </c>
    </row>
    <row r="134" spans="1:31">
      <c r="A134" t="s">
        <v>308</v>
      </c>
      <c r="B134" s="31">
        <f t="shared" si="8"/>
        <v>1</v>
      </c>
      <c r="E134" t="s">
        <v>292</v>
      </c>
      <c r="F134">
        <v>0</v>
      </c>
      <c r="N134" s="35"/>
      <c r="O134" s="35"/>
      <c r="P134" s="35"/>
      <c r="Q134" s="35"/>
      <c r="R134" s="35"/>
      <c r="S134" s="35"/>
      <c r="T134" s="35"/>
      <c r="U134" s="35"/>
      <c r="V134" s="35"/>
      <c r="W134" s="35"/>
      <c r="X134" s="35" t="s">
        <v>247</v>
      </c>
      <c r="AD134" s="49" t="s">
        <v>308</v>
      </c>
      <c r="AE134" s="49">
        <f t="shared" si="9"/>
        <v>0</v>
      </c>
    </row>
    <row r="135" spans="1:31">
      <c r="A135" t="s">
        <v>309</v>
      </c>
      <c r="B135" s="31">
        <f t="shared" si="8"/>
        <v>1</v>
      </c>
      <c r="E135" t="s">
        <v>332</v>
      </c>
      <c r="F135">
        <v>0</v>
      </c>
      <c r="N135" s="35"/>
      <c r="O135" s="35"/>
      <c r="P135" s="35"/>
      <c r="Q135" s="35"/>
      <c r="R135" s="35"/>
      <c r="S135" s="35"/>
      <c r="T135" s="35"/>
      <c r="U135" s="35"/>
      <c r="V135" s="35"/>
      <c r="W135" s="35"/>
      <c r="X135" s="35" t="s">
        <v>719</v>
      </c>
      <c r="AD135" s="49" t="s">
        <v>309</v>
      </c>
      <c r="AE135" s="49">
        <f t="shared" si="9"/>
        <v>1</v>
      </c>
    </row>
    <row r="136" spans="1:31">
      <c r="A136" t="s">
        <v>310</v>
      </c>
      <c r="B136" s="31">
        <f t="shared" si="8"/>
        <v>1</v>
      </c>
      <c r="E136" t="s">
        <v>325</v>
      </c>
      <c r="F136">
        <v>0</v>
      </c>
      <c r="N136" s="35"/>
      <c r="O136" s="35"/>
      <c r="P136" s="35"/>
      <c r="Q136" s="35"/>
      <c r="R136" s="35"/>
      <c r="S136" s="35"/>
      <c r="T136" s="35"/>
      <c r="U136" s="35"/>
      <c r="V136" s="35"/>
      <c r="W136" s="35"/>
      <c r="X136" s="35" t="s">
        <v>320</v>
      </c>
      <c r="AD136" s="49" t="s">
        <v>310</v>
      </c>
      <c r="AE136" s="49">
        <f t="shared" si="9"/>
        <v>0</v>
      </c>
    </row>
    <row r="137" spans="1:31">
      <c r="A137" t="s">
        <v>306</v>
      </c>
      <c r="B137" s="31">
        <f t="shared" si="8"/>
        <v>1</v>
      </c>
      <c r="E137" t="s">
        <v>328</v>
      </c>
      <c r="F137">
        <v>0</v>
      </c>
      <c r="N137" s="35"/>
      <c r="O137" s="35"/>
      <c r="P137" s="35"/>
      <c r="Q137" s="35"/>
      <c r="R137" s="35"/>
      <c r="S137" s="35"/>
      <c r="T137" s="35"/>
      <c r="U137" s="35"/>
      <c r="V137" s="35"/>
      <c r="W137" s="35"/>
      <c r="X137" s="35"/>
      <c r="AD137" s="49" t="s">
        <v>306</v>
      </c>
      <c r="AE137" s="49">
        <f t="shared" si="9"/>
        <v>0</v>
      </c>
    </row>
    <row r="138" spans="1:31">
      <c r="A138" t="s">
        <v>311</v>
      </c>
      <c r="B138" s="31">
        <f t="shared" si="8"/>
        <v>1</v>
      </c>
      <c r="E138" t="s">
        <v>285</v>
      </c>
      <c r="F138">
        <v>0</v>
      </c>
      <c r="N138" s="35"/>
      <c r="O138" s="35"/>
      <c r="P138" s="35"/>
      <c r="Q138" s="35"/>
      <c r="R138" s="35"/>
      <c r="S138" s="35"/>
      <c r="T138" s="35"/>
      <c r="U138" s="35"/>
      <c r="V138" s="35"/>
      <c r="W138" s="35"/>
      <c r="AD138" s="49" t="s">
        <v>311</v>
      </c>
      <c r="AE138" s="49">
        <f t="shared" si="9"/>
        <v>0</v>
      </c>
    </row>
    <row r="139" spans="1:31">
      <c r="A139" t="s">
        <v>314</v>
      </c>
      <c r="B139" s="31">
        <f t="shared" si="8"/>
        <v>1</v>
      </c>
      <c r="E139" t="s">
        <v>321</v>
      </c>
      <c r="F139">
        <v>0</v>
      </c>
      <c r="N139" s="35"/>
      <c r="O139" s="35"/>
      <c r="P139" s="35"/>
      <c r="Q139" s="35"/>
      <c r="R139" s="35"/>
      <c r="S139" s="35"/>
      <c r="T139" s="35"/>
      <c r="U139" s="35"/>
      <c r="V139" s="35"/>
      <c r="W139" s="35"/>
      <c r="AD139" s="49" t="s">
        <v>314</v>
      </c>
      <c r="AE139" s="49">
        <f t="shared" si="9"/>
        <v>0</v>
      </c>
    </row>
    <row r="140" spans="1:31">
      <c r="A140" t="s">
        <v>307</v>
      </c>
      <c r="B140" s="31">
        <f t="shared" si="8"/>
        <v>1</v>
      </c>
      <c r="E140" t="s">
        <v>322</v>
      </c>
      <c r="F140">
        <v>0</v>
      </c>
      <c r="AD140" s="49" t="s">
        <v>307</v>
      </c>
      <c r="AE140" s="49">
        <f t="shared" si="9"/>
        <v>1</v>
      </c>
    </row>
    <row r="141" spans="1:31">
      <c r="A141" t="s">
        <v>315</v>
      </c>
      <c r="B141" s="31">
        <f t="shared" si="8"/>
        <v>1</v>
      </c>
      <c r="E141" t="s">
        <v>323</v>
      </c>
      <c r="F141">
        <v>0</v>
      </c>
      <c r="AD141" s="49" t="s">
        <v>315</v>
      </c>
      <c r="AE141" s="49">
        <f t="shared" si="9"/>
        <v>0</v>
      </c>
    </row>
    <row r="142" spans="1:31">
      <c r="A142" t="s">
        <v>313</v>
      </c>
      <c r="B142" s="31">
        <f t="shared" si="8"/>
        <v>1</v>
      </c>
      <c r="E142"/>
      <c r="F142"/>
      <c r="AD142" s="49" t="s">
        <v>313</v>
      </c>
      <c r="AE142" s="49">
        <f t="shared" si="9"/>
        <v>0</v>
      </c>
    </row>
    <row r="143" spans="1:31">
      <c r="A143" t="s">
        <v>302</v>
      </c>
      <c r="B143" s="31">
        <f t="shared" si="8"/>
        <v>1</v>
      </c>
      <c r="E143" t="s">
        <v>308</v>
      </c>
      <c r="F143">
        <v>0</v>
      </c>
      <c r="AD143" s="49" t="s">
        <v>302</v>
      </c>
      <c r="AE143" s="49">
        <f t="shared" si="9"/>
        <v>1</v>
      </c>
    </row>
    <row r="144" spans="1:31">
      <c r="A144" t="s">
        <v>303</v>
      </c>
      <c r="B144" s="31">
        <f t="shared" si="8"/>
        <v>1</v>
      </c>
      <c r="E144" t="s">
        <v>314</v>
      </c>
      <c r="F144">
        <v>0</v>
      </c>
      <c r="AD144" s="49" t="s">
        <v>303</v>
      </c>
      <c r="AE144" s="49">
        <f t="shared" si="9"/>
        <v>1</v>
      </c>
    </row>
    <row r="145" spans="1:31">
      <c r="A145" t="s">
        <v>304</v>
      </c>
      <c r="B145" s="31">
        <f t="shared" si="8"/>
        <v>1</v>
      </c>
      <c r="E145" t="s">
        <v>315</v>
      </c>
      <c r="F145">
        <v>0</v>
      </c>
      <c r="AD145" s="49" t="s">
        <v>304</v>
      </c>
      <c r="AE145" s="49">
        <f t="shared" si="9"/>
        <v>1</v>
      </c>
    </row>
    <row r="146" spans="1:31">
      <c r="A146" t="s">
        <v>296</v>
      </c>
      <c r="B146" s="31">
        <f t="shared" si="8"/>
        <v>1</v>
      </c>
      <c r="E146" t="s">
        <v>313</v>
      </c>
      <c r="F146">
        <v>0</v>
      </c>
      <c r="AD146" s="49" t="s">
        <v>296</v>
      </c>
      <c r="AE146" s="49">
        <f t="shared" si="9"/>
        <v>0</v>
      </c>
    </row>
    <row r="147" spans="1:31">
      <c r="A147" t="s">
        <v>297</v>
      </c>
      <c r="B147" s="31">
        <f t="shared" si="8"/>
        <v>1</v>
      </c>
      <c r="E147" t="s">
        <v>296</v>
      </c>
      <c r="F147">
        <v>0</v>
      </c>
      <c r="AD147" s="49" t="s">
        <v>297</v>
      </c>
      <c r="AE147" s="49">
        <f t="shared" si="9"/>
        <v>0</v>
      </c>
    </row>
    <row r="148" spans="1:31">
      <c r="A148" t="s">
        <v>298</v>
      </c>
      <c r="B148" s="31">
        <f t="shared" si="8"/>
        <v>1</v>
      </c>
      <c r="E148" t="s">
        <v>297</v>
      </c>
      <c r="F148">
        <v>0</v>
      </c>
      <c r="AD148" s="49" t="s">
        <v>298</v>
      </c>
      <c r="AE148" s="49">
        <f t="shared" si="9"/>
        <v>1</v>
      </c>
    </row>
    <row r="149" spans="1:31">
      <c r="A149" t="s">
        <v>299</v>
      </c>
      <c r="B149" s="31">
        <f t="shared" si="8"/>
        <v>1</v>
      </c>
      <c r="E149" t="s">
        <v>299</v>
      </c>
      <c r="F149">
        <v>0</v>
      </c>
      <c r="AD149" s="49" t="s">
        <v>299</v>
      </c>
      <c r="AE149" s="49">
        <f t="shared" si="9"/>
        <v>0</v>
      </c>
    </row>
    <row r="150" spans="1:31">
      <c r="A150" t="s">
        <v>300</v>
      </c>
      <c r="B150" s="31">
        <f t="shared" si="8"/>
        <v>1</v>
      </c>
      <c r="E150" t="s">
        <v>300</v>
      </c>
      <c r="F150">
        <v>0</v>
      </c>
      <c r="AD150" s="49" t="s">
        <v>300</v>
      </c>
      <c r="AE150" s="49">
        <f t="shared" si="9"/>
        <v>0</v>
      </c>
    </row>
    <row r="151" spans="1:31">
      <c r="A151" t="s">
        <v>301</v>
      </c>
      <c r="B151" s="31">
        <f t="shared" si="8"/>
        <v>1</v>
      </c>
      <c r="E151" t="s">
        <v>301</v>
      </c>
      <c r="F151">
        <v>0</v>
      </c>
      <c r="AD151" s="49" t="s">
        <v>301</v>
      </c>
      <c r="AE151" s="49">
        <f t="shared" si="9"/>
        <v>0</v>
      </c>
    </row>
    <row r="152" spans="1:31">
      <c r="A152" t="s">
        <v>316</v>
      </c>
      <c r="B152" s="31">
        <f t="shared" si="8"/>
        <v>1</v>
      </c>
      <c r="E152" t="s">
        <v>316</v>
      </c>
      <c r="F152">
        <v>0</v>
      </c>
      <c r="AD152" s="49" t="s">
        <v>316</v>
      </c>
      <c r="AE152" s="49">
        <f t="shared" si="9"/>
        <v>0</v>
      </c>
    </row>
    <row r="153" spans="1:31">
      <c r="A153" t="s">
        <v>337</v>
      </c>
      <c r="B153" s="31">
        <f t="shared" si="8"/>
        <v>1</v>
      </c>
      <c r="E153" t="s">
        <v>337</v>
      </c>
      <c r="F153">
        <v>0</v>
      </c>
      <c r="AD153" s="49" t="s">
        <v>337</v>
      </c>
      <c r="AE153" s="49">
        <f t="shared" si="9"/>
        <v>0</v>
      </c>
    </row>
    <row r="154" spans="1:31">
      <c r="A154" t="s">
        <v>583</v>
      </c>
      <c r="B154" s="31">
        <f t="shared" si="8"/>
        <v>1</v>
      </c>
      <c r="E154"/>
      <c r="F154"/>
      <c r="AD154" s="49" t="s">
        <v>583</v>
      </c>
      <c r="AE154" s="49">
        <f t="shared" si="9"/>
        <v>1</v>
      </c>
    </row>
    <row r="155" spans="1:31">
      <c r="A155" t="s">
        <v>732</v>
      </c>
      <c r="B155" s="31">
        <f t="shared" si="8"/>
        <v>1</v>
      </c>
      <c r="E155" t="s">
        <v>733</v>
      </c>
      <c r="F155">
        <v>0</v>
      </c>
      <c r="AD155" s="49" t="s">
        <v>2465</v>
      </c>
      <c r="AE155" s="49">
        <f t="shared" si="9"/>
        <v>0</v>
      </c>
    </row>
    <row r="156" spans="1:31">
      <c r="A156" t="s">
        <v>733</v>
      </c>
      <c r="B156" s="31">
        <f t="shared" si="8"/>
        <v>1</v>
      </c>
      <c r="E156" t="s">
        <v>740</v>
      </c>
      <c r="F156">
        <v>0</v>
      </c>
      <c r="AD156" s="49" t="s">
        <v>733</v>
      </c>
      <c r="AE156" s="49">
        <f t="shared" si="9"/>
        <v>0</v>
      </c>
    </row>
    <row r="157" spans="1:31">
      <c r="A157" t="s">
        <v>740</v>
      </c>
      <c r="B157" s="31">
        <f t="shared" si="8"/>
        <v>1</v>
      </c>
      <c r="E157" t="s">
        <v>734</v>
      </c>
      <c r="F157">
        <v>0</v>
      </c>
      <c r="AD157" s="49" t="s">
        <v>740</v>
      </c>
      <c r="AE157" s="49">
        <f t="shared" si="9"/>
        <v>0</v>
      </c>
    </row>
    <row r="158" spans="1:31">
      <c r="A158" t="s">
        <v>734</v>
      </c>
      <c r="B158" s="31">
        <f t="shared" si="8"/>
        <v>1</v>
      </c>
      <c r="E158" t="s">
        <v>736</v>
      </c>
      <c r="F158">
        <v>0</v>
      </c>
      <c r="AD158" s="49" t="s">
        <v>734</v>
      </c>
      <c r="AE158" s="49">
        <f t="shared" si="9"/>
        <v>0</v>
      </c>
    </row>
    <row r="159" spans="1:31">
      <c r="A159" t="s">
        <v>735</v>
      </c>
      <c r="B159" s="31">
        <f t="shared" si="8"/>
        <v>1</v>
      </c>
      <c r="E159" t="s">
        <v>741</v>
      </c>
      <c r="F159">
        <v>0</v>
      </c>
      <c r="AD159" s="49" t="s">
        <v>735</v>
      </c>
      <c r="AE159" s="49">
        <f t="shared" si="9"/>
        <v>1</v>
      </c>
    </row>
    <row r="160" spans="1:31">
      <c r="A160" t="s">
        <v>736</v>
      </c>
      <c r="B160" s="31">
        <f t="shared" si="8"/>
        <v>1</v>
      </c>
      <c r="E160" t="s">
        <v>737</v>
      </c>
      <c r="F160">
        <v>0</v>
      </c>
      <c r="AD160" s="49" t="s">
        <v>736</v>
      </c>
      <c r="AE160" s="49">
        <f t="shared" si="9"/>
        <v>0</v>
      </c>
    </row>
    <row r="161" spans="1:31">
      <c r="A161" t="s">
        <v>741</v>
      </c>
      <c r="B161" s="31">
        <f t="shared" ref="B161:B169" si="10">COUNTIF(A:A,A161)</f>
        <v>1</v>
      </c>
      <c r="E161" t="s">
        <v>738</v>
      </c>
      <c r="F161">
        <v>0</v>
      </c>
      <c r="AD161" s="49" t="s">
        <v>741</v>
      </c>
      <c r="AE161" s="49">
        <f>COUNTIF(AB:AB,AD161)</f>
        <v>0</v>
      </c>
    </row>
    <row r="162" spans="1:31">
      <c r="A162" t="s">
        <v>737</v>
      </c>
      <c r="B162" s="31">
        <f t="shared" si="10"/>
        <v>1</v>
      </c>
      <c r="E162"/>
      <c r="F162"/>
      <c r="AD162" s="49" t="s">
        <v>737</v>
      </c>
      <c r="AE162" s="49">
        <f>COUNTIF(AB:AB,AD162)</f>
        <v>0</v>
      </c>
    </row>
    <row r="163" spans="1:31">
      <c r="A163" t="s">
        <v>738</v>
      </c>
      <c r="B163" s="31">
        <f t="shared" si="10"/>
        <v>1</v>
      </c>
      <c r="E163"/>
      <c r="F163"/>
      <c r="AD163" s="49" t="s">
        <v>738</v>
      </c>
      <c r="AE163" s="49">
        <f>COUNTIF(AB:AB,AD163)</f>
        <v>0</v>
      </c>
    </row>
    <row r="164" spans="1:31">
      <c r="A164" t="s">
        <v>917</v>
      </c>
      <c r="B164" s="31">
        <f t="shared" si="10"/>
        <v>1</v>
      </c>
      <c r="E164"/>
      <c r="F164"/>
      <c r="AD164" s="49" t="s">
        <v>916</v>
      </c>
      <c r="AE164" s="49">
        <f>COUNTIF(AB:AB,AD164)</f>
        <v>1</v>
      </c>
    </row>
    <row r="165" spans="1:31">
      <c r="A165" t="s">
        <v>3555</v>
      </c>
      <c r="B165" s="31">
        <f t="shared" si="10"/>
        <v>1</v>
      </c>
      <c r="E165"/>
      <c r="F165"/>
    </row>
    <row r="166" spans="1:31">
      <c r="A166" t="s">
        <v>3556</v>
      </c>
      <c r="B166" s="31">
        <f t="shared" si="10"/>
        <v>1</v>
      </c>
      <c r="E166"/>
      <c r="F166"/>
    </row>
    <row r="167" spans="1:31">
      <c r="A167" t="s">
        <v>3557</v>
      </c>
      <c r="B167" s="31">
        <f t="shared" si="10"/>
        <v>1</v>
      </c>
      <c r="E167"/>
      <c r="F167"/>
    </row>
    <row r="168" spans="1:31">
      <c r="B168" s="31">
        <f t="shared" si="10"/>
        <v>0</v>
      </c>
      <c r="E168"/>
      <c r="F168"/>
    </row>
    <row r="169" spans="1:31">
      <c r="B169" s="31">
        <f t="shared" si="10"/>
        <v>0</v>
      </c>
      <c r="E169"/>
      <c r="F169"/>
    </row>
    <row r="170" spans="1:31">
      <c r="E170"/>
      <c r="F170"/>
    </row>
    <row r="171" spans="1:31">
      <c r="E171"/>
      <c r="F171"/>
    </row>
    <row r="172" spans="1:31">
      <c r="E172"/>
      <c r="F172"/>
    </row>
    <row r="173" spans="1:31">
      <c r="E173"/>
      <c r="F173"/>
    </row>
    <row r="174" spans="1:31">
      <c r="E174"/>
      <c r="F174"/>
    </row>
    <row r="175" spans="1:31">
      <c r="E175"/>
      <c r="F175"/>
    </row>
    <row r="176" spans="1:31">
      <c r="E176"/>
      <c r="F176"/>
    </row>
    <row r="177" spans="5:6">
      <c r="E177"/>
      <c r="F177"/>
    </row>
    <row r="178" spans="5:6">
      <c r="E178"/>
      <c r="F178"/>
    </row>
    <row r="179" spans="5:6">
      <c r="E179"/>
      <c r="F179"/>
    </row>
    <row r="180" spans="5:6">
      <c r="E180"/>
      <c r="F180"/>
    </row>
  </sheetData>
  <phoneticPr fontId="1"/>
  <pageMargins left="0.7" right="0.7" top="0.75" bottom="0.75" header="0.3" footer="0.3"/>
  <pageSetup paperSize="9" orientation="landscape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N261"/>
  <sheetViews>
    <sheetView topLeftCell="A228" workbookViewId="0">
      <selection activeCell="L229" sqref="L229"/>
    </sheetView>
  </sheetViews>
  <sheetFormatPr defaultRowHeight="13.5"/>
  <cols>
    <col min="1" max="1" width="3.5" bestFit="1" customWidth="1"/>
    <col min="2" max="2" width="8.625" customWidth="1"/>
    <col min="3" max="3" width="9.75" style="31" bestFit="1" customWidth="1"/>
    <col min="4" max="4" width="7.75" style="31" bestFit="1" customWidth="1"/>
    <col min="5" max="5" width="4" style="31" bestFit="1" customWidth="1"/>
    <col min="6" max="6" width="20" style="31" bestFit="1" customWidth="1"/>
  </cols>
  <sheetData>
    <row r="1" spans="1:14">
      <c r="A1" s="49"/>
      <c r="B1" s="49" t="s">
        <v>1052</v>
      </c>
      <c r="C1" s="49"/>
      <c r="F1"/>
    </row>
    <row r="2" spans="1:14">
      <c r="A2" s="49">
        <v>1</v>
      </c>
      <c r="B2" s="49" t="s">
        <v>1059</v>
      </c>
      <c r="C2" s="49" t="s">
        <v>352</v>
      </c>
      <c r="D2" s="31" t="s">
        <v>976</v>
      </c>
      <c r="E2" t="s">
        <v>923</v>
      </c>
      <c r="F2" s="49" t="s">
        <v>659</v>
      </c>
      <c r="G2" s="49"/>
    </row>
    <row r="3" spans="1:14">
      <c r="A3" s="49">
        <v>2</v>
      </c>
      <c r="B3" s="49" t="s">
        <v>1060</v>
      </c>
      <c r="C3" s="49" t="s">
        <v>342</v>
      </c>
      <c r="D3" s="31" t="s">
        <v>976</v>
      </c>
      <c r="E3" t="s">
        <v>923</v>
      </c>
      <c r="F3" s="49" t="s">
        <v>937</v>
      </c>
      <c r="G3" s="31"/>
      <c r="N3" s="49"/>
    </row>
    <row r="4" spans="1:14">
      <c r="A4" s="49">
        <v>3</v>
      </c>
      <c r="B4" s="49" t="s">
        <v>1061</v>
      </c>
      <c r="C4" s="49" t="s">
        <v>353</v>
      </c>
      <c r="D4" s="31" t="s">
        <v>978</v>
      </c>
      <c r="E4" t="s">
        <v>923</v>
      </c>
      <c r="F4" s="49" t="s">
        <v>786</v>
      </c>
      <c r="G4" s="31"/>
      <c r="N4" s="49"/>
    </row>
    <row r="5" spans="1:14">
      <c r="A5" s="49">
        <v>4</v>
      </c>
      <c r="B5" s="49" t="s">
        <v>1062</v>
      </c>
      <c r="C5" s="49" t="s">
        <v>971</v>
      </c>
      <c r="D5" s="49" t="s">
        <v>978</v>
      </c>
      <c r="E5" t="s">
        <v>923</v>
      </c>
      <c r="F5" s="49" t="s">
        <v>651</v>
      </c>
      <c r="G5" s="31"/>
      <c r="N5" s="49"/>
    </row>
    <row r="6" spans="1:14" s="49" customFormat="1">
      <c r="A6" s="49">
        <v>5</v>
      </c>
      <c r="B6" s="49" t="s">
        <v>1063</v>
      </c>
      <c r="C6" s="49" t="s">
        <v>352</v>
      </c>
      <c r="D6" s="49" t="s">
        <v>978</v>
      </c>
      <c r="E6" t="s">
        <v>787</v>
      </c>
      <c r="F6" t="s">
        <v>941</v>
      </c>
    </row>
    <row r="7" spans="1:14">
      <c r="A7" s="49">
        <v>6</v>
      </c>
      <c r="B7" s="49" t="s">
        <v>1064</v>
      </c>
      <c r="C7" s="49" t="s">
        <v>353</v>
      </c>
      <c r="D7" s="31" t="s">
        <v>980</v>
      </c>
      <c r="E7" t="s">
        <v>923</v>
      </c>
      <c r="F7" s="49" t="s">
        <v>771</v>
      </c>
      <c r="G7" s="31"/>
      <c r="N7" s="49"/>
    </row>
    <row r="8" spans="1:14">
      <c r="A8" s="49">
        <v>7</v>
      </c>
      <c r="B8" s="49" t="s">
        <v>1065</v>
      </c>
      <c r="C8" s="49" t="s">
        <v>971</v>
      </c>
      <c r="D8" s="49" t="s">
        <v>980</v>
      </c>
      <c r="E8" t="s">
        <v>787</v>
      </c>
      <c r="F8" t="s">
        <v>942</v>
      </c>
    </row>
    <row r="9" spans="1:14">
      <c r="A9" s="49">
        <v>8</v>
      </c>
      <c r="B9" s="49" t="s">
        <v>1066</v>
      </c>
      <c r="C9" s="49" t="s">
        <v>352</v>
      </c>
      <c r="D9" s="31" t="s">
        <v>982</v>
      </c>
      <c r="E9" t="s">
        <v>2</v>
      </c>
      <c r="F9" t="s">
        <v>944</v>
      </c>
    </row>
    <row r="10" spans="1:14">
      <c r="A10" s="49">
        <v>9</v>
      </c>
      <c r="B10" s="49" t="s">
        <v>1067</v>
      </c>
      <c r="C10" s="49" t="s">
        <v>352</v>
      </c>
      <c r="D10" s="49" t="s">
        <v>982</v>
      </c>
      <c r="E10" s="49" t="s">
        <v>923</v>
      </c>
      <c r="F10" s="49" t="s">
        <v>938</v>
      </c>
    </row>
    <row r="11" spans="1:14">
      <c r="A11" s="49">
        <v>10</v>
      </c>
      <c r="B11" s="49" t="s">
        <v>1068</v>
      </c>
      <c r="C11" s="49" t="s">
        <v>352</v>
      </c>
      <c r="D11" s="31" t="s">
        <v>984</v>
      </c>
      <c r="E11" t="s">
        <v>2</v>
      </c>
      <c r="F11" t="s">
        <v>985</v>
      </c>
    </row>
    <row r="12" spans="1:14">
      <c r="A12" s="49">
        <v>11</v>
      </c>
      <c r="B12" s="49" t="s">
        <v>1069</v>
      </c>
      <c r="C12" s="49" t="s">
        <v>342</v>
      </c>
      <c r="D12" s="31" t="s">
        <v>987</v>
      </c>
      <c r="E12" t="s">
        <v>787</v>
      </c>
      <c r="F12" t="s">
        <v>943</v>
      </c>
    </row>
    <row r="13" spans="1:14">
      <c r="A13" s="49">
        <v>12</v>
      </c>
      <c r="B13" s="49" t="s">
        <v>1070</v>
      </c>
      <c r="C13" s="49" t="s">
        <v>354</v>
      </c>
      <c r="D13" s="49" t="s">
        <v>987</v>
      </c>
      <c r="E13" s="49" t="s">
        <v>923</v>
      </c>
      <c r="F13" s="49" t="s">
        <v>940</v>
      </c>
    </row>
    <row r="14" spans="1:14">
      <c r="A14" s="49"/>
      <c r="B14" s="49" t="s">
        <v>1053</v>
      </c>
      <c r="C14" s="49"/>
      <c r="E14" s="49"/>
    </row>
    <row r="15" spans="1:14">
      <c r="A15" s="49">
        <v>1</v>
      </c>
      <c r="B15" s="49" t="s">
        <v>1071</v>
      </c>
      <c r="C15" s="49" t="s">
        <v>352</v>
      </c>
      <c r="D15" s="31" t="s">
        <v>993</v>
      </c>
      <c r="E15" t="s">
        <v>923</v>
      </c>
      <c r="F15" s="49" t="s">
        <v>994</v>
      </c>
      <c r="G15" s="49"/>
    </row>
    <row r="16" spans="1:14">
      <c r="A16" s="49">
        <v>2</v>
      </c>
      <c r="B16" s="49" t="s">
        <v>1072</v>
      </c>
      <c r="C16" s="49" t="s">
        <v>971</v>
      </c>
      <c r="D16" s="31" t="s">
        <v>995</v>
      </c>
      <c r="E16" t="s">
        <v>923</v>
      </c>
      <c r="F16" s="49" t="s">
        <v>945</v>
      </c>
    </row>
    <row r="17" spans="1:7">
      <c r="A17" s="49">
        <v>3</v>
      </c>
      <c r="B17" s="49" t="s">
        <v>1073</v>
      </c>
      <c r="C17" s="49" t="s">
        <v>342</v>
      </c>
      <c r="D17" s="49" t="s">
        <v>995</v>
      </c>
      <c r="E17" t="s">
        <v>923</v>
      </c>
      <c r="F17" s="49" t="s">
        <v>946</v>
      </c>
    </row>
    <row r="18" spans="1:7">
      <c r="A18" s="49">
        <v>4</v>
      </c>
      <c r="B18" s="49" t="s">
        <v>1074</v>
      </c>
      <c r="C18" s="49" t="s">
        <v>352</v>
      </c>
      <c r="D18" s="31" t="s">
        <v>997</v>
      </c>
      <c r="E18" t="s">
        <v>923</v>
      </c>
      <c r="F18" s="49" t="s">
        <v>663</v>
      </c>
    </row>
    <row r="19" spans="1:7">
      <c r="A19" s="49">
        <v>5</v>
      </c>
      <c r="B19" s="49" t="s">
        <v>1075</v>
      </c>
      <c r="C19" s="49" t="s">
        <v>971</v>
      </c>
      <c r="D19" s="49" t="s">
        <v>997</v>
      </c>
      <c r="E19" t="s">
        <v>787</v>
      </c>
      <c r="F19" t="s">
        <v>948</v>
      </c>
    </row>
    <row r="20" spans="1:7">
      <c r="A20" s="49">
        <v>6</v>
      </c>
      <c r="B20" s="49" t="s">
        <v>1076</v>
      </c>
      <c r="C20" s="49" t="s">
        <v>352</v>
      </c>
      <c r="D20" s="31" t="s">
        <v>999</v>
      </c>
      <c r="E20" t="s">
        <v>787</v>
      </c>
      <c r="F20" t="s">
        <v>949</v>
      </c>
    </row>
    <row r="21" spans="1:7">
      <c r="A21" s="49">
        <v>7</v>
      </c>
      <c r="B21" s="49" t="s">
        <v>1077</v>
      </c>
      <c r="C21" s="49" t="s">
        <v>342</v>
      </c>
      <c r="D21" s="31" t="s">
        <v>1001</v>
      </c>
      <c r="E21" t="s">
        <v>787</v>
      </c>
      <c r="F21" t="s">
        <v>947</v>
      </c>
    </row>
    <row r="22" spans="1:7">
      <c r="A22" s="49">
        <v>8</v>
      </c>
      <c r="B22" s="49" t="s">
        <v>1078</v>
      </c>
      <c r="C22" s="49" t="s">
        <v>354</v>
      </c>
      <c r="D22" s="49" t="s">
        <v>1001</v>
      </c>
      <c r="E22" t="s">
        <v>923</v>
      </c>
      <c r="F22" s="49" t="s">
        <v>701</v>
      </c>
    </row>
    <row r="23" spans="1:7">
      <c r="A23" s="49">
        <v>9</v>
      </c>
      <c r="B23" s="49" t="s">
        <v>1079</v>
      </c>
      <c r="C23" s="49" t="s">
        <v>352</v>
      </c>
      <c r="D23" s="31" t="s">
        <v>1003</v>
      </c>
      <c r="E23" t="s">
        <v>2</v>
      </c>
      <c r="F23" t="s">
        <v>1004</v>
      </c>
    </row>
    <row r="24" spans="1:7">
      <c r="A24" s="49">
        <v>10</v>
      </c>
      <c r="B24" s="49" t="s">
        <v>1080</v>
      </c>
      <c r="C24" s="49" t="s">
        <v>342</v>
      </c>
      <c r="D24" s="49" t="s">
        <v>1003</v>
      </c>
      <c r="E24" t="s">
        <v>2</v>
      </c>
      <c r="F24" t="s">
        <v>950</v>
      </c>
      <c r="G24" s="31"/>
    </row>
    <row r="25" spans="1:7">
      <c r="A25" s="49">
        <v>11</v>
      </c>
      <c r="B25" s="49" t="s">
        <v>1081</v>
      </c>
      <c r="C25" s="49" t="s">
        <v>353</v>
      </c>
      <c r="D25" s="49" t="s">
        <v>1003</v>
      </c>
      <c r="E25" t="s">
        <v>923</v>
      </c>
      <c r="F25" s="49" t="s">
        <v>160</v>
      </c>
      <c r="G25" s="31"/>
    </row>
    <row r="26" spans="1:7">
      <c r="A26" s="49"/>
      <c r="B26" s="49" t="s">
        <v>1054</v>
      </c>
      <c r="C26" s="49"/>
      <c r="E26" s="49"/>
      <c r="G26" s="31"/>
    </row>
    <row r="27" spans="1:7">
      <c r="A27" s="49">
        <v>1</v>
      </c>
      <c r="B27" s="49" t="s">
        <v>1082</v>
      </c>
      <c r="C27" s="49" t="s">
        <v>352</v>
      </c>
      <c r="D27" s="31" t="s">
        <v>1005</v>
      </c>
      <c r="E27" t="s">
        <v>923</v>
      </c>
      <c r="F27" s="49" t="s">
        <v>952</v>
      </c>
      <c r="G27" s="31"/>
    </row>
    <row r="28" spans="1:7">
      <c r="A28" s="49">
        <v>2</v>
      </c>
      <c r="B28" s="49" t="s">
        <v>1083</v>
      </c>
      <c r="C28" s="49" t="s">
        <v>342</v>
      </c>
      <c r="D28" s="31" t="s">
        <v>1007</v>
      </c>
      <c r="E28" t="s">
        <v>923</v>
      </c>
      <c r="F28" s="49" t="s">
        <v>772</v>
      </c>
      <c r="G28" s="49"/>
    </row>
    <row r="29" spans="1:7">
      <c r="A29" s="49">
        <v>3</v>
      </c>
      <c r="B29" s="49" t="s">
        <v>1084</v>
      </c>
      <c r="C29" s="49" t="s">
        <v>971</v>
      </c>
      <c r="D29" s="49" t="s">
        <v>1007</v>
      </c>
      <c r="E29" t="s">
        <v>923</v>
      </c>
      <c r="F29" s="49" t="s">
        <v>771</v>
      </c>
      <c r="G29" s="31"/>
    </row>
    <row r="30" spans="1:7">
      <c r="A30" s="49">
        <v>4</v>
      </c>
      <c r="B30" s="49" t="s">
        <v>1085</v>
      </c>
      <c r="C30" s="49" t="s">
        <v>354</v>
      </c>
      <c r="D30" s="49" t="s">
        <v>1007</v>
      </c>
      <c r="E30" t="s">
        <v>923</v>
      </c>
      <c r="F30" s="49" t="s">
        <v>702</v>
      </c>
      <c r="G30" s="31"/>
    </row>
    <row r="31" spans="1:7">
      <c r="A31" s="49">
        <v>5</v>
      </c>
      <c r="B31" s="49" t="s">
        <v>1086</v>
      </c>
      <c r="C31" s="49" t="s">
        <v>352</v>
      </c>
      <c r="D31" s="49" t="s">
        <v>975</v>
      </c>
      <c r="E31" t="s">
        <v>923</v>
      </c>
      <c r="F31" s="49" t="s">
        <v>784</v>
      </c>
      <c r="G31" s="31"/>
    </row>
    <row r="32" spans="1:7">
      <c r="A32" s="49">
        <v>6</v>
      </c>
      <c r="B32" s="49" t="s">
        <v>1087</v>
      </c>
      <c r="C32" s="49" t="s">
        <v>342</v>
      </c>
      <c r="D32" s="49" t="s">
        <v>975</v>
      </c>
      <c r="E32" t="s">
        <v>787</v>
      </c>
      <c r="F32" t="s">
        <v>988</v>
      </c>
    </row>
    <row r="33" spans="1:13">
      <c r="A33" s="49">
        <v>7</v>
      </c>
      <c r="B33" s="49" t="s">
        <v>1088</v>
      </c>
      <c r="C33" s="49" t="s">
        <v>971</v>
      </c>
      <c r="D33" s="31" t="s">
        <v>975</v>
      </c>
      <c r="E33" t="s">
        <v>787</v>
      </c>
      <c r="F33" s="31" t="s">
        <v>953</v>
      </c>
    </row>
    <row r="34" spans="1:13">
      <c r="A34" s="49">
        <v>8</v>
      </c>
      <c r="B34" s="49" t="s">
        <v>1089</v>
      </c>
      <c r="C34" s="49" t="s">
        <v>342</v>
      </c>
      <c r="D34" s="49" t="s">
        <v>1008</v>
      </c>
      <c r="E34" t="s">
        <v>2</v>
      </c>
      <c r="F34" t="s">
        <v>773</v>
      </c>
    </row>
    <row r="35" spans="1:13">
      <c r="A35" s="49">
        <v>9</v>
      </c>
      <c r="B35" s="49" t="s">
        <v>1090</v>
      </c>
      <c r="C35" s="49" t="s">
        <v>352</v>
      </c>
      <c r="D35" s="31" t="s">
        <v>1010</v>
      </c>
      <c r="E35" t="s">
        <v>2</v>
      </c>
      <c r="F35" t="s">
        <v>954</v>
      </c>
    </row>
    <row r="36" spans="1:13">
      <c r="A36" s="49">
        <v>10</v>
      </c>
      <c r="B36" s="49" t="s">
        <v>1091</v>
      </c>
      <c r="C36" s="49" t="s">
        <v>352</v>
      </c>
      <c r="D36" s="31" t="s">
        <v>1008</v>
      </c>
      <c r="E36" t="s">
        <v>787</v>
      </c>
      <c r="F36" t="s">
        <v>958</v>
      </c>
    </row>
    <row r="37" spans="1:13">
      <c r="A37" s="49">
        <v>11</v>
      </c>
      <c r="B37" s="49" t="s">
        <v>1092</v>
      </c>
      <c r="C37" s="49" t="s">
        <v>353</v>
      </c>
      <c r="D37" s="49" t="s">
        <v>1011</v>
      </c>
      <c r="E37" t="s">
        <v>923</v>
      </c>
      <c r="F37" s="49" t="s">
        <v>770</v>
      </c>
    </row>
    <row r="38" spans="1:13">
      <c r="A38" s="49"/>
      <c r="B38" s="49" t="s">
        <v>1055</v>
      </c>
      <c r="C38" s="49"/>
      <c r="E38" s="49"/>
    </row>
    <row r="39" spans="1:13">
      <c r="A39" s="49">
        <v>1</v>
      </c>
      <c r="B39" s="49" t="s">
        <v>1093</v>
      </c>
      <c r="C39" s="49" t="s">
        <v>971</v>
      </c>
      <c r="D39" s="31" t="s">
        <v>1013</v>
      </c>
      <c r="E39" s="49" t="s">
        <v>923</v>
      </c>
      <c r="F39" s="49" t="s">
        <v>158</v>
      </c>
      <c r="G39" s="49"/>
    </row>
    <row r="40" spans="1:13">
      <c r="A40" s="49">
        <v>2</v>
      </c>
      <c r="B40" s="49" t="s">
        <v>1094</v>
      </c>
      <c r="C40" s="49" t="s">
        <v>352</v>
      </c>
      <c r="D40" s="49" t="s">
        <v>1013</v>
      </c>
      <c r="E40" s="49" t="s">
        <v>923</v>
      </c>
      <c r="F40" s="49" t="s">
        <v>955</v>
      </c>
      <c r="G40" s="49"/>
      <c r="K40" s="49"/>
      <c r="L40" s="49"/>
      <c r="M40" s="49"/>
    </row>
    <row r="41" spans="1:13">
      <c r="A41" s="49">
        <v>3</v>
      </c>
      <c r="B41" s="49" t="s">
        <v>1095</v>
      </c>
      <c r="C41" s="49" t="s">
        <v>342</v>
      </c>
      <c r="D41" s="49" t="s">
        <v>1013</v>
      </c>
      <c r="E41" s="49" t="s">
        <v>923</v>
      </c>
      <c r="F41" s="49" t="s">
        <v>672</v>
      </c>
      <c r="G41" s="31"/>
    </row>
    <row r="42" spans="1:13">
      <c r="A42" s="49">
        <v>4</v>
      </c>
      <c r="B42" s="49" t="s">
        <v>1096</v>
      </c>
      <c r="C42" s="49" t="s">
        <v>354</v>
      </c>
      <c r="D42" s="49" t="s">
        <v>1014</v>
      </c>
      <c r="E42" s="49" t="s">
        <v>923</v>
      </c>
      <c r="F42" s="49" t="s">
        <v>774</v>
      </c>
    </row>
    <row r="43" spans="1:13">
      <c r="A43" s="49">
        <v>5</v>
      </c>
      <c r="B43" s="49" t="s">
        <v>1097</v>
      </c>
      <c r="C43" s="49" t="s">
        <v>352</v>
      </c>
      <c r="D43" s="49" t="s">
        <v>1014</v>
      </c>
      <c r="E43" s="49" t="s">
        <v>2</v>
      </c>
      <c r="F43" t="s">
        <v>959</v>
      </c>
    </row>
    <row r="44" spans="1:13">
      <c r="A44" s="49">
        <v>6</v>
      </c>
      <c r="B44" s="49" t="s">
        <v>1098</v>
      </c>
      <c r="C44" s="49" t="s">
        <v>342</v>
      </c>
      <c r="D44" s="49" t="s">
        <v>1014</v>
      </c>
      <c r="E44" s="49" t="s">
        <v>787</v>
      </c>
      <c r="F44" t="s">
        <v>956</v>
      </c>
    </row>
    <row r="45" spans="1:13">
      <c r="A45" s="49">
        <v>7</v>
      </c>
      <c r="B45" s="49" t="s">
        <v>1099</v>
      </c>
      <c r="C45" s="49" t="s">
        <v>971</v>
      </c>
      <c r="D45" s="49" t="s">
        <v>1014</v>
      </c>
      <c r="E45" t="s">
        <v>1015</v>
      </c>
      <c r="F45" t="s">
        <v>957</v>
      </c>
    </row>
    <row r="46" spans="1:13">
      <c r="A46" s="49">
        <v>8</v>
      </c>
      <c r="B46" s="49" t="s">
        <v>1100</v>
      </c>
      <c r="C46" s="49" t="s">
        <v>352</v>
      </c>
      <c r="D46" s="49" t="s">
        <v>1016</v>
      </c>
      <c r="E46" s="49" t="s">
        <v>1017</v>
      </c>
      <c r="F46" s="49" t="s">
        <v>785</v>
      </c>
    </row>
    <row r="47" spans="1:13">
      <c r="A47" s="49">
        <v>9</v>
      </c>
      <c r="B47" s="49" t="s">
        <v>1101</v>
      </c>
      <c r="C47" s="49" t="s">
        <v>342</v>
      </c>
      <c r="D47" s="49" t="s">
        <v>1016</v>
      </c>
      <c r="E47" s="49" t="s">
        <v>1018</v>
      </c>
      <c r="F47" t="s">
        <v>1019</v>
      </c>
    </row>
    <row r="48" spans="1:13">
      <c r="A48" s="49">
        <v>10</v>
      </c>
      <c r="B48" s="49" t="s">
        <v>1102</v>
      </c>
      <c r="C48" s="49" t="s">
        <v>352</v>
      </c>
      <c r="D48" s="31" t="s">
        <v>1022</v>
      </c>
      <c r="E48" s="49" t="s">
        <v>1020</v>
      </c>
      <c r="F48" t="s">
        <v>775</v>
      </c>
    </row>
    <row r="49" spans="1:6">
      <c r="A49" s="49">
        <v>11</v>
      </c>
      <c r="B49" s="49" t="s">
        <v>1103</v>
      </c>
      <c r="C49" s="49" t="s">
        <v>353</v>
      </c>
      <c r="D49" s="49" t="s">
        <v>1022</v>
      </c>
      <c r="E49" s="49" t="s">
        <v>1017</v>
      </c>
      <c r="F49" s="49" t="s">
        <v>159</v>
      </c>
    </row>
    <row r="50" spans="1:6">
      <c r="A50" s="49"/>
      <c r="B50" s="49" t="s">
        <v>1056</v>
      </c>
      <c r="C50" s="49"/>
      <c r="E50" s="49"/>
    </row>
    <row r="51" spans="1:6">
      <c r="A51" s="49">
        <v>1</v>
      </c>
      <c r="B51" s="49" t="s">
        <v>1104</v>
      </c>
      <c r="C51" s="49" t="s">
        <v>354</v>
      </c>
      <c r="D51" s="31" t="s">
        <v>1023</v>
      </c>
      <c r="E51" s="49" t="s">
        <v>1017</v>
      </c>
      <c r="F51" s="49" t="s">
        <v>706</v>
      </c>
    </row>
    <row r="52" spans="1:6">
      <c r="A52" s="49">
        <v>2</v>
      </c>
      <c r="B52" s="49" t="s">
        <v>1105</v>
      </c>
      <c r="C52" s="49" t="s">
        <v>352</v>
      </c>
      <c r="D52" s="31" t="s">
        <v>1025</v>
      </c>
      <c r="E52" s="49" t="s">
        <v>1017</v>
      </c>
      <c r="F52" s="49" t="s">
        <v>961</v>
      </c>
    </row>
    <row r="53" spans="1:6">
      <c r="A53" s="49">
        <v>3</v>
      </c>
      <c r="B53" s="49" t="s">
        <v>1106</v>
      </c>
      <c r="C53" s="49" t="s">
        <v>971</v>
      </c>
      <c r="D53" s="49" t="s">
        <v>1025</v>
      </c>
      <c r="E53" s="49" t="s">
        <v>1017</v>
      </c>
      <c r="F53" s="49" t="s">
        <v>786</v>
      </c>
    </row>
    <row r="54" spans="1:6">
      <c r="A54" s="49">
        <v>4</v>
      </c>
      <c r="B54" s="49" t="s">
        <v>1107</v>
      </c>
      <c r="C54" s="49" t="s">
        <v>342</v>
      </c>
      <c r="D54" s="49" t="s">
        <v>1025</v>
      </c>
      <c r="E54" s="49" t="s">
        <v>1017</v>
      </c>
      <c r="F54" s="49" t="s">
        <v>215</v>
      </c>
    </row>
    <row r="55" spans="1:6">
      <c r="A55" s="49">
        <v>5</v>
      </c>
      <c r="B55" s="49" t="s">
        <v>1108</v>
      </c>
      <c r="C55" s="49" t="s">
        <v>352</v>
      </c>
      <c r="D55" s="49" t="s">
        <v>1025</v>
      </c>
      <c r="E55" s="49" t="s">
        <v>1017</v>
      </c>
      <c r="F55" s="49" t="s">
        <v>709</v>
      </c>
    </row>
    <row r="56" spans="1:6">
      <c r="A56" s="49">
        <v>6</v>
      </c>
      <c r="B56" s="49" t="s">
        <v>1109</v>
      </c>
      <c r="C56" s="49" t="s">
        <v>971</v>
      </c>
      <c r="D56" s="49" t="s">
        <v>1026</v>
      </c>
      <c r="E56" s="49" t="s">
        <v>1020</v>
      </c>
      <c r="F56" t="s">
        <v>742</v>
      </c>
    </row>
    <row r="57" spans="1:6">
      <c r="A57" s="49">
        <v>7</v>
      </c>
      <c r="B57" s="49" t="s">
        <v>1110</v>
      </c>
      <c r="C57" s="49" t="s">
        <v>342</v>
      </c>
      <c r="D57" s="49" t="s">
        <v>1027</v>
      </c>
      <c r="E57" s="49" t="s">
        <v>1020</v>
      </c>
      <c r="F57" t="s">
        <v>962</v>
      </c>
    </row>
    <row r="58" spans="1:6">
      <c r="A58" s="49">
        <v>8</v>
      </c>
      <c r="B58" s="49" t="s">
        <v>1111</v>
      </c>
      <c r="C58" s="49" t="s">
        <v>352</v>
      </c>
      <c r="D58" s="49" t="s">
        <v>1027</v>
      </c>
      <c r="E58" s="49" t="s">
        <v>1018</v>
      </c>
      <c r="F58" t="s">
        <v>964</v>
      </c>
    </row>
    <row r="59" spans="1:6">
      <c r="A59" s="49">
        <v>9</v>
      </c>
      <c r="B59" s="49" t="s">
        <v>1112</v>
      </c>
      <c r="C59" s="49" t="s">
        <v>353</v>
      </c>
      <c r="D59" s="49" t="s">
        <v>1027</v>
      </c>
      <c r="E59" s="49" t="s">
        <v>1017</v>
      </c>
      <c r="F59" s="49" t="s">
        <v>158</v>
      </c>
    </row>
    <row r="60" spans="1:6">
      <c r="A60" s="49">
        <v>10</v>
      </c>
      <c r="B60" s="49" t="s">
        <v>1113</v>
      </c>
      <c r="C60" s="49" t="s">
        <v>342</v>
      </c>
      <c r="D60" s="49" t="s">
        <v>1028</v>
      </c>
      <c r="E60" s="49" t="s">
        <v>1020</v>
      </c>
      <c r="F60" t="s">
        <v>989</v>
      </c>
    </row>
    <row r="61" spans="1:6">
      <c r="A61" s="49">
        <v>11</v>
      </c>
      <c r="B61" s="49" t="s">
        <v>1114</v>
      </c>
      <c r="C61" s="49" t="s">
        <v>342</v>
      </c>
      <c r="D61" s="49" t="s">
        <v>1028</v>
      </c>
      <c r="E61" s="49" t="s">
        <v>1018</v>
      </c>
      <c r="F61" t="s">
        <v>963</v>
      </c>
    </row>
    <row r="62" spans="1:6">
      <c r="A62" s="49"/>
      <c r="B62" s="49" t="s">
        <v>1057</v>
      </c>
      <c r="C62" s="49"/>
    </row>
    <row r="63" spans="1:6">
      <c r="A63" s="49">
        <v>1</v>
      </c>
      <c r="B63" s="49" t="s">
        <v>1115</v>
      </c>
      <c r="C63" s="49" t="s">
        <v>972</v>
      </c>
      <c r="D63" s="31" t="s">
        <v>1031</v>
      </c>
      <c r="E63" s="49" t="s">
        <v>787</v>
      </c>
      <c r="F63" t="s">
        <v>654</v>
      </c>
    </row>
    <row r="64" spans="1:6">
      <c r="A64" s="49">
        <v>2</v>
      </c>
      <c r="B64" s="49" t="s">
        <v>1116</v>
      </c>
      <c r="C64" s="49" t="s">
        <v>352</v>
      </c>
      <c r="D64" s="31" t="s">
        <v>1033</v>
      </c>
      <c r="E64" s="49" t="s">
        <v>787</v>
      </c>
      <c r="F64" t="s">
        <v>965</v>
      </c>
    </row>
    <row r="65" spans="1:6">
      <c r="A65" s="49">
        <v>3</v>
      </c>
      <c r="B65" s="49" t="s">
        <v>1117</v>
      </c>
      <c r="C65" s="49" t="s">
        <v>972</v>
      </c>
      <c r="D65" s="31" t="s">
        <v>1036</v>
      </c>
      <c r="E65" s="49" t="s">
        <v>787</v>
      </c>
      <c r="F65" t="s">
        <v>966</v>
      </c>
    </row>
    <row r="66" spans="1:6">
      <c r="A66" s="49">
        <v>4</v>
      </c>
      <c r="B66" s="49" t="s">
        <v>1118</v>
      </c>
      <c r="C66" s="49" t="s">
        <v>352</v>
      </c>
      <c r="D66" s="31" t="s">
        <v>1035</v>
      </c>
      <c r="E66" s="49" t="s">
        <v>787</v>
      </c>
      <c r="F66" t="s">
        <v>967</v>
      </c>
    </row>
    <row r="67" spans="1:6">
      <c r="A67" s="49">
        <v>5</v>
      </c>
      <c r="B67" s="49" t="s">
        <v>1119</v>
      </c>
      <c r="C67" s="49" t="s">
        <v>972</v>
      </c>
      <c r="D67" s="31" t="s">
        <v>1037</v>
      </c>
      <c r="E67" s="49" t="s">
        <v>787</v>
      </c>
      <c r="F67" t="s">
        <v>990</v>
      </c>
    </row>
    <row r="68" spans="1:6">
      <c r="A68" s="49">
        <v>6</v>
      </c>
      <c r="B68" s="49" t="s">
        <v>1120</v>
      </c>
      <c r="C68" s="49" t="s">
        <v>352</v>
      </c>
      <c r="D68" s="49" t="s">
        <v>1037</v>
      </c>
      <c r="E68" s="49" t="s">
        <v>787</v>
      </c>
      <c r="F68" t="s">
        <v>968</v>
      </c>
    </row>
    <row r="69" spans="1:6">
      <c r="A69" s="49">
        <v>7</v>
      </c>
      <c r="B69" s="49" t="s">
        <v>1121</v>
      </c>
      <c r="C69" s="49" t="s">
        <v>352</v>
      </c>
      <c r="D69" s="31" t="s">
        <v>1039</v>
      </c>
      <c r="E69" s="49" t="s">
        <v>787</v>
      </c>
      <c r="F69" t="s">
        <v>969</v>
      </c>
    </row>
    <row r="70" spans="1:6">
      <c r="A70" s="49">
        <v>8</v>
      </c>
      <c r="B70" s="49" t="s">
        <v>1122</v>
      </c>
      <c r="C70" s="49" t="s">
        <v>973</v>
      </c>
      <c r="D70" s="31" t="s">
        <v>1040</v>
      </c>
      <c r="E70" s="49" t="s">
        <v>787</v>
      </c>
      <c r="F70" t="s">
        <v>745</v>
      </c>
    </row>
    <row r="71" spans="1:6">
      <c r="A71" s="49">
        <v>9</v>
      </c>
      <c r="B71" s="49" t="s">
        <v>1123</v>
      </c>
      <c r="C71" s="49" t="s">
        <v>352</v>
      </c>
      <c r="D71" s="31" t="s">
        <v>1042</v>
      </c>
      <c r="E71" s="49" t="s">
        <v>787</v>
      </c>
      <c r="F71" t="s">
        <v>776</v>
      </c>
    </row>
    <row r="72" spans="1:6">
      <c r="A72" s="49">
        <v>10</v>
      </c>
      <c r="B72" s="49" t="s">
        <v>1124</v>
      </c>
      <c r="C72" s="49" t="s">
        <v>972</v>
      </c>
      <c r="D72" s="31" t="s">
        <v>1043</v>
      </c>
      <c r="E72" s="49" t="s">
        <v>787</v>
      </c>
      <c r="F72" t="s">
        <v>970</v>
      </c>
    </row>
    <row r="73" spans="1:6">
      <c r="A73" s="49">
        <v>11</v>
      </c>
      <c r="B73" s="49" t="s">
        <v>1125</v>
      </c>
      <c r="C73" s="49" t="s">
        <v>353</v>
      </c>
      <c r="D73" s="31" t="s">
        <v>1045</v>
      </c>
      <c r="E73" s="49" t="s">
        <v>787</v>
      </c>
      <c r="F73" t="s">
        <v>777</v>
      </c>
    </row>
    <row r="74" spans="1:6">
      <c r="A74" s="49">
        <v>12</v>
      </c>
      <c r="B74" s="49" t="s">
        <v>1126</v>
      </c>
      <c r="C74" s="49" t="s">
        <v>353</v>
      </c>
      <c r="D74" s="31" t="s">
        <v>1046</v>
      </c>
      <c r="E74" s="49" t="s">
        <v>787</v>
      </c>
      <c r="F74" t="s">
        <v>992</v>
      </c>
    </row>
    <row r="75" spans="1:6">
      <c r="A75" s="49">
        <v>13</v>
      </c>
      <c r="B75" s="49" t="s">
        <v>1127</v>
      </c>
      <c r="C75" s="49" t="s">
        <v>353</v>
      </c>
      <c r="D75" s="31" t="s">
        <v>1047</v>
      </c>
      <c r="E75" s="49" t="s">
        <v>787</v>
      </c>
      <c r="F75" t="s">
        <v>779</v>
      </c>
    </row>
    <row r="76" spans="1:6">
      <c r="A76" s="49">
        <v>14</v>
      </c>
      <c r="B76" s="49" t="s">
        <v>1128</v>
      </c>
      <c r="C76" s="49" t="s">
        <v>353</v>
      </c>
      <c r="D76" s="31" t="s">
        <v>1049</v>
      </c>
      <c r="E76" s="49" t="s">
        <v>787</v>
      </c>
      <c r="F76" t="s">
        <v>991</v>
      </c>
    </row>
    <row r="77" spans="1:6">
      <c r="A77" s="49">
        <v>15</v>
      </c>
      <c r="B77" s="49" t="s">
        <v>1129</v>
      </c>
      <c r="C77" s="49" t="s">
        <v>353</v>
      </c>
      <c r="D77" s="31" t="s">
        <v>1050</v>
      </c>
      <c r="E77" s="49" t="s">
        <v>787</v>
      </c>
      <c r="F77" t="s">
        <v>778</v>
      </c>
    </row>
    <row r="78" spans="1:6">
      <c r="A78" s="49"/>
      <c r="B78" s="49" t="s">
        <v>1130</v>
      </c>
      <c r="C78" s="49" t="s">
        <v>354</v>
      </c>
      <c r="D78" s="31" t="s">
        <v>1030</v>
      </c>
      <c r="E78" s="49" t="s">
        <v>2</v>
      </c>
    </row>
    <row r="79" spans="1:6">
      <c r="A79" s="49"/>
      <c r="B79" s="49" t="s">
        <v>1131</v>
      </c>
      <c r="C79" s="49" t="s">
        <v>972</v>
      </c>
      <c r="D79" s="49" t="s">
        <v>1030</v>
      </c>
      <c r="E79" s="49" t="s">
        <v>2</v>
      </c>
    </row>
    <row r="80" spans="1:6">
      <c r="A80" s="49"/>
      <c r="B80" s="49" t="s">
        <v>1132</v>
      </c>
      <c r="C80" s="49" t="s">
        <v>343</v>
      </c>
      <c r="D80" s="49" t="s">
        <v>1030</v>
      </c>
      <c r="E80" s="49" t="s">
        <v>2</v>
      </c>
    </row>
    <row r="81" spans="1:6">
      <c r="A81" s="49"/>
      <c r="B81" s="49" t="s">
        <v>1058</v>
      </c>
      <c r="C81" s="49"/>
      <c r="E81" s="49"/>
    </row>
    <row r="82" spans="1:6">
      <c r="A82" s="49"/>
      <c r="B82" s="49" t="s">
        <v>1133</v>
      </c>
      <c r="C82" s="49" t="s">
        <v>971</v>
      </c>
      <c r="D82" s="31">
        <v>1</v>
      </c>
      <c r="E82" s="49" t="s">
        <v>1017</v>
      </c>
    </row>
    <row r="83" spans="1:6">
      <c r="A83" s="49"/>
      <c r="B83" s="49" t="s">
        <v>1134</v>
      </c>
      <c r="C83" s="49" t="s">
        <v>354</v>
      </c>
      <c r="D83" s="31">
        <v>2</v>
      </c>
      <c r="E83" s="49" t="s">
        <v>1015</v>
      </c>
      <c r="F83" s="31" t="s">
        <v>1051</v>
      </c>
    </row>
    <row r="84" spans="1:6">
      <c r="A84" s="49"/>
      <c r="B84" s="49" t="s">
        <v>1135</v>
      </c>
      <c r="C84" s="49" t="s">
        <v>352</v>
      </c>
      <c r="D84" s="31">
        <v>5</v>
      </c>
      <c r="E84" s="49" t="s">
        <v>1017</v>
      </c>
    </row>
    <row r="85" spans="1:6">
      <c r="B85" s="31"/>
      <c r="F85"/>
    </row>
    <row r="86" spans="1:6">
      <c r="B86" s="31"/>
      <c r="F86"/>
    </row>
    <row r="87" spans="1:6">
      <c r="B87" s="31"/>
      <c r="F87"/>
    </row>
    <row r="88" spans="1:6">
      <c r="A88" s="49">
        <v>1</v>
      </c>
      <c r="B88" s="49" t="s">
        <v>1059</v>
      </c>
      <c r="C88" s="49" t="s">
        <v>352</v>
      </c>
      <c r="D88" s="49" t="s">
        <v>976</v>
      </c>
      <c r="E88" s="49" t="s">
        <v>923</v>
      </c>
      <c r="F88" s="49" t="s">
        <v>659</v>
      </c>
    </row>
    <row r="89" spans="1:6">
      <c r="A89" s="49">
        <v>2</v>
      </c>
      <c r="B89" s="49" t="s">
        <v>1060</v>
      </c>
      <c r="C89" s="49" t="s">
        <v>342</v>
      </c>
      <c r="D89" s="49" t="s">
        <v>976</v>
      </c>
      <c r="E89" s="49" t="s">
        <v>923</v>
      </c>
      <c r="F89" s="49" t="s">
        <v>937</v>
      </c>
    </row>
    <row r="90" spans="1:6">
      <c r="A90" s="49">
        <v>3</v>
      </c>
      <c r="B90" s="49" t="s">
        <v>1061</v>
      </c>
      <c r="C90" s="49" t="s">
        <v>353</v>
      </c>
      <c r="D90" s="49" t="s">
        <v>978</v>
      </c>
      <c r="E90" s="49" t="s">
        <v>923</v>
      </c>
      <c r="F90" s="49" t="s">
        <v>786</v>
      </c>
    </row>
    <row r="91" spans="1:6">
      <c r="A91" s="49">
        <v>4</v>
      </c>
      <c r="B91" s="49" t="s">
        <v>1062</v>
      </c>
      <c r="C91" s="49" t="s">
        <v>971</v>
      </c>
      <c r="D91" s="49" t="s">
        <v>978</v>
      </c>
      <c r="E91" s="49" t="s">
        <v>923</v>
      </c>
      <c r="F91" s="49" t="s">
        <v>651</v>
      </c>
    </row>
    <row r="92" spans="1:6">
      <c r="A92" s="49">
        <v>6</v>
      </c>
      <c r="B92" s="49" t="s">
        <v>1064</v>
      </c>
      <c r="C92" s="49" t="s">
        <v>353</v>
      </c>
      <c r="D92" s="49" t="s">
        <v>980</v>
      </c>
      <c r="E92" s="49" t="s">
        <v>923</v>
      </c>
      <c r="F92" s="49" t="s">
        <v>771</v>
      </c>
    </row>
    <row r="93" spans="1:6">
      <c r="A93" s="49">
        <v>9</v>
      </c>
      <c r="B93" s="49" t="s">
        <v>1067</v>
      </c>
      <c r="C93" s="49" t="s">
        <v>352</v>
      </c>
      <c r="D93" s="49" t="s">
        <v>982</v>
      </c>
      <c r="E93" s="49" t="s">
        <v>923</v>
      </c>
      <c r="F93" s="49" t="s">
        <v>938</v>
      </c>
    </row>
    <row r="94" spans="1:6">
      <c r="A94" s="49">
        <v>12</v>
      </c>
      <c r="B94" s="49" t="s">
        <v>1070</v>
      </c>
      <c r="C94" s="49" t="s">
        <v>354</v>
      </c>
      <c r="D94" s="49" t="s">
        <v>987</v>
      </c>
      <c r="E94" s="49" t="s">
        <v>923</v>
      </c>
      <c r="F94" s="49" t="s">
        <v>940</v>
      </c>
    </row>
    <row r="95" spans="1:6">
      <c r="A95" s="49">
        <v>13</v>
      </c>
      <c r="B95" s="49" t="s">
        <v>1071</v>
      </c>
      <c r="C95" s="49" t="s">
        <v>352</v>
      </c>
      <c r="D95" s="49" t="s">
        <v>993</v>
      </c>
      <c r="E95" s="49" t="s">
        <v>923</v>
      </c>
      <c r="F95" s="49" t="s">
        <v>994</v>
      </c>
    </row>
    <row r="96" spans="1:6">
      <c r="A96" s="49">
        <v>14</v>
      </c>
      <c r="B96" s="49" t="s">
        <v>1072</v>
      </c>
      <c r="C96" s="49" t="s">
        <v>971</v>
      </c>
      <c r="D96" s="49" t="s">
        <v>995</v>
      </c>
      <c r="E96" s="49" t="s">
        <v>923</v>
      </c>
      <c r="F96" s="49" t="s">
        <v>945</v>
      </c>
    </row>
    <row r="97" spans="1:6">
      <c r="A97" s="49">
        <v>15</v>
      </c>
      <c r="B97" s="49" t="s">
        <v>1073</v>
      </c>
      <c r="C97" s="49" t="s">
        <v>342</v>
      </c>
      <c r="D97" s="49" t="s">
        <v>995</v>
      </c>
      <c r="E97" s="49" t="s">
        <v>923</v>
      </c>
      <c r="F97" s="49" t="s">
        <v>946</v>
      </c>
    </row>
    <row r="98" spans="1:6">
      <c r="A98" s="49">
        <v>16</v>
      </c>
      <c r="B98" s="49" t="s">
        <v>1074</v>
      </c>
      <c r="C98" s="49" t="s">
        <v>352</v>
      </c>
      <c r="D98" s="49" t="s">
        <v>997</v>
      </c>
      <c r="E98" s="49" t="s">
        <v>923</v>
      </c>
      <c r="F98" s="49" t="s">
        <v>663</v>
      </c>
    </row>
    <row r="99" spans="1:6">
      <c r="A99" s="49">
        <v>20</v>
      </c>
      <c r="B99" s="49" t="s">
        <v>1078</v>
      </c>
      <c r="C99" s="49" t="s">
        <v>354</v>
      </c>
      <c r="D99" s="49" t="s">
        <v>1001</v>
      </c>
      <c r="E99" s="49" t="s">
        <v>923</v>
      </c>
      <c r="F99" s="49" t="s">
        <v>701</v>
      </c>
    </row>
    <row r="100" spans="1:6">
      <c r="A100" s="49">
        <v>23</v>
      </c>
      <c r="B100" s="49" t="s">
        <v>1081</v>
      </c>
      <c r="C100" s="49" t="s">
        <v>353</v>
      </c>
      <c r="D100" s="49" t="s">
        <v>1003</v>
      </c>
      <c r="E100" s="49" t="s">
        <v>923</v>
      </c>
      <c r="F100" s="49" t="s">
        <v>160</v>
      </c>
    </row>
    <row r="101" spans="1:6">
      <c r="A101" s="49">
        <v>24</v>
      </c>
      <c r="B101" s="49" t="s">
        <v>1082</v>
      </c>
      <c r="C101" s="49" t="s">
        <v>352</v>
      </c>
      <c r="D101" s="49" t="s">
        <v>1005</v>
      </c>
      <c r="E101" s="49" t="s">
        <v>923</v>
      </c>
      <c r="F101" s="49" t="s">
        <v>952</v>
      </c>
    </row>
    <row r="102" spans="1:6">
      <c r="A102" s="49">
        <v>25</v>
      </c>
      <c r="B102" s="49" t="s">
        <v>1083</v>
      </c>
      <c r="C102" s="49" t="s">
        <v>342</v>
      </c>
      <c r="D102" s="49" t="s">
        <v>1007</v>
      </c>
      <c r="E102" s="49" t="s">
        <v>923</v>
      </c>
      <c r="F102" s="49" t="s">
        <v>772</v>
      </c>
    </row>
    <row r="103" spans="1:6">
      <c r="A103" s="49">
        <v>26</v>
      </c>
      <c r="B103" s="49" t="s">
        <v>1084</v>
      </c>
      <c r="C103" s="49" t="s">
        <v>971</v>
      </c>
      <c r="D103" s="49" t="s">
        <v>1007</v>
      </c>
      <c r="E103" s="49" t="s">
        <v>923</v>
      </c>
      <c r="F103" s="49" t="s">
        <v>771</v>
      </c>
    </row>
    <row r="104" spans="1:6">
      <c r="A104" s="49">
        <v>27</v>
      </c>
      <c r="B104" s="49" t="s">
        <v>1085</v>
      </c>
      <c r="C104" s="49" t="s">
        <v>354</v>
      </c>
      <c r="D104" s="49" t="s">
        <v>1007</v>
      </c>
      <c r="E104" s="49" t="s">
        <v>923</v>
      </c>
      <c r="F104" s="49" t="s">
        <v>702</v>
      </c>
    </row>
    <row r="105" spans="1:6">
      <c r="A105" s="49">
        <v>28</v>
      </c>
      <c r="B105" s="49" t="s">
        <v>1086</v>
      </c>
      <c r="C105" s="49" t="s">
        <v>352</v>
      </c>
      <c r="D105" s="49" t="s">
        <v>975</v>
      </c>
      <c r="E105" s="49" t="s">
        <v>923</v>
      </c>
      <c r="F105" s="49" t="s">
        <v>784</v>
      </c>
    </row>
    <row r="106" spans="1:6">
      <c r="A106" s="49">
        <v>34</v>
      </c>
      <c r="B106" s="49" t="s">
        <v>1092</v>
      </c>
      <c r="C106" s="49" t="s">
        <v>353</v>
      </c>
      <c r="D106" s="49" t="s">
        <v>1011</v>
      </c>
      <c r="E106" s="49" t="s">
        <v>923</v>
      </c>
      <c r="F106" s="49" t="s">
        <v>770</v>
      </c>
    </row>
    <row r="107" spans="1:6">
      <c r="A107" s="49">
        <v>35</v>
      </c>
      <c r="B107" s="49" t="s">
        <v>1093</v>
      </c>
      <c r="C107" s="49" t="s">
        <v>971</v>
      </c>
      <c r="D107" s="49" t="s">
        <v>1013</v>
      </c>
      <c r="E107" s="49" t="s">
        <v>923</v>
      </c>
      <c r="F107" s="49" t="s">
        <v>158</v>
      </c>
    </row>
    <row r="108" spans="1:6">
      <c r="A108" s="49">
        <v>36</v>
      </c>
      <c r="B108" s="49" t="s">
        <v>1094</v>
      </c>
      <c r="C108" s="49" t="s">
        <v>352</v>
      </c>
      <c r="D108" s="49" t="s">
        <v>1013</v>
      </c>
      <c r="E108" s="49" t="s">
        <v>923</v>
      </c>
      <c r="F108" s="49" t="s">
        <v>955</v>
      </c>
    </row>
    <row r="109" spans="1:6">
      <c r="A109" s="49">
        <v>37</v>
      </c>
      <c r="B109" s="49" t="s">
        <v>1095</v>
      </c>
      <c r="C109" s="49" t="s">
        <v>342</v>
      </c>
      <c r="D109" s="49" t="s">
        <v>1013</v>
      </c>
      <c r="E109" s="49" t="s">
        <v>923</v>
      </c>
      <c r="F109" s="49" t="s">
        <v>672</v>
      </c>
    </row>
    <row r="110" spans="1:6">
      <c r="A110" s="49">
        <v>38</v>
      </c>
      <c r="B110" s="49" t="s">
        <v>1096</v>
      </c>
      <c r="C110" s="49" t="s">
        <v>354</v>
      </c>
      <c r="D110" s="49" t="s">
        <v>1014</v>
      </c>
      <c r="E110" s="49" t="s">
        <v>923</v>
      </c>
      <c r="F110" s="49" t="s">
        <v>774</v>
      </c>
    </row>
    <row r="111" spans="1:6">
      <c r="A111" s="49">
        <v>42</v>
      </c>
      <c r="B111" s="49" t="s">
        <v>1100</v>
      </c>
      <c r="C111" s="49" t="s">
        <v>352</v>
      </c>
      <c r="D111" s="49" t="s">
        <v>1016</v>
      </c>
      <c r="E111" s="49" t="s">
        <v>1017</v>
      </c>
      <c r="F111" s="49" t="s">
        <v>785</v>
      </c>
    </row>
    <row r="112" spans="1:6">
      <c r="A112" s="49">
        <v>45</v>
      </c>
      <c r="B112" s="49" t="s">
        <v>1103</v>
      </c>
      <c r="C112" s="49" t="s">
        <v>353</v>
      </c>
      <c r="D112" s="49" t="s">
        <v>1022</v>
      </c>
      <c r="E112" s="49" t="s">
        <v>1017</v>
      </c>
      <c r="F112" s="49" t="s">
        <v>159</v>
      </c>
    </row>
    <row r="113" spans="1:6">
      <c r="A113" s="49">
        <v>46</v>
      </c>
      <c r="B113" s="49" t="s">
        <v>1104</v>
      </c>
      <c r="C113" s="49" t="s">
        <v>354</v>
      </c>
      <c r="D113" s="49" t="s">
        <v>1023</v>
      </c>
      <c r="E113" s="49" t="s">
        <v>1017</v>
      </c>
      <c r="F113" s="49" t="s">
        <v>706</v>
      </c>
    </row>
    <row r="114" spans="1:6">
      <c r="A114" s="49">
        <v>47</v>
      </c>
      <c r="B114" s="49" t="s">
        <v>1105</v>
      </c>
      <c r="C114" s="49" t="s">
        <v>352</v>
      </c>
      <c r="D114" s="49" t="s">
        <v>1025</v>
      </c>
      <c r="E114" s="49" t="s">
        <v>1017</v>
      </c>
      <c r="F114" s="49" t="s">
        <v>961</v>
      </c>
    </row>
    <row r="115" spans="1:6">
      <c r="A115" s="49">
        <v>48</v>
      </c>
      <c r="B115" s="49" t="s">
        <v>1106</v>
      </c>
      <c r="C115" s="49" t="s">
        <v>971</v>
      </c>
      <c r="D115" s="49" t="s">
        <v>1025</v>
      </c>
      <c r="E115" s="49" t="s">
        <v>1017</v>
      </c>
      <c r="F115" s="49" t="s">
        <v>786</v>
      </c>
    </row>
    <row r="116" spans="1:6">
      <c r="A116" s="49">
        <v>49</v>
      </c>
      <c r="B116" s="49" t="s">
        <v>1107</v>
      </c>
      <c r="C116" s="49" t="s">
        <v>342</v>
      </c>
      <c r="D116" s="49" t="s">
        <v>1025</v>
      </c>
      <c r="E116" s="49" t="s">
        <v>1017</v>
      </c>
      <c r="F116" s="49" t="s">
        <v>215</v>
      </c>
    </row>
    <row r="117" spans="1:6">
      <c r="A117" s="49">
        <v>50</v>
      </c>
      <c r="B117" s="49" t="s">
        <v>1108</v>
      </c>
      <c r="C117" s="49" t="s">
        <v>352</v>
      </c>
      <c r="D117" s="49" t="s">
        <v>1025</v>
      </c>
      <c r="E117" s="49" t="s">
        <v>1017</v>
      </c>
      <c r="F117" s="49" t="s">
        <v>709</v>
      </c>
    </row>
    <row r="118" spans="1:6">
      <c r="A118" s="49">
        <v>54</v>
      </c>
      <c r="B118" s="49" t="s">
        <v>1112</v>
      </c>
      <c r="C118" s="49" t="s">
        <v>353</v>
      </c>
      <c r="D118" s="49" t="s">
        <v>1027</v>
      </c>
      <c r="E118" s="49" t="s">
        <v>1017</v>
      </c>
      <c r="F118" s="49" t="s">
        <v>158</v>
      </c>
    </row>
    <row r="119" spans="1:6">
      <c r="A119" s="49">
        <v>75</v>
      </c>
      <c r="B119" s="49" t="s">
        <v>1133</v>
      </c>
      <c r="C119" s="49" t="s">
        <v>971</v>
      </c>
      <c r="D119" s="49">
        <v>1</v>
      </c>
      <c r="E119" s="49" t="s">
        <v>1017</v>
      </c>
      <c r="F119" s="49"/>
    </row>
    <row r="120" spans="1:6">
      <c r="A120" s="49">
        <v>77</v>
      </c>
      <c r="B120" s="49" t="s">
        <v>1135</v>
      </c>
      <c r="C120" s="49" t="s">
        <v>352</v>
      </c>
      <c r="D120" s="49">
        <v>5</v>
      </c>
      <c r="E120" s="49" t="s">
        <v>1017</v>
      </c>
      <c r="F120" s="49"/>
    </row>
    <row r="121" spans="1:6" s="49" customFormat="1"/>
    <row r="122" spans="1:6">
      <c r="A122" s="49">
        <v>5</v>
      </c>
      <c r="B122" s="49" t="s">
        <v>1063</v>
      </c>
      <c r="C122" s="49" t="s">
        <v>352</v>
      </c>
      <c r="D122" s="49" t="s">
        <v>978</v>
      </c>
      <c r="E122" s="49" t="s">
        <v>787</v>
      </c>
      <c r="F122" s="49" t="s">
        <v>941</v>
      </c>
    </row>
    <row r="123" spans="1:6">
      <c r="A123" s="49">
        <v>7</v>
      </c>
      <c r="B123" s="49" t="s">
        <v>1065</v>
      </c>
      <c r="C123" s="49" t="s">
        <v>971</v>
      </c>
      <c r="D123" s="49" t="s">
        <v>980</v>
      </c>
      <c r="E123" s="49" t="s">
        <v>787</v>
      </c>
      <c r="F123" s="49" t="s">
        <v>942</v>
      </c>
    </row>
    <row r="124" spans="1:6">
      <c r="A124" s="49">
        <v>11</v>
      </c>
      <c r="B124" s="49" t="s">
        <v>1069</v>
      </c>
      <c r="C124" s="49" t="s">
        <v>342</v>
      </c>
      <c r="D124" s="49" t="s">
        <v>987</v>
      </c>
      <c r="E124" s="49" t="s">
        <v>787</v>
      </c>
      <c r="F124" s="49" t="s">
        <v>943</v>
      </c>
    </row>
    <row r="125" spans="1:6">
      <c r="A125" s="49">
        <v>17</v>
      </c>
      <c r="B125" s="49" t="s">
        <v>1075</v>
      </c>
      <c r="C125" s="49" t="s">
        <v>971</v>
      </c>
      <c r="D125" s="49" t="s">
        <v>997</v>
      </c>
      <c r="E125" s="49" t="s">
        <v>787</v>
      </c>
      <c r="F125" s="49" t="s">
        <v>948</v>
      </c>
    </row>
    <row r="126" spans="1:6">
      <c r="A126" s="49">
        <v>18</v>
      </c>
      <c r="B126" s="49" t="s">
        <v>1076</v>
      </c>
      <c r="C126" s="49" t="s">
        <v>352</v>
      </c>
      <c r="D126" s="49" t="s">
        <v>999</v>
      </c>
      <c r="E126" s="49" t="s">
        <v>787</v>
      </c>
      <c r="F126" s="49" t="s">
        <v>949</v>
      </c>
    </row>
    <row r="127" spans="1:6">
      <c r="A127" s="49">
        <v>19</v>
      </c>
      <c r="B127" s="49" t="s">
        <v>1077</v>
      </c>
      <c r="C127" s="49" t="s">
        <v>342</v>
      </c>
      <c r="D127" s="49" t="s">
        <v>1001</v>
      </c>
      <c r="E127" s="49" t="s">
        <v>787</v>
      </c>
      <c r="F127" s="49" t="s">
        <v>947</v>
      </c>
    </row>
    <row r="128" spans="1:6">
      <c r="A128" s="49">
        <v>29</v>
      </c>
      <c r="B128" s="49" t="s">
        <v>1087</v>
      </c>
      <c r="C128" s="49" t="s">
        <v>342</v>
      </c>
      <c r="D128" s="49" t="s">
        <v>975</v>
      </c>
      <c r="E128" s="49" t="s">
        <v>787</v>
      </c>
      <c r="F128" s="49" t="s">
        <v>988</v>
      </c>
    </row>
    <row r="129" spans="1:6">
      <c r="A129" s="49">
        <v>30</v>
      </c>
      <c r="B129" s="49" t="s">
        <v>1088</v>
      </c>
      <c r="C129" s="49" t="s">
        <v>971</v>
      </c>
      <c r="D129" s="49" t="s">
        <v>975</v>
      </c>
      <c r="E129" s="49" t="s">
        <v>787</v>
      </c>
      <c r="F129" s="49" t="s">
        <v>953</v>
      </c>
    </row>
    <row r="130" spans="1:6">
      <c r="A130" s="49">
        <v>33</v>
      </c>
      <c r="B130" s="49" t="s">
        <v>1091</v>
      </c>
      <c r="C130" s="49" t="s">
        <v>352</v>
      </c>
      <c r="D130" s="49" t="s">
        <v>1008</v>
      </c>
      <c r="E130" s="49" t="s">
        <v>787</v>
      </c>
      <c r="F130" s="49" t="s">
        <v>958</v>
      </c>
    </row>
    <row r="131" spans="1:6">
      <c r="A131" s="49">
        <v>40</v>
      </c>
      <c r="B131" s="49" t="s">
        <v>1098</v>
      </c>
      <c r="C131" s="49" t="s">
        <v>342</v>
      </c>
      <c r="D131" s="49" t="s">
        <v>1014</v>
      </c>
      <c r="E131" s="49" t="s">
        <v>787</v>
      </c>
      <c r="F131" s="49" t="s">
        <v>956</v>
      </c>
    </row>
    <row r="132" spans="1:6">
      <c r="A132" s="49">
        <v>41</v>
      </c>
      <c r="B132" s="49" t="s">
        <v>1099</v>
      </c>
      <c r="C132" s="49" t="s">
        <v>971</v>
      </c>
      <c r="D132" s="49" t="s">
        <v>1014</v>
      </c>
      <c r="E132" s="49" t="s">
        <v>1015</v>
      </c>
      <c r="F132" s="49" t="s">
        <v>957</v>
      </c>
    </row>
    <row r="133" spans="1:6">
      <c r="A133" s="49">
        <v>44</v>
      </c>
      <c r="B133" s="49" t="s">
        <v>1102</v>
      </c>
      <c r="C133" s="49" t="s">
        <v>352</v>
      </c>
      <c r="D133" s="49" t="s">
        <v>1022</v>
      </c>
      <c r="E133" s="49" t="s">
        <v>1020</v>
      </c>
      <c r="F133" s="49" t="s">
        <v>775</v>
      </c>
    </row>
    <row r="134" spans="1:6">
      <c r="A134" s="49">
        <v>51</v>
      </c>
      <c r="B134" s="49" t="s">
        <v>1109</v>
      </c>
      <c r="C134" s="49" t="s">
        <v>971</v>
      </c>
      <c r="D134" s="49" t="s">
        <v>1026</v>
      </c>
      <c r="E134" s="49" t="s">
        <v>1020</v>
      </c>
      <c r="F134" s="49" t="s">
        <v>742</v>
      </c>
    </row>
    <row r="135" spans="1:6">
      <c r="A135" s="49">
        <v>52</v>
      </c>
      <c r="B135" s="49" t="s">
        <v>1110</v>
      </c>
      <c r="C135" s="49" t="s">
        <v>342</v>
      </c>
      <c r="D135" s="49" t="s">
        <v>1027</v>
      </c>
      <c r="E135" s="49" t="s">
        <v>1020</v>
      </c>
      <c r="F135" s="49" t="s">
        <v>962</v>
      </c>
    </row>
    <row r="136" spans="1:6">
      <c r="A136" s="49">
        <v>55</v>
      </c>
      <c r="B136" s="49" t="s">
        <v>1145</v>
      </c>
      <c r="C136" s="49" t="s">
        <v>352</v>
      </c>
      <c r="D136" s="49" t="s">
        <v>1028</v>
      </c>
      <c r="E136" s="49" t="s">
        <v>1020</v>
      </c>
      <c r="F136" s="49" t="s">
        <v>989</v>
      </c>
    </row>
    <row r="137" spans="1:6">
      <c r="A137" s="49">
        <v>57</v>
      </c>
      <c r="B137" s="49" t="s">
        <v>1115</v>
      </c>
      <c r="C137" s="49" t="s">
        <v>972</v>
      </c>
      <c r="D137" s="49" t="s">
        <v>1031</v>
      </c>
      <c r="E137" s="49" t="s">
        <v>787</v>
      </c>
      <c r="F137" s="49" t="s">
        <v>654</v>
      </c>
    </row>
    <row r="138" spans="1:6">
      <c r="A138" s="49">
        <v>58</v>
      </c>
      <c r="B138" s="49" t="s">
        <v>1116</v>
      </c>
      <c r="C138" s="49" t="s">
        <v>352</v>
      </c>
      <c r="D138" s="49" t="s">
        <v>1033</v>
      </c>
      <c r="E138" s="49" t="s">
        <v>787</v>
      </c>
      <c r="F138" s="49" t="s">
        <v>965</v>
      </c>
    </row>
    <row r="139" spans="1:6">
      <c r="A139" s="49">
        <v>59</v>
      </c>
      <c r="B139" s="49" t="s">
        <v>1117</v>
      </c>
      <c r="C139" s="49" t="s">
        <v>972</v>
      </c>
      <c r="D139" s="49" t="s">
        <v>1036</v>
      </c>
      <c r="E139" s="49" t="s">
        <v>787</v>
      </c>
      <c r="F139" s="49" t="s">
        <v>966</v>
      </c>
    </row>
    <row r="140" spans="1:6">
      <c r="A140" s="49">
        <v>60</v>
      </c>
      <c r="B140" s="49" t="s">
        <v>1118</v>
      </c>
      <c r="C140" s="49" t="s">
        <v>352</v>
      </c>
      <c r="D140" s="49" t="s">
        <v>1035</v>
      </c>
      <c r="E140" s="49" t="s">
        <v>787</v>
      </c>
      <c r="F140" s="49" t="s">
        <v>967</v>
      </c>
    </row>
    <row r="141" spans="1:6">
      <c r="A141" s="49">
        <v>61</v>
      </c>
      <c r="B141" s="49" t="s">
        <v>1119</v>
      </c>
      <c r="C141" s="49" t="s">
        <v>972</v>
      </c>
      <c r="D141" s="49" t="s">
        <v>1037</v>
      </c>
      <c r="E141" s="49" t="s">
        <v>787</v>
      </c>
      <c r="F141" s="49" t="s">
        <v>990</v>
      </c>
    </row>
    <row r="142" spans="1:6">
      <c r="A142" s="49">
        <v>62</v>
      </c>
      <c r="B142" s="49" t="s">
        <v>1120</v>
      </c>
      <c r="C142" s="49" t="s">
        <v>352</v>
      </c>
      <c r="D142" s="49" t="s">
        <v>1037</v>
      </c>
      <c r="E142" s="49" t="s">
        <v>787</v>
      </c>
      <c r="F142" s="49" t="s">
        <v>968</v>
      </c>
    </row>
    <row r="143" spans="1:6">
      <c r="A143" s="49">
        <v>63</v>
      </c>
      <c r="B143" s="49" t="s">
        <v>1121</v>
      </c>
      <c r="C143" s="49" t="s">
        <v>352</v>
      </c>
      <c r="D143" s="49" t="s">
        <v>1039</v>
      </c>
      <c r="E143" s="49" t="s">
        <v>787</v>
      </c>
      <c r="F143" s="49" t="s">
        <v>969</v>
      </c>
    </row>
    <row r="144" spans="1:6">
      <c r="A144" s="49">
        <v>64</v>
      </c>
      <c r="B144" s="49" t="s">
        <v>1122</v>
      </c>
      <c r="C144" s="49" t="s">
        <v>1139</v>
      </c>
      <c r="D144" s="49" t="s">
        <v>1040</v>
      </c>
      <c r="E144" s="49" t="s">
        <v>787</v>
      </c>
      <c r="F144" s="49" t="s">
        <v>745</v>
      </c>
    </row>
    <row r="145" spans="1:6">
      <c r="A145" s="49">
        <v>65</v>
      </c>
      <c r="B145" s="49" t="s">
        <v>1123</v>
      </c>
      <c r="C145" s="49" t="s">
        <v>352</v>
      </c>
      <c r="D145" s="49" t="s">
        <v>1042</v>
      </c>
      <c r="E145" s="49" t="s">
        <v>787</v>
      </c>
      <c r="F145" s="49" t="s">
        <v>776</v>
      </c>
    </row>
    <row r="146" spans="1:6">
      <c r="A146" s="49">
        <v>66</v>
      </c>
      <c r="B146" s="49" t="s">
        <v>1124</v>
      </c>
      <c r="C146" s="49" t="s">
        <v>972</v>
      </c>
      <c r="D146" s="49" t="s">
        <v>1043</v>
      </c>
      <c r="E146" s="49" t="s">
        <v>787</v>
      </c>
      <c r="F146" s="49" t="s">
        <v>970</v>
      </c>
    </row>
    <row r="147" spans="1:6">
      <c r="A147" s="49">
        <v>67</v>
      </c>
      <c r="B147" s="49" t="s">
        <v>1125</v>
      </c>
      <c r="C147" s="49" t="s">
        <v>353</v>
      </c>
      <c r="D147" s="49" t="s">
        <v>1045</v>
      </c>
      <c r="E147" s="49" t="s">
        <v>787</v>
      </c>
      <c r="F147" s="49" t="s">
        <v>777</v>
      </c>
    </row>
    <row r="148" spans="1:6">
      <c r="A148" s="49">
        <v>68</v>
      </c>
      <c r="B148" s="49" t="s">
        <v>1126</v>
      </c>
      <c r="C148" s="49" t="s">
        <v>353</v>
      </c>
      <c r="D148" s="49" t="s">
        <v>1046</v>
      </c>
      <c r="E148" s="49" t="s">
        <v>787</v>
      </c>
      <c r="F148" s="49" t="s">
        <v>992</v>
      </c>
    </row>
    <row r="149" spans="1:6">
      <c r="A149" s="49">
        <v>69</v>
      </c>
      <c r="B149" s="49" t="s">
        <v>1127</v>
      </c>
      <c r="C149" s="49" t="s">
        <v>353</v>
      </c>
      <c r="D149" s="49" t="s">
        <v>1047</v>
      </c>
      <c r="E149" s="49" t="s">
        <v>787</v>
      </c>
      <c r="F149" s="49" t="s">
        <v>779</v>
      </c>
    </row>
    <row r="150" spans="1:6">
      <c r="A150" s="49">
        <v>70</v>
      </c>
      <c r="B150" s="49" t="s">
        <v>1128</v>
      </c>
      <c r="C150" s="49" t="s">
        <v>353</v>
      </c>
      <c r="D150" s="49" t="s">
        <v>1049</v>
      </c>
      <c r="E150" s="49" t="s">
        <v>787</v>
      </c>
      <c r="F150" s="49" t="s">
        <v>991</v>
      </c>
    </row>
    <row r="151" spans="1:6">
      <c r="A151" s="49">
        <v>71</v>
      </c>
      <c r="B151" s="49" t="s">
        <v>1129</v>
      </c>
      <c r="C151" s="49" t="s">
        <v>353</v>
      </c>
      <c r="D151" s="49" t="s">
        <v>1050</v>
      </c>
      <c r="E151" s="49" t="s">
        <v>787</v>
      </c>
      <c r="F151" s="49" t="s">
        <v>778</v>
      </c>
    </row>
    <row r="152" spans="1:6">
      <c r="A152" s="49">
        <v>76</v>
      </c>
      <c r="B152" s="49" t="s">
        <v>1134</v>
      </c>
      <c r="C152" s="49" t="s">
        <v>354</v>
      </c>
      <c r="D152" s="49">
        <v>2</v>
      </c>
      <c r="E152" s="49" t="s">
        <v>1015</v>
      </c>
      <c r="F152" s="49" t="s">
        <v>1051</v>
      </c>
    </row>
    <row r="153" spans="1:6" s="49" customFormat="1"/>
    <row r="154" spans="1:6">
      <c r="A154" s="49">
        <v>8</v>
      </c>
      <c r="B154" s="49" t="s">
        <v>1136</v>
      </c>
      <c r="C154" s="49" t="s">
        <v>1141</v>
      </c>
      <c r="D154" s="49" t="s">
        <v>982</v>
      </c>
      <c r="E154" s="49" t="s">
        <v>2</v>
      </c>
      <c r="F154" s="49" t="s">
        <v>944</v>
      </c>
    </row>
    <row r="155" spans="1:6">
      <c r="A155" s="49">
        <v>10</v>
      </c>
      <c r="B155" s="49" t="s">
        <v>1068</v>
      </c>
      <c r="C155" s="49" t="s">
        <v>1137</v>
      </c>
      <c r="D155" s="49" t="s">
        <v>984</v>
      </c>
      <c r="E155" s="49" t="s">
        <v>2</v>
      </c>
      <c r="F155" s="49" t="s">
        <v>985</v>
      </c>
    </row>
    <row r="156" spans="1:6">
      <c r="A156" s="49">
        <v>21</v>
      </c>
      <c r="B156" s="49" t="s">
        <v>1079</v>
      </c>
      <c r="C156" s="49" t="s">
        <v>352</v>
      </c>
      <c r="D156" s="49" t="s">
        <v>1003</v>
      </c>
      <c r="E156" s="49" t="s">
        <v>2</v>
      </c>
      <c r="F156" s="49" t="s">
        <v>1004</v>
      </c>
    </row>
    <row r="157" spans="1:6">
      <c r="A157" s="49">
        <v>22</v>
      </c>
      <c r="B157" s="49" t="s">
        <v>1080</v>
      </c>
      <c r="C157" s="49" t="s">
        <v>342</v>
      </c>
      <c r="D157" s="49" t="s">
        <v>1003</v>
      </c>
      <c r="E157" s="49" t="s">
        <v>2</v>
      </c>
      <c r="F157" s="49" t="s">
        <v>950</v>
      </c>
    </row>
    <row r="158" spans="1:6">
      <c r="A158" s="49">
        <v>31</v>
      </c>
      <c r="B158" s="49" t="s">
        <v>1089</v>
      </c>
      <c r="C158" s="49" t="s">
        <v>342</v>
      </c>
      <c r="D158" s="49" t="s">
        <v>1008</v>
      </c>
      <c r="E158" s="49" t="s">
        <v>2</v>
      </c>
      <c r="F158" s="49" t="s">
        <v>773</v>
      </c>
    </row>
    <row r="159" spans="1:6">
      <c r="A159" s="49">
        <v>32</v>
      </c>
      <c r="B159" s="49" t="s">
        <v>1090</v>
      </c>
      <c r="C159" s="49" t="s">
        <v>352</v>
      </c>
      <c r="D159" s="49" t="s">
        <v>1010</v>
      </c>
      <c r="E159" s="49" t="s">
        <v>2</v>
      </c>
      <c r="F159" s="49" t="s">
        <v>954</v>
      </c>
    </row>
    <row r="160" spans="1:6">
      <c r="A160" s="49">
        <v>39</v>
      </c>
      <c r="B160" s="49" t="s">
        <v>1097</v>
      </c>
      <c r="C160" s="49" t="s">
        <v>352</v>
      </c>
      <c r="D160" s="49" t="s">
        <v>1014</v>
      </c>
      <c r="E160" s="49" t="s">
        <v>2</v>
      </c>
      <c r="F160" s="49" t="s">
        <v>959</v>
      </c>
    </row>
    <row r="161" spans="1:7">
      <c r="A161" s="49">
        <v>43</v>
      </c>
      <c r="B161" s="49" t="s">
        <v>1101</v>
      </c>
      <c r="C161" s="49" t="s">
        <v>342</v>
      </c>
      <c r="D161" s="49" t="s">
        <v>1016</v>
      </c>
      <c r="E161" s="49" t="s">
        <v>1018</v>
      </c>
      <c r="F161" s="49" t="s">
        <v>1019</v>
      </c>
    </row>
    <row r="162" spans="1:7">
      <c r="A162" s="49">
        <v>53</v>
      </c>
      <c r="B162" s="49" t="s">
        <v>1111</v>
      </c>
      <c r="C162" s="49" t="s">
        <v>352</v>
      </c>
      <c r="D162" s="49" t="s">
        <v>1027</v>
      </c>
      <c r="E162" s="49" t="s">
        <v>1018</v>
      </c>
      <c r="F162" s="49" t="s">
        <v>964</v>
      </c>
    </row>
    <row r="163" spans="1:7">
      <c r="A163" s="49">
        <v>56</v>
      </c>
      <c r="B163" s="49" t="s">
        <v>1114</v>
      </c>
      <c r="C163" s="49" t="s">
        <v>342</v>
      </c>
      <c r="D163" s="49" t="s">
        <v>1028</v>
      </c>
      <c r="E163" s="49" t="s">
        <v>1018</v>
      </c>
      <c r="F163" s="49" t="s">
        <v>963</v>
      </c>
    </row>
    <row r="164" spans="1:7">
      <c r="A164" s="49">
        <v>72</v>
      </c>
      <c r="B164" s="49" t="s">
        <v>1130</v>
      </c>
      <c r="C164" s="49" t="s">
        <v>354</v>
      </c>
      <c r="D164" s="49" t="s">
        <v>1030</v>
      </c>
      <c r="E164" s="49" t="s">
        <v>2</v>
      </c>
      <c r="F164" s="49"/>
    </row>
    <row r="165" spans="1:7">
      <c r="A165" s="49">
        <v>73</v>
      </c>
      <c r="B165" s="49" t="s">
        <v>1131</v>
      </c>
      <c r="C165" s="49" t="s">
        <v>972</v>
      </c>
      <c r="D165" s="49" t="s">
        <v>1030</v>
      </c>
      <c r="E165" s="49" t="s">
        <v>2</v>
      </c>
      <c r="F165" s="49"/>
    </row>
    <row r="166" spans="1:7">
      <c r="A166" s="49">
        <v>74</v>
      </c>
      <c r="B166" s="49" t="s">
        <v>1132</v>
      </c>
      <c r="C166" s="49" t="s">
        <v>343</v>
      </c>
      <c r="D166" s="49" t="s">
        <v>1030</v>
      </c>
      <c r="E166" s="49" t="s">
        <v>2</v>
      </c>
      <c r="F166" s="49"/>
    </row>
    <row r="167" spans="1:7">
      <c r="F167"/>
    </row>
    <row r="168" spans="1:7">
      <c r="F168"/>
    </row>
    <row r="169" spans="1:7">
      <c r="F169"/>
    </row>
    <row r="170" spans="1:7">
      <c r="F170"/>
      <c r="G170">
        <f>COUNTA(G171:G218)</f>
        <v>38</v>
      </c>
    </row>
    <row r="171" spans="1:7">
      <c r="A171">
        <v>1</v>
      </c>
      <c r="B171" t="s">
        <v>1059</v>
      </c>
      <c r="C171" s="31" t="s">
        <v>352</v>
      </c>
      <c r="D171" s="31" t="s">
        <v>5</v>
      </c>
      <c r="E171" s="31" t="s">
        <v>923</v>
      </c>
      <c r="F171" s="31" t="s">
        <v>659</v>
      </c>
      <c r="G171" t="s">
        <v>1148</v>
      </c>
    </row>
    <row r="172" spans="1:7">
      <c r="A172">
        <v>3</v>
      </c>
      <c r="B172" t="s">
        <v>1061</v>
      </c>
      <c r="C172" s="31" t="s">
        <v>353</v>
      </c>
      <c r="D172" s="31" t="s">
        <v>977</v>
      </c>
      <c r="E172" s="31" t="s">
        <v>923</v>
      </c>
      <c r="F172" s="31" t="s">
        <v>939</v>
      </c>
      <c r="G172" t="s">
        <v>1148</v>
      </c>
    </row>
    <row r="173" spans="1:7">
      <c r="A173">
        <v>6</v>
      </c>
      <c r="B173" t="s">
        <v>1064</v>
      </c>
      <c r="C173" s="31" t="s">
        <v>353</v>
      </c>
      <c r="D173" s="31" t="s">
        <v>979</v>
      </c>
      <c r="E173" s="31" t="s">
        <v>923</v>
      </c>
      <c r="F173" s="31" t="s">
        <v>771</v>
      </c>
    </row>
    <row r="174" spans="1:7">
      <c r="A174">
        <v>9</v>
      </c>
      <c r="B174" t="s">
        <v>1067</v>
      </c>
      <c r="C174" s="31" t="s">
        <v>352</v>
      </c>
      <c r="D174" s="31" t="s">
        <v>981</v>
      </c>
      <c r="E174" s="31" t="s">
        <v>923</v>
      </c>
      <c r="F174" s="31" t="s">
        <v>938</v>
      </c>
    </row>
    <row r="175" spans="1:7">
      <c r="A175">
        <v>12</v>
      </c>
      <c r="B175" t="s">
        <v>1070</v>
      </c>
      <c r="C175" s="31" t="s">
        <v>354</v>
      </c>
      <c r="D175" s="31" t="s">
        <v>986</v>
      </c>
      <c r="E175" s="31" t="s">
        <v>923</v>
      </c>
      <c r="F175" s="31" t="s">
        <v>940</v>
      </c>
      <c r="G175" t="s">
        <v>1147</v>
      </c>
    </row>
    <row r="176" spans="1:7">
      <c r="A176">
        <v>13</v>
      </c>
      <c r="B176" t="s">
        <v>1071</v>
      </c>
      <c r="C176" s="31" t="s">
        <v>352</v>
      </c>
      <c r="D176" s="31" t="s">
        <v>4</v>
      </c>
      <c r="E176" s="31" t="s">
        <v>923</v>
      </c>
      <c r="F176" s="31" t="s">
        <v>994</v>
      </c>
    </row>
    <row r="177" spans="1:7">
      <c r="A177">
        <v>16</v>
      </c>
      <c r="B177" t="s">
        <v>1074</v>
      </c>
      <c r="C177" s="31" t="s">
        <v>352</v>
      </c>
      <c r="D177" s="31" t="s">
        <v>996</v>
      </c>
      <c r="E177" s="31" t="s">
        <v>923</v>
      </c>
      <c r="F177" s="31" t="s">
        <v>747</v>
      </c>
      <c r="G177" t="s">
        <v>1147</v>
      </c>
    </row>
    <row r="178" spans="1:7">
      <c r="A178">
        <v>20</v>
      </c>
      <c r="B178" t="s">
        <v>1078</v>
      </c>
      <c r="C178" s="31" t="s">
        <v>354</v>
      </c>
      <c r="D178" s="31" t="s">
        <v>1000</v>
      </c>
      <c r="E178" s="31" t="s">
        <v>923</v>
      </c>
      <c r="F178" s="31" t="s">
        <v>701</v>
      </c>
      <c r="G178" t="s">
        <v>1148</v>
      </c>
    </row>
    <row r="179" spans="1:7">
      <c r="A179">
        <v>23</v>
      </c>
      <c r="B179" t="s">
        <v>1081</v>
      </c>
      <c r="C179" s="31" t="s">
        <v>353</v>
      </c>
      <c r="D179" s="31" t="s">
        <v>1002</v>
      </c>
      <c r="E179" s="31" t="s">
        <v>923</v>
      </c>
      <c r="F179" s="31" t="s">
        <v>160</v>
      </c>
      <c r="G179" t="s">
        <v>1148</v>
      </c>
    </row>
    <row r="180" spans="1:7">
      <c r="A180">
        <v>24</v>
      </c>
      <c r="B180" t="s">
        <v>1082</v>
      </c>
      <c r="C180" s="31" t="s">
        <v>352</v>
      </c>
      <c r="D180" s="31" t="s">
        <v>3</v>
      </c>
      <c r="E180" s="31" t="s">
        <v>923</v>
      </c>
      <c r="F180" s="31" t="s">
        <v>951</v>
      </c>
    </row>
    <row r="181" spans="1:7">
      <c r="A181">
        <v>27</v>
      </c>
      <c r="B181" t="s">
        <v>1085</v>
      </c>
      <c r="C181" s="31" t="s">
        <v>354</v>
      </c>
      <c r="D181" s="31" t="s">
        <v>1006</v>
      </c>
      <c r="E181" s="31" t="s">
        <v>923</v>
      </c>
      <c r="F181" s="31" t="s">
        <v>702</v>
      </c>
      <c r="G181" t="s">
        <v>1147</v>
      </c>
    </row>
    <row r="182" spans="1:7">
      <c r="A182">
        <v>28</v>
      </c>
      <c r="B182" t="s">
        <v>1086</v>
      </c>
      <c r="C182" s="31" t="s">
        <v>352</v>
      </c>
      <c r="D182" s="31" t="s">
        <v>974</v>
      </c>
      <c r="E182" s="31" t="s">
        <v>923</v>
      </c>
      <c r="F182" s="31" t="s">
        <v>1142</v>
      </c>
      <c r="G182" t="s">
        <v>1148</v>
      </c>
    </row>
    <row r="183" spans="1:7">
      <c r="A183">
        <v>34</v>
      </c>
      <c r="B183" t="s">
        <v>1092</v>
      </c>
      <c r="C183" s="31" t="s">
        <v>353</v>
      </c>
      <c r="D183" s="31" t="s">
        <v>1011</v>
      </c>
      <c r="E183" s="31" t="s">
        <v>923</v>
      </c>
      <c r="F183" s="31" t="s">
        <v>770</v>
      </c>
      <c r="G183" t="s">
        <v>1147</v>
      </c>
    </row>
    <row r="184" spans="1:7">
      <c r="A184">
        <v>36</v>
      </c>
      <c r="B184" t="s">
        <v>1094</v>
      </c>
      <c r="C184" s="31" t="s">
        <v>352</v>
      </c>
      <c r="D184" s="31" t="s">
        <v>1012</v>
      </c>
      <c r="E184" s="31" t="s">
        <v>923</v>
      </c>
      <c r="F184" s="31" t="s">
        <v>955</v>
      </c>
      <c r="G184" t="s">
        <v>1148</v>
      </c>
    </row>
    <row r="185" spans="1:7">
      <c r="A185">
        <v>38</v>
      </c>
      <c r="B185" t="s">
        <v>1096</v>
      </c>
      <c r="C185" s="31" t="s">
        <v>354</v>
      </c>
      <c r="D185" s="31" t="s">
        <v>1014</v>
      </c>
      <c r="E185" s="31" t="s">
        <v>923</v>
      </c>
      <c r="F185" s="31" t="s">
        <v>1143</v>
      </c>
      <c r="G185" t="s">
        <v>1148</v>
      </c>
    </row>
    <row r="186" spans="1:7">
      <c r="A186">
        <v>42</v>
      </c>
      <c r="B186" t="s">
        <v>1100</v>
      </c>
      <c r="C186" s="31" t="s">
        <v>352</v>
      </c>
      <c r="D186" s="31" t="s">
        <v>1016</v>
      </c>
      <c r="E186" s="31" t="s">
        <v>923</v>
      </c>
      <c r="F186" s="31" t="s">
        <v>1144</v>
      </c>
    </row>
    <row r="187" spans="1:7">
      <c r="A187">
        <v>45</v>
      </c>
      <c r="B187" t="s">
        <v>1103</v>
      </c>
      <c r="C187" s="31" t="s">
        <v>353</v>
      </c>
      <c r="D187" s="31" t="s">
        <v>1021</v>
      </c>
      <c r="E187" s="31" t="s">
        <v>923</v>
      </c>
      <c r="F187" s="31" t="s">
        <v>742</v>
      </c>
      <c r="G187" t="s">
        <v>1147</v>
      </c>
    </row>
    <row r="188" spans="1:7">
      <c r="A188">
        <v>46</v>
      </c>
      <c r="B188" t="s">
        <v>1104</v>
      </c>
      <c r="C188" s="31" t="s">
        <v>354</v>
      </c>
      <c r="D188" s="31" t="s">
        <v>28</v>
      </c>
      <c r="E188" s="31" t="s">
        <v>923</v>
      </c>
      <c r="F188" s="31" t="s">
        <v>706</v>
      </c>
      <c r="G188" t="s">
        <v>1147</v>
      </c>
    </row>
    <row r="189" spans="1:7">
      <c r="A189">
        <v>47</v>
      </c>
      <c r="B189" t="s">
        <v>1105</v>
      </c>
      <c r="C189" s="31" t="s">
        <v>352</v>
      </c>
      <c r="D189" s="31" t="s">
        <v>1024</v>
      </c>
      <c r="E189" s="31" t="s">
        <v>923</v>
      </c>
      <c r="F189" s="31" t="s">
        <v>960</v>
      </c>
      <c r="G189" t="s">
        <v>1148</v>
      </c>
    </row>
    <row r="190" spans="1:7">
      <c r="A190">
        <v>50</v>
      </c>
      <c r="B190" t="s">
        <v>1108</v>
      </c>
      <c r="C190" s="31" t="s">
        <v>352</v>
      </c>
      <c r="D190" s="31" t="s">
        <v>1024</v>
      </c>
      <c r="E190" s="31" t="s">
        <v>923</v>
      </c>
      <c r="F190" s="31" t="s">
        <v>709</v>
      </c>
    </row>
    <row r="191" spans="1:7">
      <c r="A191">
        <v>54</v>
      </c>
      <c r="B191" t="s">
        <v>1112</v>
      </c>
      <c r="C191" s="31" t="s">
        <v>353</v>
      </c>
      <c r="D191" s="31" t="s">
        <v>1027</v>
      </c>
      <c r="E191" s="31" t="s">
        <v>923</v>
      </c>
      <c r="F191" s="31" t="s">
        <v>158</v>
      </c>
      <c r="G191" t="s">
        <v>1147</v>
      </c>
    </row>
    <row r="192" spans="1:7">
      <c r="A192">
        <v>77</v>
      </c>
      <c r="B192" t="s">
        <v>1135</v>
      </c>
      <c r="C192" s="31" t="s">
        <v>352</v>
      </c>
      <c r="D192" s="31">
        <v>5</v>
      </c>
      <c r="E192" s="31" t="s">
        <v>923</v>
      </c>
      <c r="G192" t="s">
        <v>1147</v>
      </c>
    </row>
    <row r="194" spans="1:7">
      <c r="A194">
        <v>5</v>
      </c>
      <c r="B194" t="s">
        <v>1063</v>
      </c>
      <c r="C194" s="31" t="s">
        <v>352</v>
      </c>
      <c r="D194" s="31" t="s">
        <v>977</v>
      </c>
      <c r="E194" s="31" t="s">
        <v>787</v>
      </c>
      <c r="F194" s="31" t="s">
        <v>941</v>
      </c>
      <c r="G194" s="49" t="s">
        <v>1148</v>
      </c>
    </row>
    <row r="195" spans="1:7">
      <c r="A195">
        <v>18</v>
      </c>
      <c r="B195" t="s">
        <v>1076</v>
      </c>
      <c r="C195" s="31" t="s">
        <v>352</v>
      </c>
      <c r="D195" s="31" t="s">
        <v>998</v>
      </c>
      <c r="E195" s="31" t="s">
        <v>787</v>
      </c>
      <c r="F195" s="31" t="s">
        <v>949</v>
      </c>
      <c r="G195" s="49" t="s">
        <v>1148</v>
      </c>
    </row>
    <row r="196" spans="1:7">
      <c r="A196">
        <v>33</v>
      </c>
      <c r="B196" t="s">
        <v>1091</v>
      </c>
      <c r="C196" s="31" t="s">
        <v>352</v>
      </c>
      <c r="D196" s="31" t="s">
        <v>1008</v>
      </c>
      <c r="E196" s="31" t="s">
        <v>787</v>
      </c>
      <c r="F196" s="31" t="s">
        <v>958</v>
      </c>
      <c r="G196" s="49" t="s">
        <v>1148</v>
      </c>
    </row>
    <row r="197" spans="1:7">
      <c r="A197">
        <v>44</v>
      </c>
      <c r="B197" t="s">
        <v>1102</v>
      </c>
      <c r="C197" s="31" t="s">
        <v>352</v>
      </c>
      <c r="D197" s="31" t="s">
        <v>1021</v>
      </c>
      <c r="E197" s="31" t="s">
        <v>787</v>
      </c>
      <c r="F197" s="31" t="s">
        <v>775</v>
      </c>
      <c r="G197" s="49" t="s">
        <v>1148</v>
      </c>
    </row>
    <row r="198" spans="1:7" s="49" customFormat="1">
      <c r="A198" s="49">
        <v>55</v>
      </c>
      <c r="B198" s="49" t="s">
        <v>1145</v>
      </c>
      <c r="C198" s="49" t="s">
        <v>352</v>
      </c>
      <c r="D198" s="49" t="s">
        <v>1028</v>
      </c>
      <c r="E198" s="49" t="s">
        <v>1020</v>
      </c>
      <c r="F198" s="49" t="s">
        <v>989</v>
      </c>
      <c r="G198" s="49" t="s">
        <v>1148</v>
      </c>
    </row>
    <row r="199" spans="1:7">
      <c r="A199">
        <v>58</v>
      </c>
      <c r="B199" t="s">
        <v>1116</v>
      </c>
      <c r="C199" s="31" t="s">
        <v>352</v>
      </c>
      <c r="D199" s="31" t="s">
        <v>1032</v>
      </c>
      <c r="E199" s="31" t="s">
        <v>787</v>
      </c>
      <c r="F199" s="31" t="s">
        <v>965</v>
      </c>
      <c r="G199" s="49" t="s">
        <v>1148</v>
      </c>
    </row>
    <row r="200" spans="1:7">
      <c r="A200">
        <v>60</v>
      </c>
      <c r="B200" t="s">
        <v>1118</v>
      </c>
      <c r="C200" s="31" t="s">
        <v>352</v>
      </c>
      <c r="D200" s="31" t="s">
        <v>1034</v>
      </c>
      <c r="E200" s="31" t="s">
        <v>787</v>
      </c>
      <c r="F200" s="31" t="s">
        <v>967</v>
      </c>
      <c r="G200" s="49" t="s">
        <v>1148</v>
      </c>
    </row>
    <row r="201" spans="1:7">
      <c r="A201">
        <v>62</v>
      </c>
      <c r="B201" t="s">
        <v>1146</v>
      </c>
      <c r="C201" s="31" t="s">
        <v>352</v>
      </c>
      <c r="D201" s="31" t="s">
        <v>8</v>
      </c>
      <c r="E201" s="31" t="s">
        <v>787</v>
      </c>
      <c r="F201" s="31" t="s">
        <v>968</v>
      </c>
      <c r="G201" s="49" t="s">
        <v>1148</v>
      </c>
    </row>
    <row r="202" spans="1:7">
      <c r="A202">
        <v>63</v>
      </c>
      <c r="B202" t="s">
        <v>1121</v>
      </c>
      <c r="C202" s="31" t="s">
        <v>352</v>
      </c>
      <c r="D202" s="31" t="s">
        <v>1038</v>
      </c>
      <c r="E202" s="31" t="s">
        <v>787</v>
      </c>
      <c r="F202" s="31" t="s">
        <v>969</v>
      </c>
      <c r="G202" s="49" t="s">
        <v>1148</v>
      </c>
    </row>
    <row r="203" spans="1:7">
      <c r="A203">
        <v>64</v>
      </c>
      <c r="B203" t="s">
        <v>1122</v>
      </c>
      <c r="C203" s="31" t="s">
        <v>1138</v>
      </c>
      <c r="D203" s="31" t="s">
        <v>31</v>
      </c>
      <c r="E203" s="31" t="s">
        <v>787</v>
      </c>
      <c r="F203" s="31" t="s">
        <v>745</v>
      </c>
      <c r="G203" s="49"/>
    </row>
    <row r="204" spans="1:7">
      <c r="A204">
        <v>65</v>
      </c>
      <c r="B204" t="s">
        <v>1123</v>
      </c>
      <c r="C204" s="31" t="s">
        <v>352</v>
      </c>
      <c r="D204" s="31" t="s">
        <v>1041</v>
      </c>
      <c r="E204" s="31" t="s">
        <v>787</v>
      </c>
      <c r="F204" s="31" t="s">
        <v>776</v>
      </c>
      <c r="G204" s="49" t="s">
        <v>1148</v>
      </c>
    </row>
    <row r="205" spans="1:7">
      <c r="A205">
        <v>67</v>
      </c>
      <c r="B205" t="s">
        <v>1125</v>
      </c>
      <c r="C205" s="31" t="s">
        <v>353</v>
      </c>
      <c r="D205" s="31" t="s">
        <v>1044</v>
      </c>
      <c r="E205" s="31" t="s">
        <v>787</v>
      </c>
      <c r="F205" s="31" t="s">
        <v>777</v>
      </c>
      <c r="G205" s="49" t="s">
        <v>1148</v>
      </c>
    </row>
    <row r="206" spans="1:7">
      <c r="A206">
        <v>68</v>
      </c>
      <c r="B206" t="s">
        <v>1126</v>
      </c>
      <c r="C206" s="31" t="s">
        <v>353</v>
      </c>
      <c r="D206" s="31" t="s">
        <v>35</v>
      </c>
      <c r="E206" s="31" t="s">
        <v>787</v>
      </c>
      <c r="F206" s="31" t="s">
        <v>992</v>
      </c>
      <c r="G206" s="49" t="s">
        <v>1148</v>
      </c>
    </row>
    <row r="207" spans="1:7">
      <c r="A207">
        <v>69</v>
      </c>
      <c r="B207" t="s">
        <v>1127</v>
      </c>
      <c r="C207" s="31" t="s">
        <v>353</v>
      </c>
      <c r="D207" s="31" t="s">
        <v>37</v>
      </c>
      <c r="E207" s="31" t="s">
        <v>787</v>
      </c>
      <c r="F207" s="31" t="s">
        <v>779</v>
      </c>
      <c r="G207" s="49" t="s">
        <v>1148</v>
      </c>
    </row>
    <row r="208" spans="1:7">
      <c r="A208">
        <v>70</v>
      </c>
      <c r="B208" t="s">
        <v>1128</v>
      </c>
      <c r="C208" s="31" t="s">
        <v>353</v>
      </c>
      <c r="D208" s="31" t="s">
        <v>1048</v>
      </c>
      <c r="E208" s="31" t="s">
        <v>787</v>
      </c>
      <c r="F208" s="31" t="s">
        <v>991</v>
      </c>
      <c r="G208" s="49" t="s">
        <v>1148</v>
      </c>
    </row>
    <row r="209" spans="1:7">
      <c r="A209">
        <v>71</v>
      </c>
      <c r="B209" t="s">
        <v>1129</v>
      </c>
      <c r="C209" s="31" t="s">
        <v>353</v>
      </c>
      <c r="D209" s="31" t="s">
        <v>36</v>
      </c>
      <c r="E209" s="31" t="s">
        <v>787</v>
      </c>
      <c r="F209" s="31" t="s">
        <v>778</v>
      </c>
      <c r="G209" s="49" t="s">
        <v>1148</v>
      </c>
    </row>
    <row r="210" spans="1:7">
      <c r="A210">
        <v>76</v>
      </c>
      <c r="B210" t="s">
        <v>1134</v>
      </c>
      <c r="C210" s="31" t="s">
        <v>354</v>
      </c>
      <c r="D210" s="31">
        <v>2</v>
      </c>
      <c r="E210" s="31" t="s">
        <v>787</v>
      </c>
      <c r="F210" s="31" t="s">
        <v>1051</v>
      </c>
      <c r="G210" t="s">
        <v>1148</v>
      </c>
    </row>
    <row r="212" spans="1:7">
      <c r="A212">
        <v>8</v>
      </c>
      <c r="B212" t="s">
        <v>1066</v>
      </c>
      <c r="C212" s="31" t="s">
        <v>1140</v>
      </c>
      <c r="D212" s="31" t="s">
        <v>981</v>
      </c>
      <c r="E212" s="31" t="s">
        <v>2</v>
      </c>
      <c r="F212" s="31" t="s">
        <v>944</v>
      </c>
    </row>
    <row r="213" spans="1:7">
      <c r="A213">
        <v>10</v>
      </c>
      <c r="B213" t="s">
        <v>1068</v>
      </c>
      <c r="C213" s="31" t="s">
        <v>352</v>
      </c>
      <c r="D213" s="31" t="s">
        <v>983</v>
      </c>
      <c r="E213" s="31" t="s">
        <v>2</v>
      </c>
      <c r="F213" s="31" t="s">
        <v>985</v>
      </c>
      <c r="G213" t="s">
        <v>1148</v>
      </c>
    </row>
    <row r="214" spans="1:7">
      <c r="A214">
        <v>21</v>
      </c>
      <c r="B214" t="s">
        <v>1079</v>
      </c>
      <c r="C214" s="31" t="s">
        <v>352</v>
      </c>
      <c r="D214" s="31" t="s">
        <v>1002</v>
      </c>
      <c r="E214" s="31" t="s">
        <v>2</v>
      </c>
      <c r="F214" s="31" t="s">
        <v>1004</v>
      </c>
      <c r="G214" t="s">
        <v>1148</v>
      </c>
    </row>
    <row r="215" spans="1:7">
      <c r="A215">
        <v>32</v>
      </c>
      <c r="B215" t="s">
        <v>1090</v>
      </c>
      <c r="C215" s="31" t="s">
        <v>352</v>
      </c>
      <c r="D215" s="31" t="s">
        <v>1009</v>
      </c>
      <c r="E215" s="31" t="s">
        <v>2</v>
      </c>
      <c r="F215" s="31" t="s">
        <v>954</v>
      </c>
      <c r="G215" t="s">
        <v>1148</v>
      </c>
    </row>
    <row r="216" spans="1:7">
      <c r="A216">
        <v>39</v>
      </c>
      <c r="B216" t="s">
        <v>1097</v>
      </c>
      <c r="C216" s="31" t="s">
        <v>352</v>
      </c>
      <c r="D216" s="31" t="s">
        <v>1014</v>
      </c>
      <c r="E216" s="31" t="s">
        <v>2</v>
      </c>
      <c r="F216" s="31" t="s">
        <v>959</v>
      </c>
      <c r="G216" t="s">
        <v>1148</v>
      </c>
    </row>
    <row r="217" spans="1:7">
      <c r="A217">
        <v>53</v>
      </c>
      <c r="B217" t="s">
        <v>1111</v>
      </c>
      <c r="C217" s="31" t="s">
        <v>352</v>
      </c>
      <c r="D217" s="31" t="s">
        <v>1027</v>
      </c>
      <c r="E217" s="31" t="s">
        <v>2</v>
      </c>
      <c r="F217" s="31" t="s">
        <v>964</v>
      </c>
      <c r="G217" t="s">
        <v>1148</v>
      </c>
    </row>
    <row r="218" spans="1:7">
      <c r="A218">
        <v>72</v>
      </c>
      <c r="B218" t="s">
        <v>1130</v>
      </c>
      <c r="C218" s="31" t="s">
        <v>354</v>
      </c>
      <c r="D218" s="31" t="s">
        <v>1029</v>
      </c>
      <c r="E218" s="31" t="s">
        <v>2</v>
      </c>
      <c r="G218" t="s">
        <v>1147</v>
      </c>
    </row>
    <row r="224" spans="1:7">
      <c r="A224">
        <v>1</v>
      </c>
      <c r="B224" t="s">
        <v>1059</v>
      </c>
      <c r="C224" s="31" t="s">
        <v>352</v>
      </c>
      <c r="D224" s="31" t="s">
        <v>5</v>
      </c>
      <c r="E224" s="31" t="s">
        <v>923</v>
      </c>
      <c r="F224" s="31" t="s">
        <v>659</v>
      </c>
      <c r="G224" t="s">
        <v>1235</v>
      </c>
    </row>
    <row r="225" spans="1:7">
      <c r="A225">
        <v>3</v>
      </c>
      <c r="B225" t="s">
        <v>1061</v>
      </c>
      <c r="C225" s="31" t="s">
        <v>353</v>
      </c>
      <c r="D225" s="31" t="s">
        <v>977</v>
      </c>
      <c r="E225" s="31" t="s">
        <v>923</v>
      </c>
      <c r="F225" s="31" t="s">
        <v>939</v>
      </c>
      <c r="G225" t="s">
        <v>1235</v>
      </c>
    </row>
    <row r="226" spans="1:7">
      <c r="A226">
        <v>12</v>
      </c>
      <c r="B226" t="s">
        <v>1070</v>
      </c>
      <c r="C226" s="31" t="s">
        <v>354</v>
      </c>
      <c r="D226" s="31" t="s">
        <v>986</v>
      </c>
      <c r="E226" s="31" t="s">
        <v>923</v>
      </c>
      <c r="F226" s="31" t="s">
        <v>703</v>
      </c>
      <c r="G226" t="s">
        <v>1235</v>
      </c>
    </row>
    <row r="227" spans="1:7">
      <c r="A227">
        <v>16</v>
      </c>
      <c r="B227" t="s">
        <v>1074</v>
      </c>
      <c r="C227" s="31" t="s">
        <v>352</v>
      </c>
      <c r="D227" s="31" t="s">
        <v>996</v>
      </c>
      <c r="E227" s="31" t="s">
        <v>923</v>
      </c>
      <c r="F227" s="31" t="s">
        <v>747</v>
      </c>
      <c r="G227" t="s">
        <v>1235</v>
      </c>
    </row>
    <row r="228" spans="1:7">
      <c r="A228">
        <v>20</v>
      </c>
      <c r="B228" t="s">
        <v>1078</v>
      </c>
      <c r="C228" s="31" t="s">
        <v>354</v>
      </c>
      <c r="D228" s="31" t="s">
        <v>1000</v>
      </c>
      <c r="E228" s="31" t="s">
        <v>923</v>
      </c>
      <c r="F228" s="31" t="s">
        <v>701</v>
      </c>
      <c r="G228" t="s">
        <v>1235</v>
      </c>
    </row>
    <row r="229" spans="1:7">
      <c r="A229">
        <v>23</v>
      </c>
      <c r="B229" t="s">
        <v>1081</v>
      </c>
      <c r="C229" s="31" t="s">
        <v>353</v>
      </c>
      <c r="D229" s="31" t="s">
        <v>1002</v>
      </c>
      <c r="E229" s="31" t="s">
        <v>923</v>
      </c>
      <c r="F229" s="31" t="s">
        <v>160</v>
      </c>
      <c r="G229" t="s">
        <v>1235</v>
      </c>
    </row>
    <row r="230" spans="1:7">
      <c r="A230">
        <v>27</v>
      </c>
      <c r="B230" t="s">
        <v>1085</v>
      </c>
      <c r="C230" s="31" t="s">
        <v>354</v>
      </c>
      <c r="D230" s="31" t="s">
        <v>1006</v>
      </c>
      <c r="E230" s="31" t="s">
        <v>923</v>
      </c>
      <c r="F230" s="31" t="s">
        <v>702</v>
      </c>
      <c r="G230" t="s">
        <v>1235</v>
      </c>
    </row>
    <row r="231" spans="1:7">
      <c r="A231">
        <v>28</v>
      </c>
      <c r="B231" t="s">
        <v>1086</v>
      </c>
      <c r="C231" s="31" t="s">
        <v>352</v>
      </c>
      <c r="D231" s="31" t="s">
        <v>974</v>
      </c>
      <c r="E231" s="31" t="s">
        <v>923</v>
      </c>
      <c r="F231" s="31" t="s">
        <v>1142</v>
      </c>
      <c r="G231" t="s">
        <v>1235</v>
      </c>
    </row>
    <row r="232" spans="1:7">
      <c r="A232">
        <v>34</v>
      </c>
      <c r="B232" t="s">
        <v>1092</v>
      </c>
      <c r="C232" s="31" t="s">
        <v>353</v>
      </c>
      <c r="D232" s="31" t="s">
        <v>1011</v>
      </c>
      <c r="E232" s="31" t="s">
        <v>923</v>
      </c>
      <c r="F232" s="31" t="s">
        <v>770</v>
      </c>
      <c r="G232" t="s">
        <v>1235</v>
      </c>
    </row>
    <row r="233" spans="1:7">
      <c r="A233">
        <v>36</v>
      </c>
      <c r="B233" t="s">
        <v>1094</v>
      </c>
      <c r="C233" s="31" t="s">
        <v>352</v>
      </c>
      <c r="D233" s="31" t="s">
        <v>1012</v>
      </c>
      <c r="E233" s="31" t="s">
        <v>923</v>
      </c>
      <c r="F233" s="31" t="s">
        <v>304</v>
      </c>
      <c r="G233" t="s">
        <v>1235</v>
      </c>
    </row>
    <row r="234" spans="1:7">
      <c r="A234">
        <v>38</v>
      </c>
      <c r="B234" t="s">
        <v>1096</v>
      </c>
      <c r="C234" s="31" t="s">
        <v>354</v>
      </c>
      <c r="D234" s="31" t="s">
        <v>1014</v>
      </c>
      <c r="E234" s="31" t="s">
        <v>923</v>
      </c>
      <c r="F234" s="31" t="s">
        <v>1143</v>
      </c>
      <c r="G234" t="s">
        <v>1235</v>
      </c>
    </row>
    <row r="235" spans="1:7">
      <c r="A235">
        <v>45</v>
      </c>
      <c r="B235" t="s">
        <v>1103</v>
      </c>
      <c r="C235" s="31" t="s">
        <v>353</v>
      </c>
      <c r="D235" s="31" t="s">
        <v>1021</v>
      </c>
      <c r="E235" s="31" t="s">
        <v>923</v>
      </c>
      <c r="F235" s="31" t="s">
        <v>742</v>
      </c>
      <c r="G235" t="s">
        <v>1235</v>
      </c>
    </row>
    <row r="236" spans="1:7">
      <c r="A236">
        <v>46</v>
      </c>
      <c r="B236" t="s">
        <v>1104</v>
      </c>
      <c r="C236" s="31" t="s">
        <v>354</v>
      </c>
      <c r="D236" s="31" t="s">
        <v>28</v>
      </c>
      <c r="E236" s="31" t="s">
        <v>923</v>
      </c>
      <c r="F236" s="31" t="s">
        <v>706</v>
      </c>
      <c r="G236" t="s">
        <v>1235</v>
      </c>
    </row>
    <row r="237" spans="1:7">
      <c r="A237">
        <v>47</v>
      </c>
      <c r="B237" t="s">
        <v>1105</v>
      </c>
      <c r="C237" s="31" t="s">
        <v>352</v>
      </c>
      <c r="D237" s="31" t="s">
        <v>1024</v>
      </c>
      <c r="E237" s="31" t="s">
        <v>923</v>
      </c>
      <c r="F237" s="31" t="s">
        <v>960</v>
      </c>
      <c r="G237" t="s">
        <v>1235</v>
      </c>
    </row>
    <row r="238" spans="1:7">
      <c r="A238">
        <v>54</v>
      </c>
      <c r="B238" t="s">
        <v>1112</v>
      </c>
      <c r="C238" s="31" t="s">
        <v>353</v>
      </c>
      <c r="D238" s="31" t="s">
        <v>1027</v>
      </c>
      <c r="E238" s="31" t="s">
        <v>923</v>
      </c>
      <c r="F238" s="31" t="s">
        <v>158</v>
      </c>
      <c r="G238" t="s">
        <v>1235</v>
      </c>
    </row>
    <row r="239" spans="1:7">
      <c r="A239">
        <v>77</v>
      </c>
      <c r="B239" t="s">
        <v>1135</v>
      </c>
      <c r="C239" s="31" t="s">
        <v>352</v>
      </c>
      <c r="D239" s="31">
        <v>5</v>
      </c>
      <c r="E239" s="31" t="s">
        <v>923</v>
      </c>
      <c r="G239" t="s">
        <v>1235</v>
      </c>
    </row>
    <row r="240" spans="1:7">
      <c r="A240">
        <v>5</v>
      </c>
      <c r="B240" t="s">
        <v>1063</v>
      </c>
      <c r="C240" s="31" t="s">
        <v>352</v>
      </c>
      <c r="D240" s="31" t="s">
        <v>977</v>
      </c>
      <c r="E240" s="31" t="s">
        <v>787</v>
      </c>
      <c r="F240" s="31" t="s">
        <v>941</v>
      </c>
      <c r="G240" t="s">
        <v>1235</v>
      </c>
    </row>
    <row r="241" spans="1:7">
      <c r="A241">
        <v>18</v>
      </c>
      <c r="B241" t="s">
        <v>1076</v>
      </c>
      <c r="C241" s="31" t="s">
        <v>352</v>
      </c>
      <c r="D241" s="31" t="s">
        <v>998</v>
      </c>
      <c r="E241" s="31" t="s">
        <v>787</v>
      </c>
      <c r="F241" s="31" t="s">
        <v>949</v>
      </c>
      <c r="G241" t="s">
        <v>1235</v>
      </c>
    </row>
    <row r="242" spans="1:7">
      <c r="A242">
        <v>33</v>
      </c>
      <c r="B242" t="s">
        <v>1091</v>
      </c>
      <c r="C242" s="31" t="s">
        <v>352</v>
      </c>
      <c r="D242" s="31" t="s">
        <v>1008</v>
      </c>
      <c r="E242" s="31" t="s">
        <v>787</v>
      </c>
      <c r="F242" s="31" t="s">
        <v>958</v>
      </c>
      <c r="G242" t="s">
        <v>1235</v>
      </c>
    </row>
    <row r="243" spans="1:7">
      <c r="A243">
        <v>44</v>
      </c>
      <c r="B243" t="s">
        <v>1102</v>
      </c>
      <c r="C243" s="31" t="s">
        <v>352</v>
      </c>
      <c r="D243" s="31" t="s">
        <v>1021</v>
      </c>
      <c r="E243" s="31" t="s">
        <v>787</v>
      </c>
      <c r="F243" s="31" t="s">
        <v>775</v>
      </c>
      <c r="G243" t="s">
        <v>1235</v>
      </c>
    </row>
    <row r="244" spans="1:7">
      <c r="A244">
        <v>55</v>
      </c>
      <c r="B244" t="s">
        <v>1113</v>
      </c>
      <c r="C244" s="31" t="s">
        <v>352</v>
      </c>
      <c r="D244" s="31" t="s">
        <v>1028</v>
      </c>
      <c r="E244" s="31" t="s">
        <v>787</v>
      </c>
      <c r="F244" s="31" t="s">
        <v>989</v>
      </c>
      <c r="G244" t="s">
        <v>1235</v>
      </c>
    </row>
    <row r="245" spans="1:7">
      <c r="A245">
        <v>58</v>
      </c>
      <c r="B245" t="s">
        <v>1116</v>
      </c>
      <c r="C245" s="31" t="s">
        <v>352</v>
      </c>
      <c r="D245" s="31" t="s">
        <v>1032</v>
      </c>
      <c r="E245" s="31" t="s">
        <v>787</v>
      </c>
      <c r="F245" s="31" t="s">
        <v>965</v>
      </c>
      <c r="G245" t="s">
        <v>1235</v>
      </c>
    </row>
    <row r="246" spans="1:7">
      <c r="A246">
        <v>60</v>
      </c>
      <c r="B246" t="s">
        <v>1118</v>
      </c>
      <c r="C246" s="31" t="s">
        <v>352</v>
      </c>
      <c r="D246" s="31" t="s">
        <v>1034</v>
      </c>
      <c r="E246" s="31" t="s">
        <v>787</v>
      </c>
      <c r="F246" s="31" t="s">
        <v>967</v>
      </c>
      <c r="G246" t="s">
        <v>1235</v>
      </c>
    </row>
    <row r="247" spans="1:7">
      <c r="A247">
        <v>62</v>
      </c>
      <c r="B247" t="s">
        <v>1120</v>
      </c>
      <c r="C247" s="31" t="s">
        <v>352</v>
      </c>
      <c r="D247" s="31" t="s">
        <v>8</v>
      </c>
      <c r="E247" s="31" t="s">
        <v>787</v>
      </c>
      <c r="F247" s="31" t="s">
        <v>968</v>
      </c>
      <c r="G247" t="s">
        <v>1235</v>
      </c>
    </row>
    <row r="248" spans="1:7">
      <c r="A248">
        <v>63</v>
      </c>
      <c r="B248" t="s">
        <v>1121</v>
      </c>
      <c r="C248" s="31" t="s">
        <v>352</v>
      </c>
      <c r="D248" s="31" t="s">
        <v>1038</v>
      </c>
      <c r="E248" s="31" t="s">
        <v>787</v>
      </c>
      <c r="F248" s="31" t="s">
        <v>969</v>
      </c>
      <c r="G248" t="s">
        <v>1235</v>
      </c>
    </row>
    <row r="249" spans="1:7">
      <c r="A249">
        <v>65</v>
      </c>
      <c r="B249" t="s">
        <v>1123</v>
      </c>
      <c r="C249" s="31" t="s">
        <v>352</v>
      </c>
      <c r="D249" s="31" t="s">
        <v>1041</v>
      </c>
      <c r="E249" s="31" t="s">
        <v>787</v>
      </c>
      <c r="F249" s="31" t="s">
        <v>776</v>
      </c>
      <c r="G249" t="s">
        <v>1235</v>
      </c>
    </row>
    <row r="250" spans="1:7">
      <c r="A250">
        <v>67</v>
      </c>
      <c r="B250" t="s">
        <v>1125</v>
      </c>
      <c r="C250" s="31" t="s">
        <v>353</v>
      </c>
      <c r="D250" s="31" t="s">
        <v>1044</v>
      </c>
      <c r="E250" s="31" t="s">
        <v>787</v>
      </c>
      <c r="F250" s="31" t="s">
        <v>777</v>
      </c>
      <c r="G250" t="s">
        <v>1235</v>
      </c>
    </row>
    <row r="251" spans="1:7">
      <c r="A251">
        <v>68</v>
      </c>
      <c r="B251" t="s">
        <v>1126</v>
      </c>
      <c r="C251" s="31" t="s">
        <v>353</v>
      </c>
      <c r="D251" s="31" t="s">
        <v>35</v>
      </c>
      <c r="E251" s="31" t="s">
        <v>787</v>
      </c>
      <c r="F251" s="31" t="s">
        <v>992</v>
      </c>
      <c r="G251" t="s">
        <v>1235</v>
      </c>
    </row>
    <row r="252" spans="1:7">
      <c r="A252">
        <v>69</v>
      </c>
      <c r="B252" t="s">
        <v>1127</v>
      </c>
      <c r="C252" s="31" t="s">
        <v>353</v>
      </c>
      <c r="D252" s="31" t="s">
        <v>37</v>
      </c>
      <c r="E252" s="31" t="s">
        <v>787</v>
      </c>
      <c r="F252" s="31" t="s">
        <v>779</v>
      </c>
      <c r="G252" t="s">
        <v>1235</v>
      </c>
    </row>
    <row r="253" spans="1:7">
      <c r="A253">
        <v>70</v>
      </c>
      <c r="B253" t="s">
        <v>1128</v>
      </c>
      <c r="C253" s="31" t="s">
        <v>353</v>
      </c>
      <c r="D253" s="31" t="s">
        <v>1048</v>
      </c>
      <c r="E253" s="31" t="s">
        <v>787</v>
      </c>
      <c r="F253" s="31" t="s">
        <v>991</v>
      </c>
      <c r="G253" t="s">
        <v>1235</v>
      </c>
    </row>
    <row r="254" spans="1:7">
      <c r="A254">
        <v>71</v>
      </c>
      <c r="B254" t="s">
        <v>1129</v>
      </c>
      <c r="C254" s="31" t="s">
        <v>353</v>
      </c>
      <c r="D254" s="31" t="s">
        <v>36</v>
      </c>
      <c r="E254" s="31" t="s">
        <v>787</v>
      </c>
      <c r="F254" s="31" t="s">
        <v>778</v>
      </c>
      <c r="G254" t="s">
        <v>1235</v>
      </c>
    </row>
    <row r="255" spans="1:7">
      <c r="A255">
        <v>76</v>
      </c>
      <c r="B255" t="s">
        <v>1134</v>
      </c>
      <c r="C255" s="31" t="s">
        <v>354</v>
      </c>
      <c r="D255" s="31">
        <v>2</v>
      </c>
      <c r="E255" s="31" t="s">
        <v>787</v>
      </c>
      <c r="F255" s="31" t="s">
        <v>1051</v>
      </c>
      <c r="G255" t="s">
        <v>1235</v>
      </c>
    </row>
    <row r="256" spans="1:7">
      <c r="A256">
        <v>10</v>
      </c>
      <c r="B256" t="s">
        <v>1068</v>
      </c>
      <c r="C256" s="31" t="s">
        <v>352</v>
      </c>
      <c r="D256" s="31" t="s">
        <v>983</v>
      </c>
      <c r="E256" s="31" t="s">
        <v>2</v>
      </c>
      <c r="F256" s="31" t="s">
        <v>985</v>
      </c>
      <c r="G256" t="s">
        <v>1235</v>
      </c>
    </row>
    <row r="257" spans="1:7">
      <c r="A257">
        <v>21</v>
      </c>
      <c r="B257" t="s">
        <v>1079</v>
      </c>
      <c r="C257" s="31" t="s">
        <v>352</v>
      </c>
      <c r="D257" s="31" t="s">
        <v>1002</v>
      </c>
      <c r="E257" s="31" t="s">
        <v>2</v>
      </c>
      <c r="F257" s="31" t="s">
        <v>1004</v>
      </c>
      <c r="G257" t="s">
        <v>1235</v>
      </c>
    </row>
    <row r="258" spans="1:7">
      <c r="A258">
        <v>32</v>
      </c>
      <c r="B258" t="s">
        <v>1090</v>
      </c>
      <c r="C258" s="31" t="s">
        <v>352</v>
      </c>
      <c r="D258" s="31" t="s">
        <v>1009</v>
      </c>
      <c r="E258" s="31" t="s">
        <v>2</v>
      </c>
      <c r="F258" s="31" t="s">
        <v>954</v>
      </c>
      <c r="G258" t="s">
        <v>1235</v>
      </c>
    </row>
    <row r="259" spans="1:7">
      <c r="A259">
        <v>39</v>
      </c>
      <c r="B259" t="s">
        <v>1097</v>
      </c>
      <c r="C259" s="31" t="s">
        <v>352</v>
      </c>
      <c r="D259" s="31" t="s">
        <v>1014</v>
      </c>
      <c r="E259" s="31" t="s">
        <v>2</v>
      </c>
      <c r="F259" s="31" t="s">
        <v>959</v>
      </c>
      <c r="G259" t="s">
        <v>1235</v>
      </c>
    </row>
    <row r="260" spans="1:7">
      <c r="A260">
        <v>53</v>
      </c>
      <c r="B260" t="s">
        <v>1111</v>
      </c>
      <c r="C260" s="31" t="s">
        <v>352</v>
      </c>
      <c r="D260" s="31" t="s">
        <v>1027</v>
      </c>
      <c r="E260" s="31" t="s">
        <v>2</v>
      </c>
      <c r="F260" s="31" t="s">
        <v>964</v>
      </c>
      <c r="G260" t="s">
        <v>1235</v>
      </c>
    </row>
    <row r="261" spans="1:7">
      <c r="A261">
        <v>72</v>
      </c>
      <c r="B261" t="s">
        <v>1130</v>
      </c>
      <c r="C261" s="31" t="s">
        <v>354</v>
      </c>
      <c r="D261" s="31" t="s">
        <v>1029</v>
      </c>
      <c r="E261" s="31" t="s">
        <v>2</v>
      </c>
      <c r="G261" t="s">
        <v>1235</v>
      </c>
    </row>
  </sheetData>
  <sortState ref="A117:G193">
    <sortCondition ref="A117:A193"/>
  </sortState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O198"/>
  <sheetViews>
    <sheetView topLeftCell="A19" workbookViewId="0">
      <selection activeCell="G55" sqref="G55"/>
    </sheetView>
  </sheetViews>
  <sheetFormatPr defaultRowHeight="13.5"/>
  <cols>
    <col min="1" max="1" width="3.375" style="49" bestFit="1" customWidth="1"/>
    <col min="2" max="2" width="14.75" style="49" customWidth="1"/>
    <col min="3" max="3" width="5.25" bestFit="1" customWidth="1"/>
    <col min="4" max="4" width="4" bestFit="1" customWidth="1"/>
    <col min="5" max="5" width="6.75" bestFit="1" customWidth="1"/>
    <col min="6" max="6" width="5.25" style="49" bestFit="1" customWidth="1"/>
    <col min="7" max="7" width="5" bestFit="1" customWidth="1"/>
    <col min="8" max="9" width="2.375" customWidth="1"/>
    <col min="10" max="10" width="8.375" style="49" customWidth="1"/>
    <col min="11" max="11" width="3.625" bestFit="1" customWidth="1"/>
    <col min="12" max="12" width="4.875" customWidth="1"/>
  </cols>
  <sheetData>
    <row r="1" spans="1:11" s="49" customFormat="1">
      <c r="A1" s="49" t="s">
        <v>1744</v>
      </c>
      <c r="B1" s="49" t="s">
        <v>1759</v>
      </c>
      <c r="H1" s="49" t="s">
        <v>1196</v>
      </c>
      <c r="K1" s="49" t="s">
        <v>1764</v>
      </c>
    </row>
    <row r="2" spans="1:11">
      <c r="A2" s="49" t="s">
        <v>1744</v>
      </c>
      <c r="B2" s="49" t="s">
        <v>1150</v>
      </c>
      <c r="C2" t="s">
        <v>5</v>
      </c>
      <c r="D2" t="s">
        <v>347</v>
      </c>
      <c r="E2" t="s">
        <v>1195</v>
      </c>
      <c r="F2" s="49" t="s">
        <v>1763</v>
      </c>
      <c r="G2" s="49" t="s">
        <v>1745</v>
      </c>
      <c r="H2">
        <v>1</v>
      </c>
      <c r="I2" s="49"/>
      <c r="J2"/>
      <c r="K2" s="49" t="s">
        <v>1765</v>
      </c>
    </row>
    <row r="3" spans="1:11">
      <c r="A3" s="49" t="s">
        <v>1744</v>
      </c>
      <c r="B3" s="49" t="s">
        <v>1154</v>
      </c>
      <c r="C3" t="s">
        <v>977</v>
      </c>
      <c r="D3" s="49" t="s">
        <v>278</v>
      </c>
      <c r="E3" t="s">
        <v>1195</v>
      </c>
      <c r="F3" s="49" t="s">
        <v>1763</v>
      </c>
      <c r="G3" s="49" t="s">
        <v>1745</v>
      </c>
      <c r="H3">
        <v>1</v>
      </c>
      <c r="I3" s="49"/>
      <c r="J3" t="s">
        <v>1200</v>
      </c>
      <c r="K3" s="49" t="s">
        <v>1766</v>
      </c>
    </row>
    <row r="4" spans="1:11">
      <c r="A4" s="49" t="s">
        <v>1744</v>
      </c>
      <c r="B4" s="49" t="s">
        <v>1165</v>
      </c>
      <c r="C4" t="s">
        <v>979</v>
      </c>
      <c r="D4" s="49" t="s">
        <v>347</v>
      </c>
      <c r="E4" s="49" t="s">
        <v>1201</v>
      </c>
      <c r="F4" s="49" t="s">
        <v>1763</v>
      </c>
      <c r="G4" s="49" t="s">
        <v>1747</v>
      </c>
      <c r="H4" s="49">
        <v>1</v>
      </c>
      <c r="I4" s="49"/>
      <c r="J4" t="s">
        <v>1214</v>
      </c>
      <c r="K4" s="49" t="s">
        <v>1767</v>
      </c>
    </row>
    <row r="5" spans="1:11">
      <c r="A5" s="49" t="s">
        <v>1744</v>
      </c>
      <c r="B5" s="49" t="s">
        <v>1168</v>
      </c>
      <c r="C5" t="s">
        <v>981</v>
      </c>
      <c r="D5" s="49" t="s">
        <v>348</v>
      </c>
      <c r="E5" t="s">
        <v>1195</v>
      </c>
      <c r="F5" s="49" t="s">
        <v>1763</v>
      </c>
      <c r="G5" s="49" t="s">
        <v>1745</v>
      </c>
      <c r="H5">
        <v>1</v>
      </c>
      <c r="I5" s="49"/>
      <c r="J5" t="s">
        <v>1218</v>
      </c>
      <c r="K5" s="49" t="s">
        <v>1768</v>
      </c>
    </row>
    <row r="6" spans="1:11">
      <c r="A6" s="49" t="s">
        <v>1744</v>
      </c>
      <c r="B6" s="49" t="s">
        <v>1170</v>
      </c>
      <c r="C6" t="s">
        <v>981</v>
      </c>
      <c r="D6" s="49" t="s">
        <v>347</v>
      </c>
      <c r="E6" s="49" t="s">
        <v>1195</v>
      </c>
      <c r="F6" s="49" t="s">
        <v>1763</v>
      </c>
      <c r="G6" s="49" t="s">
        <v>1747</v>
      </c>
      <c r="H6">
        <v>1</v>
      </c>
      <c r="I6" s="49"/>
      <c r="J6" t="s">
        <v>1200</v>
      </c>
      <c r="K6" s="49" t="s">
        <v>1769</v>
      </c>
    </row>
    <row r="7" spans="1:11">
      <c r="A7" s="49" t="s">
        <v>1744</v>
      </c>
      <c r="B7" s="49" t="s">
        <v>1177</v>
      </c>
      <c r="C7" t="s">
        <v>986</v>
      </c>
      <c r="D7" s="49" t="s">
        <v>278</v>
      </c>
      <c r="E7" t="s">
        <v>1201</v>
      </c>
      <c r="F7" s="49" t="s">
        <v>1763</v>
      </c>
      <c r="G7" s="49" t="s">
        <v>1755</v>
      </c>
      <c r="H7">
        <v>1</v>
      </c>
      <c r="I7" s="49"/>
      <c r="J7" t="s">
        <v>1226</v>
      </c>
      <c r="K7" s="49" t="s">
        <v>1770</v>
      </c>
    </row>
    <row r="8" spans="1:11">
      <c r="A8" s="49" t="s">
        <v>1744</v>
      </c>
      <c r="B8" s="49" t="s">
        <v>1180</v>
      </c>
      <c r="C8" t="s">
        <v>1184</v>
      </c>
      <c r="D8" s="49" t="s">
        <v>348</v>
      </c>
      <c r="E8" t="s">
        <v>1201</v>
      </c>
      <c r="F8" s="49" t="s">
        <v>1763</v>
      </c>
      <c r="G8" s="49" t="s">
        <v>1753</v>
      </c>
      <c r="H8">
        <v>1</v>
      </c>
      <c r="I8" s="49"/>
      <c r="J8" t="s">
        <v>1227</v>
      </c>
      <c r="K8" s="49" t="s">
        <v>1771</v>
      </c>
    </row>
    <row r="9" spans="1:11">
      <c r="A9" s="49" t="s">
        <v>1744</v>
      </c>
      <c r="B9" s="49" t="s">
        <v>1160</v>
      </c>
      <c r="C9" t="s">
        <v>1006</v>
      </c>
      <c r="D9" s="49" t="s">
        <v>278</v>
      </c>
      <c r="E9" t="s">
        <v>1208</v>
      </c>
      <c r="F9" s="49" t="s">
        <v>1763</v>
      </c>
      <c r="G9" s="49" t="s">
        <v>1745</v>
      </c>
      <c r="H9">
        <v>1</v>
      </c>
      <c r="I9" s="49"/>
      <c r="J9" t="s">
        <v>1209</v>
      </c>
      <c r="K9" s="49" t="s">
        <v>1772</v>
      </c>
    </row>
    <row r="10" spans="1:11">
      <c r="A10" s="49" t="s">
        <v>1744</v>
      </c>
      <c r="B10" s="49" t="s">
        <v>1161</v>
      </c>
      <c r="C10" t="s">
        <v>974</v>
      </c>
      <c r="D10" s="49" t="s">
        <v>347</v>
      </c>
      <c r="E10" s="49" t="s">
        <v>1208</v>
      </c>
      <c r="F10" s="49" t="s">
        <v>1763</v>
      </c>
      <c r="G10" s="49" t="s">
        <v>1751</v>
      </c>
      <c r="H10">
        <v>1</v>
      </c>
      <c r="I10" s="49"/>
      <c r="J10"/>
      <c r="K10" s="49" t="s">
        <v>1773</v>
      </c>
    </row>
    <row r="11" spans="1:11">
      <c r="A11" s="49" t="s">
        <v>1744</v>
      </c>
      <c r="B11" s="49" t="s">
        <v>1169</v>
      </c>
      <c r="C11" t="s">
        <v>1008</v>
      </c>
      <c r="D11" s="49" t="s">
        <v>347</v>
      </c>
      <c r="E11" t="s">
        <v>1195</v>
      </c>
      <c r="F11" s="49" t="s">
        <v>1763</v>
      </c>
      <c r="G11" s="49" t="s">
        <v>1745</v>
      </c>
      <c r="H11">
        <v>1</v>
      </c>
      <c r="I11" s="49"/>
      <c r="J11" t="s">
        <v>1219</v>
      </c>
      <c r="K11" s="49" t="s">
        <v>1774</v>
      </c>
    </row>
    <row r="12" spans="1:11">
      <c r="A12" s="49" t="s">
        <v>1744</v>
      </c>
      <c r="B12" s="49" t="s">
        <v>1159</v>
      </c>
      <c r="C12" t="s">
        <v>1012</v>
      </c>
      <c r="D12" s="49" t="s">
        <v>347</v>
      </c>
      <c r="E12" s="49" t="s">
        <v>1195</v>
      </c>
      <c r="F12" s="49" t="s">
        <v>1763</v>
      </c>
      <c r="G12" s="49" t="s">
        <v>1745</v>
      </c>
      <c r="H12">
        <v>2</v>
      </c>
      <c r="I12" s="49"/>
      <c r="J12" t="s">
        <v>1207</v>
      </c>
      <c r="K12" s="49" t="s">
        <v>1775</v>
      </c>
    </row>
    <row r="13" spans="1:11">
      <c r="A13" s="49" t="s">
        <v>1744</v>
      </c>
      <c r="B13" s="49" t="s">
        <v>1166</v>
      </c>
      <c r="C13" t="s">
        <v>1014</v>
      </c>
      <c r="D13" s="49" t="s">
        <v>347</v>
      </c>
      <c r="E13" s="49" t="s">
        <v>1195</v>
      </c>
      <c r="F13" s="49" t="s">
        <v>1763</v>
      </c>
      <c r="G13" s="49" t="s">
        <v>1747</v>
      </c>
      <c r="H13" s="49">
        <v>1</v>
      </c>
      <c r="I13" s="49"/>
      <c r="J13" t="s">
        <v>1215</v>
      </c>
      <c r="K13" s="49" t="s">
        <v>1776</v>
      </c>
    </row>
    <row r="14" spans="1:11">
      <c r="A14" s="49" t="s">
        <v>1744</v>
      </c>
      <c r="B14" s="49" t="s">
        <v>1176</v>
      </c>
      <c r="C14" t="s">
        <v>1189</v>
      </c>
      <c r="D14" s="49" t="s">
        <v>278</v>
      </c>
      <c r="E14" t="s">
        <v>1216</v>
      </c>
      <c r="F14" s="49" t="s">
        <v>1763</v>
      </c>
      <c r="G14" s="49" t="s">
        <v>1755</v>
      </c>
      <c r="H14">
        <v>1</v>
      </c>
      <c r="I14" s="49"/>
      <c r="J14" t="s">
        <v>1225</v>
      </c>
      <c r="K14" s="49" t="s">
        <v>1777</v>
      </c>
    </row>
    <row r="15" spans="1:11">
      <c r="A15" s="49" t="s">
        <v>1744</v>
      </c>
      <c r="B15" s="49" t="s">
        <v>1179</v>
      </c>
      <c r="C15" t="s">
        <v>1021</v>
      </c>
      <c r="D15" s="49" t="s">
        <v>278</v>
      </c>
      <c r="E15" s="49" t="s">
        <v>1195</v>
      </c>
      <c r="F15" s="49" t="s">
        <v>1763</v>
      </c>
      <c r="G15" s="49" t="s">
        <v>1757</v>
      </c>
      <c r="H15">
        <v>2</v>
      </c>
      <c r="I15" s="49"/>
      <c r="J15"/>
      <c r="K15" s="49" t="s">
        <v>1778</v>
      </c>
    </row>
    <row r="16" spans="1:11" s="49" customFormat="1">
      <c r="A16" s="49" t="s">
        <v>1744</v>
      </c>
      <c r="B16" s="49" t="s">
        <v>1760</v>
      </c>
      <c r="K16" s="49" t="s">
        <v>1779</v>
      </c>
    </row>
    <row r="17" spans="1:11">
      <c r="A17" s="49" t="s">
        <v>1744</v>
      </c>
      <c r="B17" s="49" t="s">
        <v>1151</v>
      </c>
      <c r="C17" t="s">
        <v>5</v>
      </c>
      <c r="D17" s="49" t="s">
        <v>347</v>
      </c>
      <c r="E17" t="s">
        <v>1195</v>
      </c>
      <c r="F17" s="49" t="s">
        <v>1762</v>
      </c>
      <c r="G17" s="49" t="s">
        <v>1745</v>
      </c>
      <c r="I17" s="49"/>
      <c r="J17" t="s">
        <v>1197</v>
      </c>
      <c r="K17" s="49" t="s">
        <v>1780</v>
      </c>
    </row>
    <row r="18" spans="1:11" s="49" customFormat="1">
      <c r="A18" s="49" t="s">
        <v>1744</v>
      </c>
      <c r="B18" s="49" t="s">
        <v>1198</v>
      </c>
      <c r="C18" s="49" t="s">
        <v>1758</v>
      </c>
      <c r="E18" s="49" t="s">
        <v>1195</v>
      </c>
      <c r="F18" s="49" t="s">
        <v>1763</v>
      </c>
      <c r="G18" s="49" t="s">
        <v>1746</v>
      </c>
      <c r="H18" s="49">
        <v>2</v>
      </c>
      <c r="I18" s="49" t="s">
        <v>1229</v>
      </c>
      <c r="J18" s="49" t="s">
        <v>1230</v>
      </c>
      <c r="K18" s="49" t="s">
        <v>1781</v>
      </c>
    </row>
    <row r="19" spans="1:11">
      <c r="A19" s="49" t="s">
        <v>1744</v>
      </c>
      <c r="B19" s="49" t="s">
        <v>1152</v>
      </c>
      <c r="C19" t="s">
        <v>1182</v>
      </c>
      <c r="D19" s="49" t="s">
        <v>278</v>
      </c>
      <c r="E19" t="s">
        <v>1195</v>
      </c>
      <c r="F19" s="49" t="s">
        <v>1763</v>
      </c>
      <c r="G19" s="49" t="s">
        <v>1747</v>
      </c>
      <c r="H19">
        <v>1</v>
      </c>
      <c r="I19" s="49"/>
      <c r="J19" t="s">
        <v>1199</v>
      </c>
      <c r="K19" s="49" t="s">
        <v>1782</v>
      </c>
    </row>
    <row r="20" spans="1:11">
      <c r="A20" s="49" t="s">
        <v>1744</v>
      </c>
      <c r="B20" s="49" t="s">
        <v>1153</v>
      </c>
      <c r="C20" t="s">
        <v>977</v>
      </c>
      <c r="D20" s="49" t="s">
        <v>278</v>
      </c>
      <c r="E20" t="s">
        <v>1195</v>
      </c>
      <c r="F20" s="49" t="s">
        <v>1763</v>
      </c>
      <c r="G20" s="49" t="s">
        <v>1748</v>
      </c>
      <c r="H20">
        <v>2</v>
      </c>
      <c r="I20" s="49"/>
      <c r="J20"/>
      <c r="K20" s="49" t="s">
        <v>1783</v>
      </c>
    </row>
    <row r="21" spans="1:11">
      <c r="A21" s="49" t="s">
        <v>1744</v>
      </c>
      <c r="B21" s="49" t="s">
        <v>1156</v>
      </c>
      <c r="C21" t="s">
        <v>1182</v>
      </c>
      <c r="D21" s="49" t="s">
        <v>347</v>
      </c>
      <c r="E21" t="s">
        <v>1201</v>
      </c>
      <c r="F21" s="49" t="s">
        <v>1763</v>
      </c>
      <c r="G21" s="49" t="s">
        <v>1747</v>
      </c>
      <c r="H21">
        <v>1</v>
      </c>
      <c r="I21" s="49"/>
      <c r="J21" t="s">
        <v>1204</v>
      </c>
      <c r="K21" s="49" t="s">
        <v>1784</v>
      </c>
    </row>
    <row r="22" spans="1:11">
      <c r="A22" s="49" t="s">
        <v>1744</v>
      </c>
      <c r="B22" s="49" t="s">
        <v>1158</v>
      </c>
      <c r="C22" t="s">
        <v>977</v>
      </c>
      <c r="D22" s="49" t="s">
        <v>347</v>
      </c>
      <c r="E22" t="s">
        <v>1195</v>
      </c>
      <c r="F22" s="49" t="s">
        <v>1763</v>
      </c>
      <c r="G22" s="49" t="s">
        <v>1750</v>
      </c>
      <c r="H22">
        <v>1</v>
      </c>
      <c r="I22" s="49"/>
      <c r="J22" t="s">
        <v>1206</v>
      </c>
      <c r="K22" s="49" t="s">
        <v>1785</v>
      </c>
    </row>
    <row r="23" spans="1:11">
      <c r="A23" s="49" t="s">
        <v>1744</v>
      </c>
      <c r="B23" s="49" t="s">
        <v>1172</v>
      </c>
      <c r="C23" t="s">
        <v>981</v>
      </c>
      <c r="D23" s="49" t="s">
        <v>347</v>
      </c>
      <c r="E23" s="49" t="s">
        <v>1195</v>
      </c>
      <c r="F23" s="49" t="s">
        <v>1763</v>
      </c>
      <c r="G23" s="49" t="s">
        <v>1753</v>
      </c>
      <c r="H23">
        <v>1</v>
      </c>
      <c r="I23" s="49" t="s">
        <v>1229</v>
      </c>
      <c r="J23" t="s">
        <v>1231</v>
      </c>
      <c r="K23" s="49" t="s">
        <v>1786</v>
      </c>
    </row>
    <row r="24" spans="1:11">
      <c r="A24" s="49" t="s">
        <v>1744</v>
      </c>
      <c r="B24" s="49" t="s">
        <v>1173</v>
      </c>
      <c r="C24" t="s">
        <v>981</v>
      </c>
      <c r="D24" s="49" t="s">
        <v>348</v>
      </c>
      <c r="E24" s="49" t="s">
        <v>1195</v>
      </c>
      <c r="F24" s="49" t="s">
        <v>1763</v>
      </c>
      <c r="G24" s="49" t="s">
        <v>1755</v>
      </c>
      <c r="H24">
        <v>1</v>
      </c>
      <c r="I24" s="49"/>
      <c r="J24" t="s">
        <v>1222</v>
      </c>
      <c r="K24" s="49" t="s">
        <v>1787</v>
      </c>
    </row>
    <row r="25" spans="1:11">
      <c r="A25" s="49" t="s">
        <v>1744</v>
      </c>
      <c r="B25" s="49" t="s">
        <v>1178</v>
      </c>
      <c r="C25" t="s">
        <v>1184</v>
      </c>
      <c r="D25" s="49" t="s">
        <v>347</v>
      </c>
      <c r="E25" t="s">
        <v>1195</v>
      </c>
      <c r="F25" s="49" t="s">
        <v>1763</v>
      </c>
      <c r="G25" s="49" t="s">
        <v>1756</v>
      </c>
      <c r="H25">
        <v>2</v>
      </c>
      <c r="I25" s="49"/>
      <c r="J25"/>
      <c r="K25" s="49" t="s">
        <v>1788</v>
      </c>
    </row>
    <row r="26" spans="1:11">
      <c r="A26" s="49" t="s">
        <v>1744</v>
      </c>
      <c r="B26" s="49" t="s">
        <v>1155</v>
      </c>
      <c r="C26" t="s">
        <v>1190</v>
      </c>
      <c r="D26" s="49" t="s">
        <v>278</v>
      </c>
      <c r="E26" t="s">
        <v>1195</v>
      </c>
      <c r="F26" s="49" t="s">
        <v>1763</v>
      </c>
      <c r="G26" s="49" t="s">
        <v>1747</v>
      </c>
      <c r="H26">
        <v>1</v>
      </c>
      <c r="I26" s="49"/>
      <c r="J26" t="s">
        <v>1203</v>
      </c>
      <c r="K26" s="49" t="s">
        <v>1789</v>
      </c>
    </row>
    <row r="27" spans="1:11">
      <c r="A27" s="49" t="s">
        <v>1744</v>
      </c>
      <c r="B27" s="49" t="s">
        <v>1174</v>
      </c>
      <c r="C27" t="s">
        <v>1008</v>
      </c>
      <c r="D27" s="49" t="s">
        <v>347</v>
      </c>
      <c r="E27" s="49" t="s">
        <v>1195</v>
      </c>
      <c r="F27" s="49" t="s">
        <v>1763</v>
      </c>
      <c r="G27" s="49" t="s">
        <v>1745</v>
      </c>
      <c r="H27">
        <v>2</v>
      </c>
      <c r="I27" s="49"/>
      <c r="J27" t="s">
        <v>1223</v>
      </c>
      <c r="K27" s="49" t="s">
        <v>1790</v>
      </c>
    </row>
    <row r="28" spans="1:11">
      <c r="A28" s="49" t="s">
        <v>1744</v>
      </c>
      <c r="B28" s="49" t="s">
        <v>254</v>
      </c>
      <c r="C28" t="s">
        <v>1014</v>
      </c>
      <c r="D28" s="49" t="s">
        <v>347</v>
      </c>
      <c r="E28" t="s">
        <v>1195</v>
      </c>
      <c r="F28" s="49" t="s">
        <v>1763</v>
      </c>
      <c r="G28" s="49" t="s">
        <v>1749</v>
      </c>
      <c r="H28">
        <v>1</v>
      </c>
      <c r="I28" s="49" t="s">
        <v>1229</v>
      </c>
      <c r="J28" t="s">
        <v>1210</v>
      </c>
      <c r="K28" s="49" t="s">
        <v>1791</v>
      </c>
    </row>
    <row r="29" spans="1:11">
      <c r="A29" s="49" t="s">
        <v>1744</v>
      </c>
      <c r="B29" s="49" t="s">
        <v>1167</v>
      </c>
      <c r="C29" t="s">
        <v>1014</v>
      </c>
      <c r="D29" s="49" t="s">
        <v>278</v>
      </c>
      <c r="E29" t="s">
        <v>1216</v>
      </c>
      <c r="F29" s="49" t="s">
        <v>1763</v>
      </c>
      <c r="G29" s="49" t="s">
        <v>1753</v>
      </c>
      <c r="H29">
        <v>1</v>
      </c>
      <c r="I29" s="49"/>
      <c r="J29" t="s">
        <v>1217</v>
      </c>
      <c r="K29" s="49" t="s">
        <v>1792</v>
      </c>
    </row>
    <row r="30" spans="1:11">
      <c r="A30" s="49" t="s">
        <v>1744</v>
      </c>
      <c r="B30" s="49" t="s">
        <v>1175</v>
      </c>
      <c r="C30" t="s">
        <v>1188</v>
      </c>
      <c r="D30" s="49" t="s">
        <v>348</v>
      </c>
      <c r="E30" s="49" t="s">
        <v>1195</v>
      </c>
      <c r="F30" s="49" t="s">
        <v>1763</v>
      </c>
      <c r="G30" s="49" t="s">
        <v>1747</v>
      </c>
      <c r="H30">
        <v>1</v>
      </c>
      <c r="I30" s="49"/>
      <c r="J30" t="s">
        <v>1224</v>
      </c>
      <c r="K30" s="49" t="s">
        <v>1793</v>
      </c>
    </row>
    <row r="31" spans="1:11" s="49" customFormat="1">
      <c r="A31" s="49" t="s">
        <v>1744</v>
      </c>
      <c r="B31" s="49" t="s">
        <v>1761</v>
      </c>
      <c r="K31" s="49" t="s">
        <v>1794</v>
      </c>
    </row>
    <row r="32" spans="1:11">
      <c r="A32" s="49" t="s">
        <v>1744</v>
      </c>
      <c r="B32" s="49" t="s">
        <v>253</v>
      </c>
      <c r="C32" t="s">
        <v>977</v>
      </c>
      <c r="D32" s="49" t="s">
        <v>347</v>
      </c>
      <c r="E32" t="s">
        <v>1201</v>
      </c>
      <c r="F32" s="49" t="s">
        <v>1763</v>
      </c>
      <c r="G32" s="49" t="s">
        <v>1749</v>
      </c>
      <c r="H32">
        <v>1</v>
      </c>
      <c r="I32" s="49" t="s">
        <v>1229</v>
      </c>
      <c r="J32" t="s">
        <v>1202</v>
      </c>
      <c r="K32" s="49" t="s">
        <v>1795</v>
      </c>
    </row>
    <row r="33" spans="1:11">
      <c r="A33" s="49" t="s">
        <v>1744</v>
      </c>
      <c r="B33" s="49" t="s">
        <v>1157</v>
      </c>
      <c r="C33" t="s">
        <v>977</v>
      </c>
      <c r="D33" s="49" t="s">
        <v>348</v>
      </c>
      <c r="E33" t="s">
        <v>1195</v>
      </c>
      <c r="F33" s="49" t="s">
        <v>1763</v>
      </c>
      <c r="G33" s="49" t="s">
        <v>1749</v>
      </c>
      <c r="H33">
        <v>1</v>
      </c>
      <c r="I33" s="49" t="s">
        <v>1229</v>
      </c>
      <c r="J33" t="s">
        <v>1205</v>
      </c>
      <c r="K33" s="49" t="s">
        <v>1796</v>
      </c>
    </row>
    <row r="34" spans="1:11">
      <c r="A34" s="49" t="s">
        <v>1744</v>
      </c>
      <c r="B34" s="49" t="s">
        <v>1164</v>
      </c>
      <c r="C34" t="s">
        <v>1183</v>
      </c>
      <c r="D34" s="49" t="s">
        <v>348</v>
      </c>
      <c r="E34" t="s">
        <v>1201</v>
      </c>
      <c r="F34" s="49" t="s">
        <v>1763</v>
      </c>
      <c r="G34" s="49" t="s">
        <v>1752</v>
      </c>
      <c r="H34">
        <v>1</v>
      </c>
      <c r="I34" s="49" t="s">
        <v>1229</v>
      </c>
      <c r="J34" t="s">
        <v>1213</v>
      </c>
      <c r="K34" s="49" t="s">
        <v>1797</v>
      </c>
    </row>
    <row r="35" spans="1:11">
      <c r="A35" s="49" t="s">
        <v>1744</v>
      </c>
      <c r="B35" s="49" t="s">
        <v>252</v>
      </c>
      <c r="C35" t="s">
        <v>1185</v>
      </c>
      <c r="D35" s="49" t="s">
        <v>347</v>
      </c>
      <c r="E35" t="s">
        <v>1195</v>
      </c>
      <c r="F35" s="49" t="s">
        <v>1763</v>
      </c>
      <c r="G35" s="49" t="s">
        <v>1753</v>
      </c>
      <c r="H35">
        <v>2</v>
      </c>
      <c r="I35" s="49" t="s">
        <v>1229</v>
      </c>
      <c r="J35" t="s">
        <v>1228</v>
      </c>
      <c r="K35" s="49" t="s">
        <v>1798</v>
      </c>
    </row>
    <row r="36" spans="1:11">
      <c r="A36" s="49" t="s">
        <v>1744</v>
      </c>
      <c r="B36" s="49" t="s">
        <v>1181</v>
      </c>
      <c r="C36" t="s">
        <v>1186</v>
      </c>
      <c r="D36" s="49" t="s">
        <v>347</v>
      </c>
      <c r="E36" t="s">
        <v>1195</v>
      </c>
      <c r="F36" s="49" t="s">
        <v>1763</v>
      </c>
      <c r="G36" s="49" t="s">
        <v>1753</v>
      </c>
      <c r="H36">
        <v>5</v>
      </c>
      <c r="I36" s="49" t="s">
        <v>1229</v>
      </c>
      <c r="J36" t="s">
        <v>1234</v>
      </c>
      <c r="K36" s="49" t="s">
        <v>1799</v>
      </c>
    </row>
    <row r="37" spans="1:11">
      <c r="A37" s="49" t="s">
        <v>1744</v>
      </c>
      <c r="B37" s="49" t="s">
        <v>1162</v>
      </c>
      <c r="C37" t="s">
        <v>1191</v>
      </c>
      <c r="D37" s="49" t="s">
        <v>348</v>
      </c>
      <c r="E37" s="49" t="s">
        <v>1195</v>
      </c>
      <c r="F37" s="49" t="s">
        <v>1763</v>
      </c>
      <c r="G37" s="49" t="s">
        <v>1747</v>
      </c>
      <c r="H37">
        <v>1</v>
      </c>
      <c r="I37" s="49" t="s">
        <v>1229</v>
      </c>
      <c r="J37" t="s">
        <v>1211</v>
      </c>
      <c r="K37" s="49" t="s">
        <v>1800</v>
      </c>
    </row>
    <row r="38" spans="1:11">
      <c r="A38" s="49" t="s">
        <v>1744</v>
      </c>
      <c r="B38" s="49" t="s">
        <v>1171</v>
      </c>
      <c r="C38" t="s">
        <v>1187</v>
      </c>
      <c r="D38" s="49" t="s">
        <v>348</v>
      </c>
      <c r="E38" t="s">
        <v>1195</v>
      </c>
      <c r="F38" s="49" t="s">
        <v>1763</v>
      </c>
      <c r="G38" s="49" t="s">
        <v>1754</v>
      </c>
      <c r="H38" t="s">
        <v>1220</v>
      </c>
      <c r="I38" s="49" t="s">
        <v>1229</v>
      </c>
      <c r="J38" t="s">
        <v>1221</v>
      </c>
      <c r="K38" s="49" t="s">
        <v>1801</v>
      </c>
    </row>
    <row r="39" spans="1:11">
      <c r="A39" s="49" t="s">
        <v>1744</v>
      </c>
      <c r="B39" s="49" t="s">
        <v>251</v>
      </c>
      <c r="C39" t="s">
        <v>1188</v>
      </c>
      <c r="D39" s="49" t="s">
        <v>278</v>
      </c>
      <c r="E39" t="s">
        <v>1195</v>
      </c>
      <c r="F39" s="49" t="s">
        <v>1763</v>
      </c>
      <c r="G39" s="49" t="s">
        <v>1753</v>
      </c>
      <c r="H39">
        <v>2</v>
      </c>
      <c r="I39" s="49" t="s">
        <v>1229</v>
      </c>
      <c r="J39" t="s">
        <v>1232</v>
      </c>
      <c r="K39" s="49" t="s">
        <v>1802</v>
      </c>
    </row>
    <row r="40" spans="1:11">
      <c r="A40" s="49" t="s">
        <v>1744</v>
      </c>
      <c r="B40" s="49" t="s">
        <v>1163</v>
      </c>
      <c r="C40" t="s">
        <v>1026</v>
      </c>
      <c r="D40" s="49" t="s">
        <v>348</v>
      </c>
      <c r="E40" s="49" t="s">
        <v>1195</v>
      </c>
      <c r="F40" s="49" t="s">
        <v>1763</v>
      </c>
      <c r="G40" s="49" t="s">
        <v>1749</v>
      </c>
      <c r="H40">
        <v>2</v>
      </c>
      <c r="I40" s="49" t="s">
        <v>1229</v>
      </c>
      <c r="J40" t="s">
        <v>1212</v>
      </c>
      <c r="K40" s="49" t="s">
        <v>1803</v>
      </c>
    </row>
    <row r="41" spans="1:11">
      <c r="B41"/>
      <c r="G41" s="49"/>
      <c r="J41"/>
      <c r="K41" s="49"/>
    </row>
    <row r="42" spans="1:11">
      <c r="B42"/>
      <c r="G42" s="49"/>
      <c r="J42"/>
      <c r="K42" s="49"/>
    </row>
    <row r="43" spans="1:11">
      <c r="B43" t="s">
        <v>1150</v>
      </c>
      <c r="C43" t="s">
        <v>5</v>
      </c>
      <c r="D43" t="s">
        <v>347</v>
      </c>
      <c r="E43" t="s">
        <v>1195</v>
      </c>
      <c r="F43" s="49" t="s">
        <v>1149</v>
      </c>
      <c r="G43" t="s">
        <v>1745</v>
      </c>
      <c r="H43">
        <v>1</v>
      </c>
      <c r="K43" s="49"/>
    </row>
    <row r="44" spans="1:11" s="49" customFormat="1">
      <c r="B44" s="49" t="s">
        <v>1165</v>
      </c>
      <c r="C44" s="49" t="s">
        <v>979</v>
      </c>
      <c r="D44" s="49" t="s">
        <v>347</v>
      </c>
      <c r="E44" s="49" t="s">
        <v>1201</v>
      </c>
      <c r="F44" s="49" t="s">
        <v>1149</v>
      </c>
      <c r="G44" s="49" t="s">
        <v>1747</v>
      </c>
      <c r="H44" s="49">
        <v>1</v>
      </c>
      <c r="J44" s="49" t="s">
        <v>770</v>
      </c>
    </row>
    <row r="45" spans="1:11" s="49" customFormat="1">
      <c r="B45" s="49" t="s">
        <v>1170</v>
      </c>
      <c r="C45" s="49" t="s">
        <v>981</v>
      </c>
      <c r="D45" s="49" t="s">
        <v>347</v>
      </c>
      <c r="E45" s="49" t="s">
        <v>1195</v>
      </c>
      <c r="F45" s="49" t="s">
        <v>1149</v>
      </c>
      <c r="G45" s="49" t="s">
        <v>1747</v>
      </c>
      <c r="H45" s="49">
        <v>1</v>
      </c>
      <c r="J45" s="49" t="s">
        <v>157</v>
      </c>
    </row>
    <row r="46" spans="1:11" s="49" customFormat="1">
      <c r="B46" s="49" t="s">
        <v>1159</v>
      </c>
      <c r="C46" s="49" t="s">
        <v>1012</v>
      </c>
      <c r="D46" s="49" t="s">
        <v>347</v>
      </c>
      <c r="E46" s="49" t="s">
        <v>1195</v>
      </c>
      <c r="F46" s="49" t="s">
        <v>1149</v>
      </c>
      <c r="G46" s="49" t="s">
        <v>1745</v>
      </c>
      <c r="H46" s="49">
        <v>2</v>
      </c>
      <c r="J46" s="49" t="s">
        <v>1207</v>
      </c>
    </row>
    <row r="47" spans="1:11">
      <c r="B47" t="s">
        <v>1166</v>
      </c>
      <c r="C47" t="s">
        <v>1014</v>
      </c>
      <c r="D47" t="s">
        <v>347</v>
      </c>
      <c r="E47" t="s">
        <v>1195</v>
      </c>
      <c r="F47" s="49" t="s">
        <v>1149</v>
      </c>
      <c r="G47" t="s">
        <v>1747</v>
      </c>
      <c r="H47">
        <v>1</v>
      </c>
      <c r="J47" s="49" t="s">
        <v>158</v>
      </c>
      <c r="K47" s="49"/>
    </row>
    <row r="48" spans="1:11">
      <c r="B48" t="s">
        <v>1176</v>
      </c>
      <c r="C48" t="s">
        <v>1189</v>
      </c>
      <c r="D48" t="s">
        <v>278</v>
      </c>
      <c r="E48" t="s">
        <v>2083</v>
      </c>
      <c r="F48" s="49" t="s">
        <v>1149</v>
      </c>
      <c r="G48" t="s">
        <v>1755</v>
      </c>
      <c r="H48">
        <v>1</v>
      </c>
      <c r="J48" s="49" t="s">
        <v>1225</v>
      </c>
      <c r="K48" s="49"/>
    </row>
    <row r="49" spans="2:15">
      <c r="B49"/>
      <c r="K49" s="49"/>
    </row>
    <row r="50" spans="2:15">
      <c r="B50" t="s">
        <v>1150</v>
      </c>
      <c r="C50" t="s">
        <v>5</v>
      </c>
      <c r="K50" s="49"/>
    </row>
    <row r="51" spans="2:15">
      <c r="B51" t="s">
        <v>1154</v>
      </c>
      <c r="C51" t="s">
        <v>977</v>
      </c>
      <c r="K51" s="49"/>
    </row>
    <row r="52" spans="2:15">
      <c r="B52" t="s">
        <v>1165</v>
      </c>
      <c r="C52" t="s">
        <v>979</v>
      </c>
      <c r="K52" s="49"/>
    </row>
    <row r="53" spans="2:15">
      <c r="B53" t="s">
        <v>1168</v>
      </c>
      <c r="C53" t="s">
        <v>981</v>
      </c>
      <c r="K53" s="49"/>
    </row>
    <row r="54" spans="2:15">
      <c r="B54" t="s">
        <v>1170</v>
      </c>
      <c r="C54" t="s">
        <v>981</v>
      </c>
      <c r="K54" s="49"/>
    </row>
    <row r="55" spans="2:15">
      <c r="B55" t="s">
        <v>1177</v>
      </c>
      <c r="C55" t="s">
        <v>986</v>
      </c>
      <c r="K55" s="49"/>
    </row>
    <row r="56" spans="2:15">
      <c r="B56" t="s">
        <v>1180</v>
      </c>
      <c r="C56" t="s">
        <v>1184</v>
      </c>
      <c r="K56" s="49"/>
    </row>
    <row r="57" spans="2:15">
      <c r="B57"/>
      <c r="K57" s="49"/>
    </row>
    <row r="58" spans="2:15">
      <c r="B58" t="s">
        <v>1160</v>
      </c>
      <c r="C58" t="s">
        <v>1006</v>
      </c>
      <c r="K58" s="49"/>
    </row>
    <row r="59" spans="2:15">
      <c r="B59" t="s">
        <v>1161</v>
      </c>
      <c r="C59" t="s">
        <v>974</v>
      </c>
      <c r="K59" s="49"/>
    </row>
    <row r="60" spans="2:15">
      <c r="B60" t="s">
        <v>1169</v>
      </c>
      <c r="C60" t="s">
        <v>1008</v>
      </c>
      <c r="K60" s="49"/>
    </row>
    <row r="61" spans="2:15">
      <c r="B61"/>
      <c r="K61" s="49"/>
    </row>
    <row r="62" spans="2:15">
      <c r="B62" t="s">
        <v>1159</v>
      </c>
      <c r="C62" t="s">
        <v>1012</v>
      </c>
      <c r="K62" s="49"/>
    </row>
    <row r="63" spans="2:15">
      <c r="B63" t="s">
        <v>1166</v>
      </c>
      <c r="C63" t="s">
        <v>1014</v>
      </c>
      <c r="K63" s="49"/>
      <c r="M63" t="s">
        <v>1150</v>
      </c>
      <c r="N63" t="s">
        <v>5</v>
      </c>
      <c r="O63" t="s">
        <v>923</v>
      </c>
    </row>
    <row r="64" spans="2:15">
      <c r="B64" t="s">
        <v>1176</v>
      </c>
      <c r="C64" t="s">
        <v>1189</v>
      </c>
      <c r="K64" s="49"/>
      <c r="M64" t="s">
        <v>1165</v>
      </c>
      <c r="N64" t="s">
        <v>979</v>
      </c>
      <c r="O64" t="s">
        <v>923</v>
      </c>
    </row>
    <row r="65" spans="2:15">
      <c r="B65" t="s">
        <v>1179</v>
      </c>
      <c r="C65" t="s">
        <v>1021</v>
      </c>
      <c r="M65" t="s">
        <v>1170</v>
      </c>
      <c r="N65" t="s">
        <v>981</v>
      </c>
      <c r="O65" t="s">
        <v>923</v>
      </c>
    </row>
    <row r="66" spans="2:15">
      <c r="M66" t="s">
        <v>1159</v>
      </c>
      <c r="N66" t="s">
        <v>1012</v>
      </c>
      <c r="O66" t="s">
        <v>923</v>
      </c>
    </row>
    <row r="67" spans="2:15">
      <c r="B67" t="s">
        <v>1151</v>
      </c>
      <c r="C67" t="s">
        <v>5</v>
      </c>
      <c r="M67" t="s">
        <v>1166</v>
      </c>
      <c r="N67" t="s">
        <v>1014</v>
      </c>
      <c r="O67" t="s">
        <v>923</v>
      </c>
    </row>
    <row r="68" spans="2:15">
      <c r="B68" t="s">
        <v>1152</v>
      </c>
      <c r="C68" t="s">
        <v>1182</v>
      </c>
      <c r="M68" t="s">
        <v>1176</v>
      </c>
      <c r="N68" t="s">
        <v>1189</v>
      </c>
      <c r="O68" t="s">
        <v>923</v>
      </c>
    </row>
    <row r="69" spans="2:15" s="49" customFormat="1">
      <c r="B69" t="s">
        <v>1153</v>
      </c>
      <c r="C69" t="s">
        <v>977</v>
      </c>
      <c r="D69"/>
    </row>
    <row r="70" spans="2:15" s="49" customFormat="1">
      <c r="B70" t="s">
        <v>1156</v>
      </c>
      <c r="C70" t="s">
        <v>1182</v>
      </c>
      <c r="D70"/>
      <c r="M70" s="49" t="s">
        <v>1152</v>
      </c>
      <c r="N70" s="49" t="s">
        <v>1182</v>
      </c>
      <c r="O70" s="49" t="s">
        <v>787</v>
      </c>
    </row>
    <row r="71" spans="2:15" s="49" customFormat="1">
      <c r="B71" t="s">
        <v>1158</v>
      </c>
      <c r="C71" t="s">
        <v>977</v>
      </c>
      <c r="D71"/>
      <c r="M71" s="49" t="s">
        <v>254</v>
      </c>
      <c r="N71" s="49" t="s">
        <v>1014</v>
      </c>
      <c r="O71" s="49" t="s">
        <v>787</v>
      </c>
    </row>
    <row r="72" spans="2:15">
      <c r="B72" t="s">
        <v>1172</v>
      </c>
      <c r="C72" t="s">
        <v>981</v>
      </c>
      <c r="M72" s="49"/>
      <c r="N72" s="49"/>
      <c r="O72" s="49"/>
    </row>
    <row r="73" spans="2:15">
      <c r="B73" t="s">
        <v>1173</v>
      </c>
      <c r="C73" t="s">
        <v>981</v>
      </c>
      <c r="M73" t="s">
        <v>253</v>
      </c>
      <c r="N73" t="s">
        <v>977</v>
      </c>
      <c r="O73" t="s">
        <v>2</v>
      </c>
    </row>
    <row r="74" spans="2:15">
      <c r="B74" t="s">
        <v>1178</v>
      </c>
      <c r="C74" t="s">
        <v>1184</v>
      </c>
      <c r="M74" t="s">
        <v>251</v>
      </c>
      <c r="N74" t="s">
        <v>1188</v>
      </c>
      <c r="O74" t="s">
        <v>2</v>
      </c>
    </row>
    <row r="75" spans="2:15">
      <c r="B75"/>
    </row>
    <row r="76" spans="2:15">
      <c r="B76" t="s">
        <v>1155</v>
      </c>
      <c r="C76" t="s">
        <v>1190</v>
      </c>
      <c r="M76" t="s">
        <v>1181</v>
      </c>
      <c r="N76" t="s">
        <v>1186</v>
      </c>
      <c r="O76" t="s">
        <v>1233</v>
      </c>
    </row>
    <row r="77" spans="2:15">
      <c r="B77" t="s">
        <v>1174</v>
      </c>
      <c r="C77" t="s">
        <v>1008</v>
      </c>
    </row>
    <row r="79" spans="2:15">
      <c r="B79" t="s">
        <v>254</v>
      </c>
      <c r="C79" t="s">
        <v>1014</v>
      </c>
    </row>
    <row r="80" spans="2:15">
      <c r="B80" t="s">
        <v>1167</v>
      </c>
      <c r="C80" t="s">
        <v>1014</v>
      </c>
    </row>
    <row r="81" spans="2:3">
      <c r="B81" t="s">
        <v>1175</v>
      </c>
      <c r="C81" t="s">
        <v>1188</v>
      </c>
    </row>
    <row r="85" spans="2:3">
      <c r="B85" t="s">
        <v>253</v>
      </c>
      <c r="C85" t="s">
        <v>977</v>
      </c>
    </row>
    <row r="86" spans="2:3">
      <c r="B86" t="s">
        <v>1157</v>
      </c>
      <c r="C86" t="s">
        <v>977</v>
      </c>
    </row>
    <row r="87" spans="2:3">
      <c r="B87" t="s">
        <v>1164</v>
      </c>
      <c r="C87" t="s">
        <v>1183</v>
      </c>
    </row>
    <row r="88" spans="2:3">
      <c r="B88" t="s">
        <v>252</v>
      </c>
      <c r="C88" t="s">
        <v>1185</v>
      </c>
    </row>
    <row r="89" spans="2:3">
      <c r="B89" t="s">
        <v>1181</v>
      </c>
      <c r="C89" t="s">
        <v>1186</v>
      </c>
    </row>
    <row r="90" spans="2:3">
      <c r="B90"/>
    </row>
    <row r="91" spans="2:3">
      <c r="B91" t="s">
        <v>1162</v>
      </c>
      <c r="C91" t="s">
        <v>1191</v>
      </c>
    </row>
    <row r="92" spans="2:3">
      <c r="B92"/>
    </row>
    <row r="93" spans="2:3">
      <c r="B93" t="s">
        <v>1171</v>
      </c>
      <c r="C93" t="s">
        <v>1187</v>
      </c>
    </row>
    <row r="94" spans="2:3">
      <c r="B94" t="s">
        <v>251</v>
      </c>
      <c r="C94" t="s">
        <v>1188</v>
      </c>
    </row>
    <row r="96" spans="2:3">
      <c r="B96" t="s">
        <v>1163</v>
      </c>
      <c r="C96" t="s">
        <v>1026</v>
      </c>
    </row>
    <row r="97" spans="2:2">
      <c r="B97"/>
    </row>
    <row r="98" spans="2:2">
      <c r="B98"/>
    </row>
    <row r="99" spans="2:2">
      <c r="B99"/>
    </row>
    <row r="100" spans="2:2">
      <c r="B100"/>
    </row>
    <row r="101" spans="2:2">
      <c r="B101"/>
    </row>
    <row r="102" spans="2:2">
      <c r="B102"/>
    </row>
    <row r="103" spans="2:2">
      <c r="B103"/>
    </row>
    <row r="104" spans="2:2">
      <c r="B104"/>
    </row>
    <row r="105" spans="2:2">
      <c r="B105"/>
    </row>
    <row r="106" spans="2:2">
      <c r="B106"/>
    </row>
    <row r="107" spans="2:2">
      <c r="B107"/>
    </row>
    <row r="108" spans="2:2">
      <c r="B108"/>
    </row>
    <row r="109" spans="2:2">
      <c r="B109"/>
    </row>
    <row r="110" spans="2:2">
      <c r="B110"/>
    </row>
    <row r="111" spans="2:2">
      <c r="B111"/>
    </row>
    <row r="112" spans="2:2">
      <c r="B112"/>
    </row>
    <row r="113" spans="2:2">
      <c r="B113"/>
    </row>
    <row r="114" spans="2:2">
      <c r="B114"/>
    </row>
    <row r="115" spans="2:2">
      <c r="B115"/>
    </row>
    <row r="116" spans="2:2">
      <c r="B116"/>
    </row>
    <row r="117" spans="2:2">
      <c r="B117"/>
    </row>
    <row r="118" spans="2:2">
      <c r="B118"/>
    </row>
    <row r="119" spans="2:2">
      <c r="B119"/>
    </row>
    <row r="120" spans="2:2">
      <c r="B120"/>
    </row>
    <row r="121" spans="2:2">
      <c r="B121"/>
    </row>
    <row r="122" spans="2:2">
      <c r="B122"/>
    </row>
    <row r="123" spans="2:2">
      <c r="B123"/>
    </row>
    <row r="124" spans="2:2">
      <c r="B124"/>
    </row>
    <row r="125" spans="2:2">
      <c r="B125"/>
    </row>
    <row r="126" spans="2:2">
      <c r="B126"/>
    </row>
    <row r="127" spans="2:2">
      <c r="B127"/>
    </row>
    <row r="128" spans="2:2">
      <c r="B128"/>
    </row>
    <row r="129" spans="2:2">
      <c r="B129"/>
    </row>
    <row r="130" spans="2:2">
      <c r="B130"/>
    </row>
    <row r="131" spans="2:2">
      <c r="B131"/>
    </row>
    <row r="132" spans="2:2">
      <c r="B132"/>
    </row>
    <row r="133" spans="2:2">
      <c r="B133"/>
    </row>
    <row r="134" spans="2:2">
      <c r="B134"/>
    </row>
    <row r="135" spans="2:2">
      <c r="B135"/>
    </row>
    <row r="136" spans="2:2">
      <c r="B136"/>
    </row>
    <row r="137" spans="2:2">
      <c r="B137"/>
    </row>
    <row r="138" spans="2:2">
      <c r="B138"/>
    </row>
    <row r="139" spans="2:2">
      <c r="B139"/>
    </row>
    <row r="140" spans="2:2">
      <c r="B140"/>
    </row>
    <row r="141" spans="2:2">
      <c r="B141"/>
    </row>
    <row r="142" spans="2:2">
      <c r="B142"/>
    </row>
    <row r="143" spans="2:2">
      <c r="B143"/>
    </row>
    <row r="144" spans="2:2">
      <c r="B144"/>
    </row>
    <row r="145" spans="2:2">
      <c r="B145"/>
    </row>
    <row r="146" spans="2:2">
      <c r="B146"/>
    </row>
    <row r="147" spans="2:2">
      <c r="B147"/>
    </row>
    <row r="148" spans="2:2">
      <c r="B148"/>
    </row>
    <row r="149" spans="2:2">
      <c r="B149"/>
    </row>
    <row r="150" spans="2:2">
      <c r="B150"/>
    </row>
    <row r="151" spans="2:2">
      <c r="B151"/>
    </row>
    <row r="152" spans="2:2">
      <c r="B152"/>
    </row>
    <row r="153" spans="2:2">
      <c r="B153"/>
    </row>
    <row r="154" spans="2:2">
      <c r="B154"/>
    </row>
    <row r="155" spans="2:2">
      <c r="B155"/>
    </row>
    <row r="156" spans="2:2">
      <c r="B156"/>
    </row>
    <row r="157" spans="2:2">
      <c r="B157"/>
    </row>
    <row r="158" spans="2:2">
      <c r="B158"/>
    </row>
    <row r="159" spans="2:2">
      <c r="B159"/>
    </row>
    <row r="160" spans="2:2">
      <c r="B160"/>
    </row>
    <row r="161" spans="2:2">
      <c r="B161"/>
    </row>
    <row r="162" spans="2:2">
      <c r="B162"/>
    </row>
    <row r="163" spans="2:2">
      <c r="B163"/>
    </row>
    <row r="164" spans="2:2">
      <c r="B164"/>
    </row>
    <row r="165" spans="2:2">
      <c r="B165"/>
    </row>
    <row r="166" spans="2:2">
      <c r="B166"/>
    </row>
    <row r="167" spans="2:2">
      <c r="B167"/>
    </row>
    <row r="168" spans="2:2">
      <c r="B168"/>
    </row>
    <row r="169" spans="2:2">
      <c r="B169"/>
    </row>
    <row r="170" spans="2:2">
      <c r="B170"/>
    </row>
    <row r="171" spans="2:2">
      <c r="B171"/>
    </row>
    <row r="172" spans="2:2">
      <c r="B172"/>
    </row>
    <row r="173" spans="2:2">
      <c r="B173"/>
    </row>
    <row r="174" spans="2:2">
      <c r="B174"/>
    </row>
    <row r="175" spans="2:2">
      <c r="B175"/>
    </row>
    <row r="176" spans="2:2">
      <c r="B176"/>
    </row>
    <row r="177" spans="2:2">
      <c r="B177"/>
    </row>
    <row r="178" spans="2:2">
      <c r="B178"/>
    </row>
    <row r="179" spans="2:2">
      <c r="B179"/>
    </row>
    <row r="180" spans="2:2">
      <c r="B180"/>
    </row>
    <row r="181" spans="2:2">
      <c r="B181"/>
    </row>
    <row r="182" spans="2:2">
      <c r="B182"/>
    </row>
    <row r="183" spans="2:2">
      <c r="B183"/>
    </row>
    <row r="184" spans="2:2">
      <c r="B184"/>
    </row>
    <row r="185" spans="2:2">
      <c r="B185"/>
    </row>
    <row r="186" spans="2:2">
      <c r="B186"/>
    </row>
    <row r="187" spans="2:2">
      <c r="B187"/>
    </row>
    <row r="188" spans="2:2">
      <c r="B188"/>
    </row>
    <row r="189" spans="2:2">
      <c r="B189"/>
    </row>
    <row r="190" spans="2:2">
      <c r="B190"/>
    </row>
    <row r="191" spans="2:2">
      <c r="B191"/>
    </row>
    <row r="192" spans="2:2">
      <c r="B192"/>
    </row>
    <row r="193" spans="2:2">
      <c r="B193"/>
    </row>
    <row r="194" spans="2:2">
      <c r="B194"/>
    </row>
    <row r="195" spans="2:2">
      <c r="B195"/>
    </row>
    <row r="196" spans="2:2">
      <c r="B196"/>
    </row>
    <row r="197" spans="2:2">
      <c r="B197"/>
    </row>
    <row r="198" spans="2:2">
      <c r="B198"/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I37"/>
  <sheetViews>
    <sheetView workbookViewId="0">
      <selection activeCell="B21" sqref="B21"/>
    </sheetView>
  </sheetViews>
  <sheetFormatPr defaultRowHeight="13.5"/>
  <cols>
    <col min="1" max="1" width="4.125" style="49" customWidth="1"/>
    <col min="2" max="2" width="19.75" bestFit="1" customWidth="1"/>
    <col min="3" max="4" width="5.25" bestFit="1" customWidth="1"/>
    <col min="5" max="5" width="2.75" bestFit="1" customWidth="1"/>
    <col min="7" max="7" width="5.625" customWidth="1"/>
    <col min="8" max="8" width="4.5" style="58" bestFit="1" customWidth="1"/>
  </cols>
  <sheetData>
    <row r="1" spans="1:9">
      <c r="B1" t="s">
        <v>1408</v>
      </c>
    </row>
    <row r="2" spans="1:9">
      <c r="A2" s="49" t="s">
        <v>1147</v>
      </c>
      <c r="B2" t="s">
        <v>1425</v>
      </c>
      <c r="C2" t="s">
        <v>981</v>
      </c>
      <c r="D2" t="s">
        <v>348</v>
      </c>
      <c r="E2" t="s">
        <v>923</v>
      </c>
      <c r="F2" t="s">
        <v>1414</v>
      </c>
      <c r="H2" s="58" t="s">
        <v>1477</v>
      </c>
      <c r="I2" t="s">
        <v>1426</v>
      </c>
    </row>
    <row r="3" spans="1:9">
      <c r="B3" t="s">
        <v>1433</v>
      </c>
      <c r="C3" t="s">
        <v>986</v>
      </c>
      <c r="D3" t="s">
        <v>278</v>
      </c>
      <c r="E3" t="s">
        <v>923</v>
      </c>
      <c r="F3" t="s">
        <v>1414</v>
      </c>
      <c r="H3" s="58" t="s">
        <v>1479</v>
      </c>
      <c r="I3" t="s">
        <v>1434</v>
      </c>
    </row>
    <row r="4" spans="1:9">
      <c r="A4" s="49" t="s">
        <v>1147</v>
      </c>
      <c r="B4" t="s">
        <v>1437</v>
      </c>
      <c r="C4" t="s">
        <v>986</v>
      </c>
      <c r="D4" t="s">
        <v>347</v>
      </c>
      <c r="E4" t="s">
        <v>923</v>
      </c>
      <c r="F4" t="s">
        <v>1414</v>
      </c>
      <c r="H4" s="58" t="s">
        <v>1480</v>
      </c>
      <c r="I4" t="s">
        <v>1438</v>
      </c>
    </row>
    <row r="5" spans="1:9" s="49" customFormat="1">
      <c r="H5" s="58"/>
    </row>
    <row r="6" spans="1:9">
      <c r="B6" t="s">
        <v>1413</v>
      </c>
      <c r="C6" t="s">
        <v>1006</v>
      </c>
      <c r="D6" t="s">
        <v>278</v>
      </c>
      <c r="E6" t="s">
        <v>923</v>
      </c>
      <c r="F6" t="s">
        <v>1414</v>
      </c>
      <c r="H6" s="58" t="s">
        <v>1415</v>
      </c>
      <c r="I6" t="s">
        <v>1416</v>
      </c>
    </row>
    <row r="7" spans="1:9">
      <c r="B7" t="s">
        <v>1419</v>
      </c>
      <c r="C7" t="s">
        <v>974</v>
      </c>
      <c r="D7" t="s">
        <v>347</v>
      </c>
      <c r="E7" t="s">
        <v>923</v>
      </c>
      <c r="F7" t="s">
        <v>1414</v>
      </c>
      <c r="H7" s="58" t="s">
        <v>1475</v>
      </c>
      <c r="I7" t="s">
        <v>1420</v>
      </c>
    </row>
    <row r="8" spans="1:9">
      <c r="A8" s="49" t="s">
        <v>1147</v>
      </c>
      <c r="B8" t="s">
        <v>1421</v>
      </c>
      <c r="C8" t="s">
        <v>1008</v>
      </c>
      <c r="D8" t="s">
        <v>278</v>
      </c>
      <c r="E8" t="s">
        <v>923</v>
      </c>
      <c r="F8" t="s">
        <v>1414</v>
      </c>
      <c r="H8" s="58" t="s">
        <v>1476</v>
      </c>
      <c r="I8" t="s">
        <v>1422</v>
      </c>
    </row>
    <row r="9" spans="1:9">
      <c r="B9" t="s">
        <v>1423</v>
      </c>
      <c r="C9" t="s">
        <v>1008</v>
      </c>
      <c r="D9" t="s">
        <v>347</v>
      </c>
      <c r="E9" t="s">
        <v>923</v>
      </c>
      <c r="F9" t="s">
        <v>1414</v>
      </c>
      <c r="H9" s="58" t="s">
        <v>1475</v>
      </c>
      <c r="I9" t="s">
        <v>1424</v>
      </c>
    </row>
    <row r="10" spans="1:9">
      <c r="A10" s="49" t="s">
        <v>1147</v>
      </c>
      <c r="B10" t="s">
        <v>1429</v>
      </c>
      <c r="C10" t="s">
        <v>1011</v>
      </c>
      <c r="D10" t="s">
        <v>347</v>
      </c>
      <c r="E10" t="s">
        <v>923</v>
      </c>
      <c r="F10" t="s">
        <v>1414</v>
      </c>
      <c r="H10" s="58" t="s">
        <v>1478</v>
      </c>
      <c r="I10" t="s">
        <v>1430</v>
      </c>
    </row>
    <row r="11" spans="1:9">
      <c r="B11" t="s">
        <v>1441</v>
      </c>
      <c r="C11" t="s">
        <v>1011</v>
      </c>
      <c r="D11" t="s">
        <v>348</v>
      </c>
      <c r="E11" t="s">
        <v>923</v>
      </c>
      <c r="F11" t="s">
        <v>1414</v>
      </c>
      <c r="H11" s="58" t="s">
        <v>1475</v>
      </c>
      <c r="I11" t="s">
        <v>1442</v>
      </c>
    </row>
    <row r="12" spans="1:9" s="49" customFormat="1">
      <c r="H12" s="58"/>
    </row>
    <row r="13" spans="1:9">
      <c r="B13" t="s">
        <v>1409</v>
      </c>
      <c r="C13" t="s">
        <v>28</v>
      </c>
      <c r="D13" t="s">
        <v>278</v>
      </c>
      <c r="E13" t="s">
        <v>923</v>
      </c>
      <c r="F13" t="s">
        <v>1410</v>
      </c>
      <c r="G13" t="s">
        <v>1411</v>
      </c>
      <c r="H13" s="58" t="s">
        <v>1473</v>
      </c>
      <c r="I13" t="s">
        <v>1412</v>
      </c>
    </row>
    <row r="14" spans="1:9">
      <c r="B14" t="s">
        <v>1417</v>
      </c>
      <c r="C14" t="s">
        <v>1026</v>
      </c>
      <c r="D14" t="s">
        <v>278</v>
      </c>
      <c r="E14" t="s">
        <v>923</v>
      </c>
      <c r="F14" t="s">
        <v>1414</v>
      </c>
      <c r="H14" s="58" t="s">
        <v>1474</v>
      </c>
      <c r="I14" t="s">
        <v>1418</v>
      </c>
    </row>
    <row r="15" spans="1:9">
      <c r="A15" s="49" t="s">
        <v>1147</v>
      </c>
      <c r="B15" t="s">
        <v>1427</v>
      </c>
      <c r="C15" t="s">
        <v>1027</v>
      </c>
      <c r="D15" t="s">
        <v>347</v>
      </c>
      <c r="E15" t="s">
        <v>923</v>
      </c>
      <c r="F15" t="s">
        <v>1414</v>
      </c>
      <c r="H15" s="58" t="s">
        <v>1475</v>
      </c>
      <c r="I15" t="s">
        <v>1428</v>
      </c>
    </row>
    <row r="16" spans="1:9">
      <c r="B16" t="s">
        <v>1431</v>
      </c>
      <c r="C16" t="s">
        <v>1028</v>
      </c>
      <c r="D16" t="s">
        <v>348</v>
      </c>
      <c r="E16" t="s">
        <v>923</v>
      </c>
      <c r="F16" t="s">
        <v>1414</v>
      </c>
      <c r="H16" s="58" t="s">
        <v>1474</v>
      </c>
      <c r="I16" t="s">
        <v>1432</v>
      </c>
    </row>
    <row r="17" spans="1:9">
      <c r="B17" t="s">
        <v>1435</v>
      </c>
      <c r="C17" t="s">
        <v>1028</v>
      </c>
      <c r="D17" t="s">
        <v>347</v>
      </c>
      <c r="E17" t="s">
        <v>923</v>
      </c>
      <c r="F17" t="s">
        <v>1414</v>
      </c>
      <c r="H17" s="58" t="s">
        <v>1480</v>
      </c>
      <c r="I17" t="s">
        <v>1436</v>
      </c>
    </row>
    <row r="18" spans="1:9">
      <c r="A18" s="49" t="s">
        <v>2121</v>
      </c>
      <c r="B18" t="s">
        <v>1439</v>
      </c>
      <c r="C18" t="s">
        <v>1387</v>
      </c>
      <c r="D18" t="s">
        <v>278</v>
      </c>
      <c r="E18" t="s">
        <v>923</v>
      </c>
      <c r="F18" t="s">
        <v>1414</v>
      </c>
      <c r="H18" s="58" t="s">
        <v>1481</v>
      </c>
      <c r="I18" t="s">
        <v>1440</v>
      </c>
    </row>
    <row r="19" spans="1:9">
      <c r="B19" t="s">
        <v>1443</v>
      </c>
      <c r="C19" t="s">
        <v>1444</v>
      </c>
      <c r="D19" t="s">
        <v>347</v>
      </c>
      <c r="E19" t="s">
        <v>923</v>
      </c>
      <c r="F19" t="s">
        <v>1414</v>
      </c>
      <c r="H19" s="58" t="s">
        <v>1482</v>
      </c>
      <c r="I19" t="s">
        <v>1445</v>
      </c>
    </row>
    <row r="20" spans="1:9" s="49" customFormat="1">
      <c r="H20" s="58"/>
    </row>
    <row r="21" spans="1:9">
      <c r="B21" t="s">
        <v>1446</v>
      </c>
    </row>
    <row r="22" spans="1:9">
      <c r="A22" s="49" t="s">
        <v>1147</v>
      </c>
      <c r="B22" t="s">
        <v>1453</v>
      </c>
      <c r="C22" t="s">
        <v>1185</v>
      </c>
      <c r="D22" t="s">
        <v>347</v>
      </c>
      <c r="E22" t="s">
        <v>923</v>
      </c>
      <c r="F22" t="s">
        <v>1414</v>
      </c>
      <c r="H22" s="58" t="s">
        <v>1483</v>
      </c>
      <c r="I22" t="s">
        <v>1454</v>
      </c>
    </row>
    <row r="23" spans="1:9">
      <c r="B23" t="s">
        <v>1460</v>
      </c>
      <c r="C23" t="s">
        <v>1186</v>
      </c>
      <c r="D23" t="s">
        <v>348</v>
      </c>
      <c r="E23" t="s">
        <v>923</v>
      </c>
      <c r="F23" t="s">
        <v>1414</v>
      </c>
      <c r="H23" s="58" t="s">
        <v>1484</v>
      </c>
      <c r="I23" t="s">
        <v>1461</v>
      </c>
    </row>
    <row r="24" spans="1:9" s="49" customFormat="1">
      <c r="H24" s="58"/>
    </row>
    <row r="25" spans="1:9">
      <c r="B25" t="s">
        <v>1455</v>
      </c>
      <c r="C25" t="s">
        <v>1371</v>
      </c>
      <c r="D25" t="s">
        <v>347</v>
      </c>
      <c r="E25" t="s">
        <v>923</v>
      </c>
      <c r="F25" t="s">
        <v>1414</v>
      </c>
      <c r="H25" s="58" t="s">
        <v>1476</v>
      </c>
      <c r="I25" t="s">
        <v>1456</v>
      </c>
    </row>
    <row r="26" spans="1:9">
      <c r="A26" s="49" t="s">
        <v>1147</v>
      </c>
      <c r="B26" t="s">
        <v>1457</v>
      </c>
      <c r="C26" t="s">
        <v>1458</v>
      </c>
      <c r="D26" t="s">
        <v>348</v>
      </c>
      <c r="E26" t="s">
        <v>923</v>
      </c>
      <c r="F26" t="s">
        <v>1414</v>
      </c>
      <c r="H26" s="58" t="s">
        <v>1479</v>
      </c>
      <c r="I26" t="s">
        <v>1459</v>
      </c>
    </row>
    <row r="27" spans="1:9" s="49" customFormat="1">
      <c r="H27" s="58"/>
    </row>
    <row r="28" spans="1:9">
      <c r="B28" t="s">
        <v>1447</v>
      </c>
      <c r="C28" t="s">
        <v>1367</v>
      </c>
      <c r="D28" t="s">
        <v>347</v>
      </c>
      <c r="E28" t="s">
        <v>923</v>
      </c>
      <c r="F28" t="s">
        <v>1414</v>
      </c>
      <c r="H28" s="58" t="s">
        <v>1479</v>
      </c>
      <c r="I28" t="s">
        <v>1448</v>
      </c>
    </row>
    <row r="29" spans="1:9">
      <c r="B29" t="s">
        <v>1449</v>
      </c>
      <c r="C29" t="s">
        <v>1027</v>
      </c>
      <c r="D29" t="s">
        <v>278</v>
      </c>
      <c r="E29" t="s">
        <v>923</v>
      </c>
      <c r="F29" t="s">
        <v>1414</v>
      </c>
      <c r="H29" s="58" t="s">
        <v>1482</v>
      </c>
      <c r="I29" t="s">
        <v>1450</v>
      </c>
    </row>
    <row r="30" spans="1:9">
      <c r="B30" t="s">
        <v>1451</v>
      </c>
      <c r="C30" t="s">
        <v>1400</v>
      </c>
      <c r="D30" t="s">
        <v>348</v>
      </c>
      <c r="E30" t="s">
        <v>923</v>
      </c>
      <c r="F30" t="s">
        <v>1414</v>
      </c>
      <c r="H30" s="58" t="s">
        <v>1482</v>
      </c>
      <c r="I30" t="s">
        <v>1452</v>
      </c>
    </row>
    <row r="31" spans="1:9">
      <c r="B31" t="s">
        <v>1462</v>
      </c>
      <c r="C31" t="s">
        <v>1463</v>
      </c>
      <c r="D31" t="s">
        <v>347</v>
      </c>
      <c r="E31" t="s">
        <v>923</v>
      </c>
      <c r="F31" t="s">
        <v>1414</v>
      </c>
      <c r="H31" s="58" t="s">
        <v>1485</v>
      </c>
      <c r="I31" t="s">
        <v>1412</v>
      </c>
    </row>
    <row r="32" spans="1:9">
      <c r="A32" s="49" t="s">
        <v>1147</v>
      </c>
      <c r="B32" t="s">
        <v>1464</v>
      </c>
      <c r="C32" t="s">
        <v>1465</v>
      </c>
      <c r="D32" t="s">
        <v>348</v>
      </c>
      <c r="E32" t="s">
        <v>923</v>
      </c>
      <c r="F32" t="s">
        <v>1414</v>
      </c>
      <c r="H32" s="58" t="s">
        <v>1486</v>
      </c>
      <c r="I32" t="s">
        <v>1466</v>
      </c>
    </row>
    <row r="33" spans="1:9" s="49" customFormat="1">
      <c r="H33" s="58"/>
    </row>
    <row r="34" spans="1:9">
      <c r="B34" t="s">
        <v>1467</v>
      </c>
    </row>
    <row r="35" spans="1:9">
      <c r="A35" s="49" t="s">
        <v>1147</v>
      </c>
      <c r="B35" t="s">
        <v>3171</v>
      </c>
      <c r="C35" t="s">
        <v>1011</v>
      </c>
      <c r="D35" t="s">
        <v>347</v>
      </c>
      <c r="E35" t="s">
        <v>923</v>
      </c>
      <c r="F35" t="s">
        <v>1414</v>
      </c>
      <c r="H35" s="58" t="s">
        <v>1483</v>
      </c>
      <c r="I35" t="s">
        <v>1472</v>
      </c>
    </row>
    <row r="36" spans="1:9" s="49" customFormat="1">
      <c r="H36" s="58"/>
    </row>
    <row r="37" spans="1:9">
      <c r="B37" t="s">
        <v>1468</v>
      </c>
      <c r="C37" t="s">
        <v>1028</v>
      </c>
      <c r="D37" t="s">
        <v>348</v>
      </c>
      <c r="E37" t="s">
        <v>923</v>
      </c>
      <c r="F37" t="s">
        <v>1414</v>
      </c>
      <c r="H37" s="58" t="s">
        <v>1469</v>
      </c>
      <c r="I37" t="s">
        <v>1470</v>
      </c>
    </row>
  </sheetData>
  <phoneticPr fontId="1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H62"/>
  <sheetViews>
    <sheetView topLeftCell="A7" workbookViewId="0">
      <selection activeCell="J22" sqref="J22"/>
    </sheetView>
  </sheetViews>
  <sheetFormatPr defaultRowHeight="13.5"/>
  <cols>
    <col min="1" max="1" width="9" style="58"/>
    <col min="2" max="2" width="5.375" style="58" bestFit="1" customWidth="1"/>
    <col min="3" max="3" width="5" style="58" bestFit="1" customWidth="1"/>
    <col min="4" max="4" width="2.75" style="49" bestFit="1" customWidth="1"/>
    <col min="5" max="6" width="6.25" customWidth="1"/>
    <col min="7" max="7" width="4.875" bestFit="1" customWidth="1"/>
    <col min="8" max="8" width="13.125" customWidth="1"/>
  </cols>
  <sheetData>
    <row r="1" spans="1:8">
      <c r="A1" s="58" t="s">
        <v>1255</v>
      </c>
    </row>
    <row r="2" spans="1:8">
      <c r="A2" s="58" t="s">
        <v>1256</v>
      </c>
    </row>
    <row r="3" spans="1:8">
      <c r="A3" s="58" t="s">
        <v>1356</v>
      </c>
      <c r="B3" s="58" t="s">
        <v>364</v>
      </c>
      <c r="C3" s="58" t="s">
        <v>3</v>
      </c>
      <c r="D3" s="49" t="s">
        <v>1263</v>
      </c>
      <c r="H3" t="s">
        <v>1264</v>
      </c>
    </row>
    <row r="4" spans="1:8">
      <c r="A4" s="58" t="s">
        <v>1357</v>
      </c>
      <c r="B4" s="58" t="s">
        <v>365</v>
      </c>
      <c r="C4" s="58" t="s">
        <v>1006</v>
      </c>
      <c r="D4" s="49" t="s">
        <v>1265</v>
      </c>
      <c r="E4" t="s">
        <v>1266</v>
      </c>
    </row>
    <row r="5" spans="1:8">
      <c r="A5" s="58" t="s">
        <v>1358</v>
      </c>
      <c r="B5" s="58" t="s">
        <v>365</v>
      </c>
      <c r="C5" s="58" t="s">
        <v>1006</v>
      </c>
      <c r="D5" s="49" t="s">
        <v>153</v>
      </c>
      <c r="E5" t="s">
        <v>1267</v>
      </c>
      <c r="G5" t="s">
        <v>1268</v>
      </c>
      <c r="H5" t="s">
        <v>161</v>
      </c>
    </row>
    <row r="6" spans="1:8">
      <c r="A6" s="58" t="s">
        <v>1360</v>
      </c>
      <c r="B6" s="58" t="s">
        <v>364</v>
      </c>
      <c r="C6" s="58" t="s">
        <v>1006</v>
      </c>
      <c r="D6" s="49" t="s">
        <v>153</v>
      </c>
      <c r="E6" t="s">
        <v>1272</v>
      </c>
      <c r="F6" t="s">
        <v>1273</v>
      </c>
      <c r="G6" t="s">
        <v>1274</v>
      </c>
      <c r="H6" t="s">
        <v>157</v>
      </c>
    </row>
    <row r="7" spans="1:8">
      <c r="A7" s="58" t="s">
        <v>1363</v>
      </c>
      <c r="B7" s="58" t="s">
        <v>364</v>
      </c>
      <c r="C7" s="58" t="s">
        <v>974</v>
      </c>
      <c r="D7" s="49" t="s">
        <v>153</v>
      </c>
      <c r="E7" t="s">
        <v>1280</v>
      </c>
      <c r="G7" t="s">
        <v>1281</v>
      </c>
    </row>
    <row r="8" spans="1:8">
      <c r="A8" s="58" t="s">
        <v>1368</v>
      </c>
      <c r="B8" s="58" t="s">
        <v>364</v>
      </c>
      <c r="C8" s="58" t="s">
        <v>1008</v>
      </c>
      <c r="D8" s="49" t="s">
        <v>153</v>
      </c>
      <c r="E8" t="s">
        <v>1288</v>
      </c>
      <c r="F8" t="s">
        <v>1280</v>
      </c>
      <c r="G8" t="s">
        <v>1289</v>
      </c>
      <c r="H8" t="s">
        <v>158</v>
      </c>
    </row>
    <row r="9" spans="1:8">
      <c r="A9" s="58" t="s">
        <v>1369</v>
      </c>
      <c r="B9" s="58" t="s">
        <v>365</v>
      </c>
      <c r="C9" s="58" t="s">
        <v>1011</v>
      </c>
      <c r="D9" s="49" t="s">
        <v>153</v>
      </c>
      <c r="E9" t="s">
        <v>1280</v>
      </c>
      <c r="G9" t="s">
        <v>1290</v>
      </c>
    </row>
    <row r="10" spans="1:8">
      <c r="A10" s="58" t="s">
        <v>1370</v>
      </c>
      <c r="B10" s="58" t="s">
        <v>366</v>
      </c>
      <c r="C10" s="58" t="s">
        <v>1371</v>
      </c>
      <c r="D10" s="49" t="s">
        <v>153</v>
      </c>
      <c r="E10" t="s">
        <v>1280</v>
      </c>
      <c r="G10" t="s">
        <v>1291</v>
      </c>
      <c r="H10" t="s">
        <v>1292</v>
      </c>
    </row>
    <row r="11" spans="1:8" s="49" customFormat="1">
      <c r="A11" s="58"/>
      <c r="B11" s="58"/>
      <c r="C11" s="58"/>
    </row>
    <row r="12" spans="1:8">
      <c r="A12" s="58" t="s">
        <v>1355</v>
      </c>
      <c r="B12" s="58" t="s">
        <v>366</v>
      </c>
      <c r="C12" s="58" t="s">
        <v>28</v>
      </c>
      <c r="D12" s="49" t="s">
        <v>153</v>
      </c>
      <c r="E12" t="s">
        <v>1261</v>
      </c>
      <c r="F12" t="s">
        <v>922</v>
      </c>
      <c r="G12" t="s">
        <v>1262</v>
      </c>
    </row>
    <row r="13" spans="1:8">
      <c r="A13" s="58" t="s">
        <v>1359</v>
      </c>
      <c r="B13" s="58" t="s">
        <v>364</v>
      </c>
      <c r="C13" s="58" t="s">
        <v>1024</v>
      </c>
      <c r="D13" s="49" t="s">
        <v>153</v>
      </c>
      <c r="E13" t="s">
        <v>1269</v>
      </c>
      <c r="G13" t="s">
        <v>1270</v>
      </c>
      <c r="H13" t="s">
        <v>1271</v>
      </c>
    </row>
    <row r="14" spans="1:8">
      <c r="A14" s="58" t="s">
        <v>1361</v>
      </c>
      <c r="B14" s="58" t="s">
        <v>366</v>
      </c>
      <c r="C14" s="58" t="s">
        <v>1275</v>
      </c>
      <c r="D14" s="49" t="s">
        <v>153</v>
      </c>
      <c r="E14" t="s">
        <v>919</v>
      </c>
      <c r="F14" t="s">
        <v>922</v>
      </c>
      <c r="G14" t="s">
        <v>1276</v>
      </c>
      <c r="H14" t="s">
        <v>1277</v>
      </c>
    </row>
    <row r="15" spans="1:8">
      <c r="A15" s="58" t="s">
        <v>1362</v>
      </c>
      <c r="B15" s="58" t="s">
        <v>364</v>
      </c>
      <c r="C15" s="58" t="s">
        <v>1026</v>
      </c>
      <c r="D15" s="49" t="s">
        <v>153</v>
      </c>
      <c r="E15" t="s">
        <v>1278</v>
      </c>
      <c r="G15" t="s">
        <v>1279</v>
      </c>
    </row>
    <row r="16" spans="1:8">
      <c r="A16" s="58" t="s">
        <v>1364</v>
      </c>
      <c r="B16" s="58" t="s">
        <v>365</v>
      </c>
      <c r="C16" s="58" t="s">
        <v>1026</v>
      </c>
      <c r="D16" s="49" t="s">
        <v>153</v>
      </c>
      <c r="E16" t="s">
        <v>1282</v>
      </c>
      <c r="G16" t="s">
        <v>1283</v>
      </c>
      <c r="H16" t="s">
        <v>1284</v>
      </c>
    </row>
    <row r="17" spans="1:8">
      <c r="A17" s="58" t="s">
        <v>1365</v>
      </c>
      <c r="B17" s="58" t="s">
        <v>365</v>
      </c>
      <c r="C17" s="58" t="s">
        <v>1027</v>
      </c>
      <c r="D17" s="49" t="s">
        <v>153</v>
      </c>
      <c r="E17" t="s">
        <v>1285</v>
      </c>
      <c r="G17" t="s">
        <v>1286</v>
      </c>
      <c r="H17" t="s">
        <v>709</v>
      </c>
    </row>
    <row r="18" spans="1:8">
      <c r="A18" s="58" t="s">
        <v>1366</v>
      </c>
      <c r="B18" s="58" t="s">
        <v>364</v>
      </c>
      <c r="C18" s="58" t="s">
        <v>1367</v>
      </c>
      <c r="D18" s="49" t="s">
        <v>153</v>
      </c>
      <c r="E18" t="s">
        <v>919</v>
      </c>
      <c r="F18" t="s">
        <v>922</v>
      </c>
      <c r="G18" t="s">
        <v>1276</v>
      </c>
      <c r="H18" t="s">
        <v>1287</v>
      </c>
    </row>
    <row r="19" spans="1:8" s="49" customFormat="1">
      <c r="A19" s="58"/>
      <c r="B19" s="58"/>
      <c r="C19" s="58"/>
    </row>
    <row r="20" spans="1:8">
      <c r="A20" s="58" t="s">
        <v>1372</v>
      </c>
      <c r="B20" s="58" t="s">
        <v>364</v>
      </c>
      <c r="C20" s="58">
        <v>1</v>
      </c>
      <c r="D20" s="49" t="s">
        <v>153</v>
      </c>
      <c r="E20" t="s">
        <v>1269</v>
      </c>
      <c r="G20" t="s">
        <v>1274</v>
      </c>
      <c r="H20" s="49" t="s">
        <v>1293</v>
      </c>
    </row>
    <row r="21" spans="1:8">
      <c r="A21" s="58" t="s">
        <v>1373</v>
      </c>
      <c r="B21" s="58" t="s">
        <v>364</v>
      </c>
      <c r="C21" s="58">
        <v>2</v>
      </c>
      <c r="D21" s="49" t="s">
        <v>153</v>
      </c>
      <c r="E21" t="s">
        <v>1294</v>
      </c>
      <c r="G21" t="s">
        <v>1274</v>
      </c>
      <c r="H21" t="s">
        <v>1295</v>
      </c>
    </row>
    <row r="22" spans="1:8">
      <c r="A22" s="58" t="s">
        <v>1374</v>
      </c>
      <c r="B22" s="58" t="s">
        <v>365</v>
      </c>
      <c r="C22" s="58">
        <v>3</v>
      </c>
      <c r="D22" s="49" t="s">
        <v>153</v>
      </c>
      <c r="E22" t="s">
        <v>1296</v>
      </c>
      <c r="G22" t="s">
        <v>1297</v>
      </c>
    </row>
    <row r="23" spans="1:8">
      <c r="A23" s="58" t="s">
        <v>1375</v>
      </c>
      <c r="B23" s="58" t="s">
        <v>364</v>
      </c>
      <c r="C23" s="58">
        <v>4</v>
      </c>
      <c r="D23" s="49" t="s">
        <v>153</v>
      </c>
      <c r="E23" t="s">
        <v>1298</v>
      </c>
      <c r="G23" t="s">
        <v>1299</v>
      </c>
      <c r="H23" t="s">
        <v>1300</v>
      </c>
    </row>
    <row r="24" spans="1:8">
      <c r="A24" s="58" t="s">
        <v>1376</v>
      </c>
      <c r="B24" s="58" t="s">
        <v>366</v>
      </c>
      <c r="C24" s="58">
        <v>5</v>
      </c>
      <c r="D24" s="49" t="s">
        <v>153</v>
      </c>
      <c r="E24" t="s">
        <v>1272</v>
      </c>
      <c r="G24" t="s">
        <v>1301</v>
      </c>
      <c r="H24" t="s">
        <v>1302</v>
      </c>
    </row>
    <row r="26" spans="1:8">
      <c r="A26" s="58" t="s">
        <v>1257</v>
      </c>
    </row>
    <row r="27" spans="1:8">
      <c r="A27" s="58" t="s">
        <v>1377</v>
      </c>
      <c r="B27" s="58" t="s">
        <v>366</v>
      </c>
      <c r="C27" s="58" t="s">
        <v>1191</v>
      </c>
      <c r="D27" s="49" t="s">
        <v>153</v>
      </c>
      <c r="E27" t="s">
        <v>1303</v>
      </c>
      <c r="G27" t="s">
        <v>1270</v>
      </c>
      <c r="H27" t="s">
        <v>1304</v>
      </c>
    </row>
    <row r="28" spans="1:8">
      <c r="A28" s="58" t="s">
        <v>1378</v>
      </c>
      <c r="B28" s="58" t="s">
        <v>364</v>
      </c>
      <c r="C28" s="58" t="s">
        <v>1191</v>
      </c>
      <c r="D28" s="49" t="s">
        <v>153</v>
      </c>
      <c r="E28" t="s">
        <v>1208</v>
      </c>
      <c r="G28" t="s">
        <v>1305</v>
      </c>
      <c r="H28" t="s">
        <v>1306</v>
      </c>
    </row>
    <row r="29" spans="1:8">
      <c r="A29" s="58" t="s">
        <v>1380</v>
      </c>
      <c r="B29" s="58" t="s">
        <v>365</v>
      </c>
      <c r="C29" s="58" t="s">
        <v>1191</v>
      </c>
      <c r="D29" s="49" t="s">
        <v>153</v>
      </c>
      <c r="E29" t="s">
        <v>1208</v>
      </c>
      <c r="G29" t="s">
        <v>1308</v>
      </c>
      <c r="H29" t="s">
        <v>1309</v>
      </c>
    </row>
    <row r="30" spans="1:8">
      <c r="A30" s="58" t="s">
        <v>1381</v>
      </c>
      <c r="B30" s="58" t="s">
        <v>365</v>
      </c>
      <c r="C30" s="58" t="s">
        <v>1008</v>
      </c>
      <c r="D30" s="49" t="s">
        <v>153</v>
      </c>
      <c r="E30" t="s">
        <v>1310</v>
      </c>
      <c r="G30" t="s">
        <v>1281</v>
      </c>
      <c r="H30" t="s">
        <v>1311</v>
      </c>
    </row>
    <row r="31" spans="1:8">
      <c r="A31" s="58" t="s">
        <v>1385</v>
      </c>
      <c r="B31" s="58" t="s">
        <v>366</v>
      </c>
      <c r="C31" s="58" t="s">
        <v>1011</v>
      </c>
      <c r="D31" s="49" t="s">
        <v>153</v>
      </c>
      <c r="E31" t="s">
        <v>1273</v>
      </c>
      <c r="G31" t="s">
        <v>1316</v>
      </c>
      <c r="H31" t="s">
        <v>1317</v>
      </c>
    </row>
    <row r="32" spans="1:8" s="49" customFormat="1">
      <c r="A32" s="58"/>
      <c r="B32" s="58"/>
      <c r="C32" s="58"/>
    </row>
    <row r="33" spans="1:8">
      <c r="A33" s="58" t="s">
        <v>1379</v>
      </c>
      <c r="B33" s="58" t="s">
        <v>365</v>
      </c>
      <c r="C33" s="58" t="s">
        <v>1275</v>
      </c>
      <c r="D33" s="49" t="s">
        <v>153</v>
      </c>
      <c r="E33" t="s">
        <v>919</v>
      </c>
      <c r="F33" t="s">
        <v>921</v>
      </c>
      <c r="G33" t="s">
        <v>1283</v>
      </c>
      <c r="H33" t="s">
        <v>1307</v>
      </c>
    </row>
    <row r="34" spans="1:8">
      <c r="A34" s="58" t="s">
        <v>1382</v>
      </c>
      <c r="B34" s="58" t="s">
        <v>366</v>
      </c>
      <c r="C34" s="58" t="s">
        <v>1367</v>
      </c>
      <c r="D34" s="49" t="s">
        <v>758</v>
      </c>
      <c r="H34" t="s">
        <v>1312</v>
      </c>
    </row>
    <row r="35" spans="1:8">
      <c r="A35" s="58" t="s">
        <v>1383</v>
      </c>
      <c r="B35" s="58" t="s">
        <v>364</v>
      </c>
      <c r="C35" s="58" t="s">
        <v>1027</v>
      </c>
      <c r="D35" s="49" t="s">
        <v>153</v>
      </c>
      <c r="E35" t="s">
        <v>1273</v>
      </c>
      <c r="G35" t="s">
        <v>1313</v>
      </c>
      <c r="H35" t="s">
        <v>1314</v>
      </c>
    </row>
    <row r="36" spans="1:8">
      <c r="A36" s="58" t="s">
        <v>1384</v>
      </c>
      <c r="B36" s="58" t="s">
        <v>364</v>
      </c>
      <c r="C36" s="58" t="s">
        <v>1027</v>
      </c>
      <c r="D36" s="49" t="s">
        <v>1263</v>
      </c>
      <c r="H36" t="s">
        <v>1315</v>
      </c>
    </row>
    <row r="37" spans="1:8">
      <c r="A37" s="58" t="s">
        <v>1386</v>
      </c>
      <c r="B37" s="58" t="s">
        <v>2250</v>
      </c>
      <c r="C37" s="58" t="s">
        <v>1387</v>
      </c>
      <c r="D37" s="49" t="s">
        <v>153</v>
      </c>
      <c r="E37" t="s">
        <v>1318</v>
      </c>
      <c r="G37" t="s">
        <v>1319</v>
      </c>
      <c r="H37" t="s">
        <v>1320</v>
      </c>
    </row>
    <row r="38" spans="1:8" s="49" customFormat="1">
      <c r="A38" s="58"/>
      <c r="B38" s="58"/>
      <c r="C38" s="58"/>
    </row>
    <row r="39" spans="1:8">
      <c r="A39" s="58" t="s">
        <v>1388</v>
      </c>
      <c r="B39" s="58" t="s">
        <v>364</v>
      </c>
      <c r="C39" s="58">
        <v>2</v>
      </c>
      <c r="D39" s="49" t="s">
        <v>153</v>
      </c>
      <c r="E39" t="s">
        <v>1272</v>
      </c>
      <c r="G39" t="s">
        <v>1321</v>
      </c>
      <c r="H39" t="s">
        <v>1322</v>
      </c>
    </row>
    <row r="40" spans="1:8">
      <c r="A40" s="58" t="s">
        <v>1389</v>
      </c>
      <c r="B40" s="58" t="s">
        <v>365</v>
      </c>
      <c r="C40" s="58">
        <v>2</v>
      </c>
      <c r="D40" s="49" t="s">
        <v>153</v>
      </c>
      <c r="E40" t="s">
        <v>1294</v>
      </c>
      <c r="G40" t="s">
        <v>1321</v>
      </c>
      <c r="H40" t="s">
        <v>1323</v>
      </c>
    </row>
    <row r="41" spans="1:8">
      <c r="A41" s="58" t="s">
        <v>1390</v>
      </c>
      <c r="B41" s="58" t="s">
        <v>365</v>
      </c>
      <c r="C41" s="58">
        <v>4</v>
      </c>
      <c r="D41" s="49" t="s">
        <v>153</v>
      </c>
      <c r="E41" t="s">
        <v>1273</v>
      </c>
      <c r="G41" t="s">
        <v>1324</v>
      </c>
      <c r="H41" t="s">
        <v>1325</v>
      </c>
    </row>
    <row r="42" spans="1:8">
      <c r="A42" s="58" t="s">
        <v>1391</v>
      </c>
      <c r="B42" s="58" t="s">
        <v>364</v>
      </c>
      <c r="C42" s="58">
        <v>4</v>
      </c>
      <c r="D42" s="49" t="s">
        <v>761</v>
      </c>
      <c r="H42" t="s">
        <v>1326</v>
      </c>
    </row>
    <row r="43" spans="1:8">
      <c r="A43" s="58" t="s">
        <v>1392</v>
      </c>
      <c r="B43" s="58" t="s">
        <v>364</v>
      </c>
      <c r="C43" s="58">
        <v>4</v>
      </c>
      <c r="D43" s="49" t="s">
        <v>761</v>
      </c>
      <c r="E43" t="s">
        <v>1327</v>
      </c>
      <c r="H43" t="s">
        <v>1328</v>
      </c>
    </row>
    <row r="44" spans="1:8">
      <c r="A44" s="58" t="s">
        <v>1393</v>
      </c>
      <c r="B44" s="58" t="s">
        <v>365</v>
      </c>
      <c r="C44" s="58" t="s">
        <v>1406</v>
      </c>
      <c r="D44" s="49" t="s">
        <v>153</v>
      </c>
      <c r="E44" t="s">
        <v>1329</v>
      </c>
      <c r="G44" t="s">
        <v>1330</v>
      </c>
      <c r="H44" t="s">
        <v>1207</v>
      </c>
    </row>
    <row r="46" spans="1:8">
      <c r="A46" s="58" t="s">
        <v>1258</v>
      </c>
    </row>
    <row r="47" spans="1:8">
      <c r="A47" s="58" t="s">
        <v>1395</v>
      </c>
      <c r="B47" s="58" t="s">
        <v>366</v>
      </c>
      <c r="C47" s="58" t="s">
        <v>1190</v>
      </c>
      <c r="D47" s="49" t="s">
        <v>1265</v>
      </c>
      <c r="E47" t="s">
        <v>1266</v>
      </c>
      <c r="H47" t="s">
        <v>1333</v>
      </c>
    </row>
    <row r="48" spans="1:8">
      <c r="A48" s="58" t="s">
        <v>1396</v>
      </c>
      <c r="B48" s="58" t="s">
        <v>365</v>
      </c>
      <c r="C48" s="58" t="s">
        <v>1191</v>
      </c>
      <c r="D48" s="49" t="s">
        <v>153</v>
      </c>
      <c r="E48" t="s">
        <v>1280</v>
      </c>
      <c r="F48" t="s">
        <v>1334</v>
      </c>
      <c r="G48" t="s">
        <v>1308</v>
      </c>
      <c r="H48" t="s">
        <v>1335</v>
      </c>
    </row>
    <row r="49" spans="1:8">
      <c r="A49" s="58" t="s">
        <v>1397</v>
      </c>
      <c r="B49" s="58" t="s">
        <v>364</v>
      </c>
      <c r="C49" s="58" t="s">
        <v>1008</v>
      </c>
      <c r="D49" s="49" t="s">
        <v>153</v>
      </c>
      <c r="E49" t="s">
        <v>1280</v>
      </c>
      <c r="G49" t="s">
        <v>1336</v>
      </c>
      <c r="H49" t="s">
        <v>1337</v>
      </c>
    </row>
    <row r="50" spans="1:8">
      <c r="A50" s="58" t="s">
        <v>1398</v>
      </c>
      <c r="B50" s="58" t="s">
        <v>365</v>
      </c>
      <c r="C50" s="58" t="s">
        <v>1009</v>
      </c>
      <c r="D50" s="49" t="s">
        <v>153</v>
      </c>
      <c r="E50" t="s">
        <v>1273</v>
      </c>
      <c r="G50" t="s">
        <v>1338</v>
      </c>
      <c r="H50" t="s">
        <v>1339</v>
      </c>
    </row>
    <row r="51" spans="1:8" s="49" customFormat="1">
      <c r="A51" s="58"/>
      <c r="B51" s="58"/>
      <c r="C51" s="58"/>
    </row>
    <row r="52" spans="1:8">
      <c r="A52" s="58" t="s">
        <v>1394</v>
      </c>
      <c r="B52" s="58" t="s">
        <v>366</v>
      </c>
      <c r="C52" s="58" t="s">
        <v>1024</v>
      </c>
      <c r="D52" s="49" t="s">
        <v>153</v>
      </c>
      <c r="E52" t="s">
        <v>1195</v>
      </c>
      <c r="F52" t="s">
        <v>1331</v>
      </c>
      <c r="G52" t="s">
        <v>1281</v>
      </c>
      <c r="H52" t="s">
        <v>1332</v>
      </c>
    </row>
    <row r="53" spans="1:8">
      <c r="A53" s="58" t="s">
        <v>1399</v>
      </c>
      <c r="B53" s="58" t="s">
        <v>365</v>
      </c>
      <c r="C53" s="58" t="s">
        <v>1400</v>
      </c>
      <c r="D53" s="49" t="s">
        <v>153</v>
      </c>
      <c r="E53" t="s">
        <v>1340</v>
      </c>
      <c r="G53" t="s">
        <v>1341</v>
      </c>
      <c r="H53" t="s">
        <v>1354</v>
      </c>
    </row>
    <row r="54" spans="1:8">
      <c r="A54" s="58" t="s">
        <v>1401</v>
      </c>
      <c r="B54" s="58" t="s">
        <v>364</v>
      </c>
      <c r="C54" s="58" t="s">
        <v>1400</v>
      </c>
      <c r="D54" s="49" t="s">
        <v>153</v>
      </c>
      <c r="E54" t="s">
        <v>1273</v>
      </c>
      <c r="G54" t="s">
        <v>1342</v>
      </c>
      <c r="H54" t="s">
        <v>1353</v>
      </c>
    </row>
    <row r="55" spans="1:8">
      <c r="A55" s="58" t="s">
        <v>1402</v>
      </c>
      <c r="B55" s="58" t="s">
        <v>366</v>
      </c>
      <c r="C55" s="58" t="s">
        <v>1387</v>
      </c>
      <c r="D55" s="49" t="s">
        <v>153</v>
      </c>
      <c r="E55" t="s">
        <v>1272</v>
      </c>
      <c r="F55" t="s">
        <v>1273</v>
      </c>
      <c r="G55" t="s">
        <v>1343</v>
      </c>
      <c r="H55" t="s">
        <v>1344</v>
      </c>
    </row>
    <row r="56" spans="1:8" s="49" customFormat="1">
      <c r="A56" s="58"/>
      <c r="B56" s="58"/>
      <c r="C56" s="58"/>
    </row>
    <row r="57" spans="1:8">
      <c r="A57" s="58" t="s">
        <v>1260</v>
      </c>
      <c r="B57" s="58" t="s">
        <v>365</v>
      </c>
      <c r="D57" s="49" t="s">
        <v>250</v>
      </c>
      <c r="H57" t="s">
        <v>1345</v>
      </c>
    </row>
    <row r="59" spans="1:8">
      <c r="A59" s="58" t="s">
        <v>1259</v>
      </c>
    </row>
    <row r="61" spans="1:8">
      <c r="A61" s="58" t="s">
        <v>1403</v>
      </c>
      <c r="B61" s="58" t="s">
        <v>364</v>
      </c>
      <c r="C61" s="58" t="s">
        <v>1404</v>
      </c>
      <c r="D61" s="49" t="s">
        <v>153</v>
      </c>
      <c r="E61" t="s">
        <v>1346</v>
      </c>
      <c r="F61" t="s">
        <v>1347</v>
      </c>
      <c r="G61" t="s">
        <v>1348</v>
      </c>
      <c r="H61" t="s">
        <v>1349</v>
      </c>
    </row>
    <row r="62" spans="1:8">
      <c r="A62" s="58" t="s">
        <v>1405</v>
      </c>
      <c r="B62" s="58" t="s">
        <v>365</v>
      </c>
      <c r="C62" s="58">
        <v>12</v>
      </c>
      <c r="D62" s="49" t="s">
        <v>153</v>
      </c>
      <c r="E62" t="s">
        <v>1350</v>
      </c>
      <c r="G62" t="s">
        <v>1351</v>
      </c>
      <c r="H62" t="s">
        <v>1352</v>
      </c>
    </row>
  </sheetData>
  <phoneticPr fontId="1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pageSetUpPr fitToPage="1"/>
  </sheetPr>
  <dimension ref="A1:BA341"/>
  <sheetViews>
    <sheetView topLeftCell="C1" workbookViewId="0">
      <pane ySplit="1" topLeftCell="A98" activePane="bottomLeft" state="frozen"/>
      <selection pane="bottomLeft" activeCell="E166" sqref="E166"/>
    </sheetView>
  </sheetViews>
  <sheetFormatPr defaultRowHeight="13.5"/>
  <cols>
    <col min="1" max="1" width="9" style="49"/>
    <col min="2" max="2" width="2" style="49" bestFit="1" customWidth="1"/>
    <col min="3" max="3" width="5.125" bestFit="1" customWidth="1"/>
    <col min="4" max="4" width="5.125" style="49" customWidth="1"/>
    <col min="5" max="5" width="13.25" customWidth="1"/>
    <col min="6" max="6" width="3.875" customWidth="1"/>
    <col min="7" max="7" width="3.875" style="49" customWidth="1"/>
    <col min="8" max="8" width="5.125" customWidth="1"/>
    <col min="9" max="9" width="2.75" bestFit="1" customWidth="1"/>
    <col min="10" max="10" width="3.625" customWidth="1"/>
    <col min="11" max="11" width="3.375" style="49" customWidth="1"/>
    <col min="12" max="12" width="6.375" style="49" hidden="1" customWidth="1"/>
    <col min="13" max="13" width="4.5" style="58" bestFit="1" customWidth="1"/>
    <col min="14" max="14" width="11.875" style="18" customWidth="1"/>
    <col min="15" max="15" width="16.25" style="18" customWidth="1"/>
    <col min="16" max="16" width="18" style="18" customWidth="1"/>
    <col min="17" max="17" width="6.25" style="18" customWidth="1"/>
    <col min="18" max="18" width="4" bestFit="1" customWidth="1"/>
    <col min="19" max="20" width="5.25" bestFit="1" customWidth="1"/>
    <col min="21" max="25" width="3.5" bestFit="1" customWidth="1"/>
    <col min="26" max="26" width="2.5" bestFit="1" customWidth="1"/>
    <col min="27" max="27" width="4" bestFit="1" customWidth="1"/>
    <col min="28" max="29" width="5.25" bestFit="1" customWidth="1"/>
    <col min="30" max="31" width="2.75" bestFit="1" customWidth="1"/>
    <col min="32" max="32" width="2.625" bestFit="1" customWidth="1"/>
    <col min="33" max="33" width="2.75" bestFit="1" customWidth="1"/>
    <col min="34" max="34" width="3.5" bestFit="1" customWidth="1"/>
    <col min="35" max="35" width="2.5" bestFit="1" customWidth="1"/>
    <col min="36" max="36" width="4" bestFit="1" customWidth="1"/>
    <col min="37" max="38" width="5.25" bestFit="1" customWidth="1"/>
    <col min="39" max="40" width="2.75" bestFit="1" customWidth="1"/>
    <col min="41" max="41" width="2.625" bestFit="1" customWidth="1"/>
    <col min="42" max="42" width="2.75" bestFit="1" customWidth="1"/>
    <col min="43" max="43" width="3.5" bestFit="1" customWidth="1"/>
    <col min="44" max="44" width="2.5" bestFit="1" customWidth="1"/>
    <col min="45" max="47" width="5.25" bestFit="1" customWidth="1"/>
    <col min="48" max="53" width="3.5" bestFit="1" customWidth="1"/>
  </cols>
  <sheetData>
    <row r="1" spans="1:53" s="49" customFormat="1" ht="14.25" thickBot="1">
      <c r="A1" s="49" t="str">
        <f t="shared" ref="A1:A32" si="0">B1&amp;C1&amp;B1&amp;D1&amp;B1&amp;E1&amp;B1&amp;F1&amp;B1&amp;G1&amp;B1&amp;H1&amp;B1&amp;I1&amp;B1&amp;J1&amp;B1&amp;K1&amp;B1&amp;L1&amp;B1&amp;M1&amp;B1&amp;P1&amp;B1</f>
        <v>|序列|枠|Name|MC|CMC|Exp|Ty|CT1|CT2|CT3|PT||</v>
      </c>
      <c r="B1" s="49" t="s">
        <v>1744</v>
      </c>
      <c r="C1" s="88" t="s">
        <v>2811</v>
      </c>
      <c r="D1" s="89" t="s">
        <v>2104</v>
      </c>
      <c r="E1" s="89" t="s">
        <v>2100</v>
      </c>
      <c r="F1" s="89" t="s">
        <v>2099</v>
      </c>
      <c r="G1" s="89" t="s">
        <v>2092</v>
      </c>
      <c r="H1" s="89" t="s">
        <v>2098</v>
      </c>
      <c r="I1" s="89" t="s">
        <v>2094</v>
      </c>
      <c r="J1" s="89" t="s">
        <v>2095</v>
      </c>
      <c r="K1" s="89" t="s">
        <v>2096</v>
      </c>
      <c r="L1" s="89" t="s">
        <v>2097</v>
      </c>
      <c r="M1" s="90" t="s">
        <v>2101</v>
      </c>
      <c r="N1" s="161" t="s">
        <v>2102</v>
      </c>
      <c r="O1" s="179"/>
      <c r="P1" s="162"/>
      <c r="Q1" s="18"/>
    </row>
    <row r="2" spans="1:53">
      <c r="A2" s="49" t="str">
        <f t="shared" si="0"/>
        <v>|W01|slv|横這Slv|W|1|TSP|C|ｽﾘヴｧｰ|||1/1||</v>
      </c>
      <c r="B2" s="49" t="s">
        <v>1744</v>
      </c>
      <c r="C2" s="50" t="s">
        <v>2131</v>
      </c>
      <c r="D2" s="55" t="s">
        <v>2103</v>
      </c>
      <c r="E2" s="55" t="s">
        <v>1059</v>
      </c>
      <c r="F2" s="55" t="s">
        <v>5</v>
      </c>
      <c r="G2" s="55">
        <v>1</v>
      </c>
      <c r="H2" s="55" t="s">
        <v>352</v>
      </c>
      <c r="I2" s="55" t="s">
        <v>923</v>
      </c>
      <c r="J2" s="55" t="s">
        <v>3304</v>
      </c>
      <c r="K2" s="55" t="s">
        <v>2800</v>
      </c>
      <c r="L2" s="55" t="s">
        <v>2800</v>
      </c>
      <c r="M2" s="85" t="s">
        <v>1473</v>
      </c>
      <c r="N2" s="155"/>
      <c r="O2" s="163" t="s">
        <v>3562</v>
      </c>
      <c r="P2" s="163" t="s">
        <v>2800</v>
      </c>
      <c r="Q2" s="18" t="s">
        <v>3934</v>
      </c>
      <c r="R2" s="50" t="s">
        <v>3928</v>
      </c>
      <c r="S2" s="51" t="s">
        <v>3923</v>
      </c>
      <c r="T2" s="52" t="s">
        <v>3924</v>
      </c>
      <c r="U2" s="49"/>
      <c r="V2" s="49"/>
      <c r="W2" s="49"/>
      <c r="X2" s="49"/>
      <c r="Y2" s="49"/>
      <c r="Z2" s="49"/>
      <c r="AA2" s="50" t="s">
        <v>3929</v>
      </c>
      <c r="AB2" s="51" t="s">
        <v>3923</v>
      </c>
      <c r="AC2" s="52" t="s">
        <v>3924</v>
      </c>
      <c r="AD2" s="49"/>
      <c r="AE2" s="49"/>
      <c r="AF2" s="49"/>
      <c r="AG2" s="49"/>
      <c r="AH2" s="49"/>
      <c r="AI2" s="49"/>
      <c r="AJ2" s="50" t="s">
        <v>3932</v>
      </c>
      <c r="AK2" s="51" t="s">
        <v>3923</v>
      </c>
      <c r="AL2" s="52" t="s">
        <v>3924</v>
      </c>
      <c r="AM2" s="49"/>
      <c r="AN2" s="49"/>
      <c r="AO2" s="49"/>
      <c r="AP2" s="49"/>
      <c r="AQ2" s="49"/>
      <c r="AR2" s="49"/>
      <c r="AS2" s="50" t="s">
        <v>3936</v>
      </c>
      <c r="AT2" s="51" t="s">
        <v>3923</v>
      </c>
      <c r="AU2" s="52" t="s">
        <v>3924</v>
      </c>
      <c r="AV2" s="49"/>
      <c r="AW2" s="49"/>
      <c r="AX2" s="49"/>
      <c r="AY2" s="49"/>
      <c r="AZ2" s="49"/>
      <c r="BA2" s="49"/>
    </row>
    <row r="3" spans="1:53">
      <c r="A3" s="49" t="str">
        <f t="shared" si="0"/>
        <v>|W02|slv|筋力Slv|1W|2|PLC|C|ｽﾘヴｧｰ|||1/1|PT+1|</v>
      </c>
      <c r="B3" s="49" t="s">
        <v>1744</v>
      </c>
      <c r="C3" s="56" t="s">
        <v>1956</v>
      </c>
      <c r="D3" s="55" t="s">
        <v>2103</v>
      </c>
      <c r="E3" s="55" t="s">
        <v>1061</v>
      </c>
      <c r="F3" s="55" t="s">
        <v>977</v>
      </c>
      <c r="G3" s="55">
        <v>2</v>
      </c>
      <c r="H3" s="55" t="s">
        <v>353</v>
      </c>
      <c r="I3" s="55" t="s">
        <v>923</v>
      </c>
      <c r="J3" s="55" t="s">
        <v>3304</v>
      </c>
      <c r="K3" s="55" t="s">
        <v>2800</v>
      </c>
      <c r="L3" s="55" t="s">
        <v>2800</v>
      </c>
      <c r="M3" s="85" t="s">
        <v>1473</v>
      </c>
      <c r="N3" s="155"/>
      <c r="O3" s="163"/>
      <c r="P3" s="163" t="s">
        <v>939</v>
      </c>
      <c r="Q3" s="18" t="s">
        <v>3934</v>
      </c>
      <c r="R3" s="56" t="s">
        <v>153</v>
      </c>
      <c r="S3" s="55">
        <f>COUNTIF(I1:I148,R3)+COUNTIF(I1:I148,"FC")</f>
        <v>78</v>
      </c>
      <c r="T3" s="184">
        <f>S3/SUM(S3:S8)</f>
        <v>0.53061224489795922</v>
      </c>
      <c r="V3" s="49"/>
      <c r="W3" s="49"/>
      <c r="AA3" s="56" t="s">
        <v>6</v>
      </c>
      <c r="AB3" s="55">
        <f>COUNTIF(UCT,AA3)+COUNTIF(UCT,"FC")</f>
        <v>45</v>
      </c>
      <c r="AC3" s="184">
        <f>AB3/SUM(AB3:AB8)</f>
        <v>0.5056179775280899</v>
      </c>
      <c r="AD3" s="49"/>
      <c r="AE3" s="49"/>
      <c r="AF3" s="49"/>
      <c r="AG3" s="49"/>
      <c r="AH3" s="49"/>
      <c r="AI3" s="49"/>
      <c r="AJ3" s="56" t="s">
        <v>6</v>
      </c>
      <c r="AK3" s="55">
        <f>COUNTIF(ReT,AJ3)+COUNTIF(ReT,"FC")+COUNTIF(ReT,"EC")</f>
        <v>35</v>
      </c>
      <c r="AL3" s="184">
        <f>AK3/SUM(AK3:AK8)</f>
        <v>0.5</v>
      </c>
      <c r="AM3" s="49"/>
      <c r="AN3" s="49"/>
      <c r="AO3" s="49"/>
      <c r="AP3" s="49"/>
      <c r="AQ3" s="49"/>
      <c r="AR3" s="49"/>
      <c r="AS3" s="56" t="s">
        <v>6</v>
      </c>
      <c r="AT3" s="55">
        <f>COUNTIF(I:I,AS3)+COUNTIF(I:I,"FC")+COUNTIF(I:I,"EC")</f>
        <v>169</v>
      </c>
      <c r="AU3" s="184">
        <f>AT3/SUM(AT3:AT8)</f>
        <v>0.52647975077881615</v>
      </c>
      <c r="AV3" s="49"/>
      <c r="AW3" s="49"/>
      <c r="AX3" s="49"/>
      <c r="AY3" s="49"/>
      <c r="AZ3" s="49"/>
      <c r="BA3" s="49"/>
    </row>
    <row r="4" spans="1:53">
      <c r="A4" s="49" t="str">
        <f t="shared" si="0"/>
        <v>|W03|WB|ﾑｰｱﾗﾝﾄﾞの流れ者|1W|2|SOI|C|ｽﾋﾟﾘｯﾄ|||2/2||</v>
      </c>
      <c r="B4" s="49" t="s">
        <v>1744</v>
      </c>
      <c r="C4" s="56" t="s">
        <v>1957</v>
      </c>
      <c r="D4" s="55" t="s">
        <v>3189</v>
      </c>
      <c r="E4" s="55" t="s">
        <v>3298</v>
      </c>
      <c r="F4" s="55" t="s">
        <v>3185</v>
      </c>
      <c r="G4" s="55">
        <v>2</v>
      </c>
      <c r="H4" s="55" t="s">
        <v>3186</v>
      </c>
      <c r="I4" s="55" t="s">
        <v>3187</v>
      </c>
      <c r="J4" s="55" t="s">
        <v>3305</v>
      </c>
      <c r="K4" s="86" t="s">
        <v>2800</v>
      </c>
      <c r="L4" s="55" t="s">
        <v>2800</v>
      </c>
      <c r="M4" s="85" t="s">
        <v>3188</v>
      </c>
      <c r="N4" s="155"/>
      <c r="O4" s="163" t="s">
        <v>3576</v>
      </c>
      <c r="P4" s="163" t="s">
        <v>2800</v>
      </c>
      <c r="Q4" s="18" t="s">
        <v>3934</v>
      </c>
      <c r="R4" s="56" t="s">
        <v>1263</v>
      </c>
      <c r="S4" s="55">
        <f>COUNTIF(I1:I148,R4)</f>
        <v>23</v>
      </c>
      <c r="T4" s="184">
        <f>S4/SUM(S3:S8)</f>
        <v>0.15646258503401361</v>
      </c>
      <c r="V4" s="49"/>
      <c r="W4" s="49"/>
      <c r="AA4" s="56" t="s">
        <v>1263</v>
      </c>
      <c r="AB4" s="55">
        <f>COUNTIF(UCT,AA4)</f>
        <v>18</v>
      </c>
      <c r="AC4" s="184">
        <f>AB4/SUM(AB3:AB8)</f>
        <v>0.20224719101123595</v>
      </c>
      <c r="AD4" s="49"/>
      <c r="AE4" s="49"/>
      <c r="AF4" s="49"/>
      <c r="AG4" s="49"/>
      <c r="AH4" s="49"/>
      <c r="AI4" s="49"/>
      <c r="AJ4" s="56" t="s">
        <v>1263</v>
      </c>
      <c r="AK4" s="55">
        <f>COUNTIF(ReT,AJ4)</f>
        <v>8</v>
      </c>
      <c r="AL4" s="184">
        <f>AK4/SUM(AK3:AK8)</f>
        <v>0.11428571428571428</v>
      </c>
      <c r="AM4" s="49"/>
      <c r="AN4" s="49"/>
      <c r="AO4" s="49"/>
      <c r="AP4" s="49"/>
      <c r="AQ4" s="49"/>
      <c r="AR4" s="49"/>
      <c r="AS4" s="56" t="s">
        <v>1263</v>
      </c>
      <c r="AT4" s="55">
        <f>COUNTIF(I:I,AS4)</f>
        <v>50</v>
      </c>
      <c r="AU4" s="184">
        <f>AT4/SUM(AT3:AT8)</f>
        <v>0.1557632398753894</v>
      </c>
      <c r="AV4" s="49"/>
      <c r="AW4" s="49"/>
      <c r="AX4" s="49"/>
      <c r="AY4" s="49"/>
      <c r="AZ4" s="49"/>
      <c r="BA4" s="49"/>
    </row>
    <row r="5" spans="1:53">
      <c r="A5" s="49" t="str">
        <f t="shared" si="0"/>
        <v>|W04|UR|突風の漂い|1W|2|CSP|C|ｴﾚﾒﾝﾀﾙ|||1/1|WT:ﾀｯﾊﾟｰ|</v>
      </c>
      <c r="B5" s="49" t="s">
        <v>1744</v>
      </c>
      <c r="C5" s="56" t="s">
        <v>1958</v>
      </c>
      <c r="D5" s="55" t="s">
        <v>34</v>
      </c>
      <c r="E5" s="55" t="s">
        <v>2090</v>
      </c>
      <c r="F5" s="55" t="s">
        <v>977</v>
      </c>
      <c r="G5" s="55">
        <v>2</v>
      </c>
      <c r="H5" s="55" t="s">
        <v>382</v>
      </c>
      <c r="I5" s="55" t="s">
        <v>923</v>
      </c>
      <c r="J5" s="55" t="s">
        <v>3306</v>
      </c>
      <c r="K5" s="55" t="s">
        <v>2800</v>
      </c>
      <c r="L5" s="55" t="s">
        <v>2800</v>
      </c>
      <c r="M5" s="85" t="s">
        <v>1473</v>
      </c>
      <c r="N5" s="155"/>
      <c r="O5" s="163"/>
      <c r="P5" s="163" t="s">
        <v>3583</v>
      </c>
      <c r="Q5" s="18" t="s">
        <v>3934</v>
      </c>
      <c r="R5" s="56" t="s">
        <v>758</v>
      </c>
      <c r="S5" s="55">
        <f>COUNTIF(I1:I148,R5)</f>
        <v>18</v>
      </c>
      <c r="T5" s="184">
        <f>S5/SUM(S3:S8)</f>
        <v>0.12244897959183673</v>
      </c>
      <c r="V5" s="49"/>
      <c r="W5" s="49"/>
      <c r="AA5" s="56" t="s">
        <v>758</v>
      </c>
      <c r="AB5" s="55">
        <f>COUNTIF(UCT,AA5)</f>
        <v>13</v>
      </c>
      <c r="AC5" s="184">
        <f>AB5/SUM(AB3:AB8)</f>
        <v>0.14606741573033707</v>
      </c>
      <c r="AD5" s="49"/>
      <c r="AE5" s="49"/>
      <c r="AF5" s="49"/>
      <c r="AG5" s="49"/>
      <c r="AH5" s="49"/>
      <c r="AI5" s="49"/>
      <c r="AJ5" s="56" t="s">
        <v>758</v>
      </c>
      <c r="AK5" s="55">
        <f>COUNTIF(ReT,AJ5)</f>
        <v>13</v>
      </c>
      <c r="AL5" s="184">
        <f>AK5/SUM(AK3:AK8)</f>
        <v>0.18571428571428572</v>
      </c>
      <c r="AM5" s="49"/>
      <c r="AN5" s="49"/>
      <c r="AO5" s="49"/>
      <c r="AP5" s="49"/>
      <c r="AQ5" s="49"/>
      <c r="AR5" s="49"/>
      <c r="AS5" s="56" t="s">
        <v>758</v>
      </c>
      <c r="AT5" s="55">
        <f t="shared" ref="AT5:AT9" si="1">COUNTIF(I:I,AS5)</f>
        <v>45</v>
      </c>
      <c r="AU5" s="184">
        <f>AT5/SUM(AT3:AT8)</f>
        <v>0.14018691588785046</v>
      </c>
      <c r="AV5" s="49"/>
      <c r="AW5" s="49"/>
      <c r="AX5" s="49"/>
      <c r="AY5" s="49"/>
      <c r="AZ5" s="49"/>
      <c r="BA5" s="49"/>
    </row>
    <row r="6" spans="1:53">
      <c r="A6" s="49" t="str">
        <f t="shared" si="0"/>
        <v>|W05|RW|二人戦術|1W|2|BFZ|I|||||生物2+1/+2+2回復|</v>
      </c>
      <c r="B6" s="49" t="s">
        <v>1744</v>
      </c>
      <c r="C6" s="56" t="s">
        <v>1959</v>
      </c>
      <c r="D6" s="55" t="s">
        <v>36</v>
      </c>
      <c r="E6" s="55" t="s">
        <v>2091</v>
      </c>
      <c r="F6" s="55" t="s">
        <v>977</v>
      </c>
      <c r="G6" s="55">
        <v>2</v>
      </c>
      <c r="H6" s="55" t="s">
        <v>378</v>
      </c>
      <c r="I6" s="55" t="s">
        <v>1490</v>
      </c>
      <c r="J6" s="55" t="s">
        <v>2800</v>
      </c>
      <c r="K6" s="55" t="s">
        <v>2800</v>
      </c>
      <c r="L6" s="55" t="s">
        <v>2800</v>
      </c>
      <c r="M6" s="85"/>
      <c r="N6" s="155"/>
      <c r="O6" s="163"/>
      <c r="P6" s="163" t="s">
        <v>2137</v>
      </c>
      <c r="Q6" s="18" t="s">
        <v>3934</v>
      </c>
      <c r="R6" s="56" t="s">
        <v>1265</v>
      </c>
      <c r="S6" s="55">
        <f>COUNTIF(I1:I148,R6)</f>
        <v>13</v>
      </c>
      <c r="T6" s="184">
        <f>S6/SUM(S3:S8)</f>
        <v>8.8435374149659865E-2</v>
      </c>
      <c r="V6" s="49"/>
      <c r="W6" s="49"/>
      <c r="AA6" s="56" t="s">
        <v>1265</v>
      </c>
      <c r="AB6" s="55">
        <f>COUNTIF(UCT,AA6)</f>
        <v>4</v>
      </c>
      <c r="AC6" s="184">
        <f>AB6/SUM(AB3:AB8)</f>
        <v>4.49438202247191E-2</v>
      </c>
      <c r="AD6" s="49"/>
      <c r="AE6" s="49"/>
      <c r="AF6" s="49"/>
      <c r="AG6" s="49"/>
      <c r="AH6" s="49"/>
      <c r="AI6" s="49"/>
      <c r="AJ6" s="56" t="s">
        <v>1265</v>
      </c>
      <c r="AK6" s="55">
        <f>COUNTIF(ReT,AJ6)</f>
        <v>6</v>
      </c>
      <c r="AL6" s="184">
        <f>AK6/SUM(AK3:AK8)</f>
        <v>8.5714285714285715E-2</v>
      </c>
      <c r="AM6" s="49"/>
      <c r="AN6" s="49"/>
      <c r="AO6" s="49"/>
      <c r="AP6" s="49"/>
      <c r="AQ6" s="49"/>
      <c r="AR6" s="49"/>
      <c r="AS6" s="56" t="s">
        <v>1265</v>
      </c>
      <c r="AT6" s="55">
        <f t="shared" si="1"/>
        <v>24</v>
      </c>
      <c r="AU6" s="184">
        <f>AT6/SUM(AT3:AT8)</f>
        <v>7.476635514018691E-2</v>
      </c>
      <c r="AV6" s="49"/>
      <c r="AW6" s="49"/>
      <c r="AX6" s="49"/>
      <c r="AY6" s="49"/>
      <c r="AZ6" s="49"/>
      <c r="BA6" s="49"/>
    </row>
    <row r="7" spans="1:53">
      <c r="A7" s="49" t="str">
        <f t="shared" si="0"/>
        <v>|W06|E|天使の贈り物|1W|2|BFZ|E|ｵｰﾗ||||1泥|</v>
      </c>
      <c r="B7" s="49" t="s">
        <v>1744</v>
      </c>
      <c r="C7" s="56" t="s">
        <v>1960</v>
      </c>
      <c r="D7" s="55" t="s">
        <v>1493</v>
      </c>
      <c r="E7" s="55" t="s">
        <v>2275</v>
      </c>
      <c r="F7" s="55" t="s">
        <v>977</v>
      </c>
      <c r="G7" s="55">
        <v>2</v>
      </c>
      <c r="H7" s="55" t="s">
        <v>378</v>
      </c>
      <c r="I7" s="55" t="s">
        <v>1493</v>
      </c>
      <c r="J7" s="55" t="s">
        <v>3307</v>
      </c>
      <c r="K7" s="55" t="s">
        <v>2800</v>
      </c>
      <c r="L7" s="55" t="s">
        <v>2800</v>
      </c>
      <c r="M7" s="85"/>
      <c r="N7" s="155"/>
      <c r="O7" s="163" t="s">
        <v>3561</v>
      </c>
      <c r="P7" s="163" t="s">
        <v>3572</v>
      </c>
      <c r="Q7" s="18" t="s">
        <v>3934</v>
      </c>
      <c r="R7" s="56" t="s">
        <v>2128</v>
      </c>
      <c r="S7" s="55">
        <f>COUNTIF(I1:I148,R7)</f>
        <v>6</v>
      </c>
      <c r="T7" s="184">
        <f>S7/SUM(S3:S8)</f>
        <v>4.0816326530612242E-2</v>
      </c>
      <c r="AA7" s="56" t="s">
        <v>761</v>
      </c>
      <c r="AB7" s="55">
        <f>COUNTIF(UCT,AA7)</f>
        <v>4</v>
      </c>
      <c r="AC7" s="184">
        <f>AB7/SUM(AB3:AB8)</f>
        <v>4.49438202247191E-2</v>
      </c>
      <c r="AD7" s="49"/>
      <c r="AE7" s="49"/>
      <c r="AF7" s="49"/>
      <c r="AG7" s="49"/>
      <c r="AH7" s="49"/>
      <c r="AI7" s="49"/>
      <c r="AJ7" s="56" t="s">
        <v>761</v>
      </c>
      <c r="AK7" s="55">
        <f>COUNTIF(ReT,AJ7)</f>
        <v>3</v>
      </c>
      <c r="AL7" s="184">
        <f>AK7/SUM(AK3:AK8)</f>
        <v>4.2857142857142858E-2</v>
      </c>
      <c r="AM7" s="49"/>
      <c r="AN7" s="49"/>
      <c r="AO7" s="49"/>
      <c r="AP7" s="49"/>
      <c r="AQ7" s="49"/>
      <c r="AR7" s="49"/>
      <c r="AS7" s="56" t="s">
        <v>761</v>
      </c>
      <c r="AT7" s="55">
        <f t="shared" si="1"/>
        <v>14</v>
      </c>
      <c r="AU7" s="184">
        <f>AT7/SUM(AT3:AT8)</f>
        <v>4.3613707165109032E-2</v>
      </c>
      <c r="AV7" s="49"/>
      <c r="AW7" s="49"/>
      <c r="AX7" s="49"/>
      <c r="AY7" s="49"/>
      <c r="AZ7" s="49"/>
      <c r="BA7" s="49"/>
    </row>
    <row r="8" spans="1:53">
      <c r="A8" s="49" t="str">
        <f t="shared" si="0"/>
        <v>|W07|RW|狐の刃遣い|2W|3|CHK|C|狐|侍||2/2||</v>
      </c>
      <c r="B8" s="49" t="s">
        <v>1744</v>
      </c>
      <c r="C8" s="56" t="s">
        <v>1961</v>
      </c>
      <c r="D8" s="55" t="s">
        <v>36</v>
      </c>
      <c r="E8" s="55" t="s">
        <v>1165</v>
      </c>
      <c r="F8" s="55" t="s">
        <v>979</v>
      </c>
      <c r="G8" s="55">
        <v>3</v>
      </c>
      <c r="H8" s="55" t="s">
        <v>347</v>
      </c>
      <c r="I8" s="55" t="s">
        <v>923</v>
      </c>
      <c r="J8" s="55" t="s">
        <v>2138</v>
      </c>
      <c r="K8" s="55" t="s">
        <v>2132</v>
      </c>
      <c r="L8" s="55" t="s">
        <v>2800</v>
      </c>
      <c r="M8" s="85" t="s">
        <v>1475</v>
      </c>
      <c r="N8" s="155"/>
      <c r="O8" s="163" t="s">
        <v>3577</v>
      </c>
      <c r="P8" s="163" t="s">
        <v>2800</v>
      </c>
      <c r="Q8" s="18" t="s">
        <v>3934</v>
      </c>
      <c r="R8" s="56" t="s">
        <v>2093</v>
      </c>
      <c r="S8" s="55">
        <f>COUNTIF(I1:I148,R8)</f>
        <v>9</v>
      </c>
      <c r="T8" s="184">
        <f>S8/SUM(S3:S8)</f>
        <v>6.1224489795918366E-2</v>
      </c>
      <c r="AA8" s="56" t="s">
        <v>9</v>
      </c>
      <c r="AB8" s="55">
        <f>COUNTIF(UCT,AA8)</f>
        <v>5</v>
      </c>
      <c r="AC8" s="184">
        <f>AB8/SUM(AB3:AB8)</f>
        <v>5.6179775280898875E-2</v>
      </c>
      <c r="AD8" s="49"/>
      <c r="AE8" s="49"/>
      <c r="AF8" s="49"/>
      <c r="AG8" s="49"/>
      <c r="AH8" s="49"/>
      <c r="AI8" s="49"/>
      <c r="AJ8" s="56" t="s">
        <v>9</v>
      </c>
      <c r="AK8" s="55">
        <f>COUNTIF(ReT,AJ8)</f>
        <v>5</v>
      </c>
      <c r="AL8" s="184">
        <f>AK8/SUM(AK3:AK8)</f>
        <v>7.1428571428571425E-2</v>
      </c>
      <c r="AM8" s="49"/>
      <c r="AN8" s="49"/>
      <c r="AO8" s="49"/>
      <c r="AP8" s="49"/>
      <c r="AQ8" s="49"/>
      <c r="AR8" s="49"/>
      <c r="AS8" s="56" t="s">
        <v>9</v>
      </c>
      <c r="AT8" s="55">
        <f t="shared" si="1"/>
        <v>19</v>
      </c>
      <c r="AU8" s="184">
        <f>AT8/SUM(AT3:AT8)</f>
        <v>5.9190031152647975E-2</v>
      </c>
      <c r="AV8" s="49"/>
      <c r="AW8" s="49"/>
      <c r="AX8" s="49"/>
      <c r="AY8" s="49"/>
      <c r="AZ8" s="49"/>
      <c r="BA8" s="49"/>
    </row>
    <row r="9" spans="1:53">
      <c r="A9" s="49" t="str">
        <f t="shared" si="0"/>
        <v>|W08|UR|薄れ馬|2W|3|LRW|C|ｴﾚﾒﾝﾀﾙ|||1/3||</v>
      </c>
      <c r="B9" s="49" t="s">
        <v>1744</v>
      </c>
      <c r="C9" s="56" t="s">
        <v>1962</v>
      </c>
      <c r="D9" s="55" t="s">
        <v>34</v>
      </c>
      <c r="E9" s="55" t="s">
        <v>2088</v>
      </c>
      <c r="F9" s="55" t="s">
        <v>979</v>
      </c>
      <c r="G9" s="55">
        <v>3</v>
      </c>
      <c r="H9" s="55" t="s">
        <v>355</v>
      </c>
      <c r="I9" s="55" t="s">
        <v>923</v>
      </c>
      <c r="J9" s="55" t="s">
        <v>3306</v>
      </c>
      <c r="K9" s="55" t="s">
        <v>2800</v>
      </c>
      <c r="L9" s="55" t="s">
        <v>2800</v>
      </c>
      <c r="M9" s="85" t="s">
        <v>1573</v>
      </c>
      <c r="N9" s="155" t="s">
        <v>3578</v>
      </c>
      <c r="O9" s="163" t="s">
        <v>3579</v>
      </c>
      <c r="P9" s="163" t="s">
        <v>2800</v>
      </c>
      <c r="Q9" s="18" t="s">
        <v>3934</v>
      </c>
      <c r="R9" s="39" t="s">
        <v>3935</v>
      </c>
      <c r="S9" s="40"/>
      <c r="T9" s="190"/>
      <c r="U9" s="49"/>
      <c r="V9" s="49"/>
      <c r="W9" s="49"/>
      <c r="X9" s="49"/>
      <c r="Y9" s="49"/>
      <c r="Z9" s="49"/>
      <c r="AA9" s="39" t="s">
        <v>3935</v>
      </c>
      <c r="AB9" s="40"/>
      <c r="AC9" s="190"/>
      <c r="AD9" s="49"/>
      <c r="AE9" s="49"/>
      <c r="AF9" s="49"/>
      <c r="AG9" s="49"/>
      <c r="AH9" s="49"/>
      <c r="AI9" s="49"/>
      <c r="AJ9" s="56" t="s">
        <v>3931</v>
      </c>
      <c r="AK9" s="55"/>
      <c r="AL9" s="184"/>
      <c r="AM9" s="49"/>
      <c r="AN9" s="49"/>
      <c r="AO9" s="49"/>
      <c r="AP9" s="49"/>
      <c r="AQ9" s="49"/>
      <c r="AR9" s="49"/>
      <c r="AS9" s="56" t="s">
        <v>3931</v>
      </c>
      <c r="AT9" s="55">
        <f t="shared" si="1"/>
        <v>6</v>
      </c>
      <c r="AU9" s="184"/>
      <c r="AV9" s="49"/>
      <c r="AW9" s="49"/>
      <c r="AX9" s="49"/>
      <c r="AY9" s="49"/>
      <c r="AZ9" s="49"/>
      <c r="BA9" s="49"/>
    </row>
    <row r="10" spans="1:53" ht="14.25" thickBot="1">
      <c r="A10" s="49" t="str">
        <f t="shared" si="0"/>
        <v>|W09|除去|必殺の一射|2W|3|KTK|I|||||攻撃生物破壊|</v>
      </c>
      <c r="B10" s="49" t="s">
        <v>1744</v>
      </c>
      <c r="C10" s="56" t="s">
        <v>1963</v>
      </c>
      <c r="D10" s="55" t="s">
        <v>2135</v>
      </c>
      <c r="E10" s="55" t="s">
        <v>3010</v>
      </c>
      <c r="F10" s="55" t="s">
        <v>979</v>
      </c>
      <c r="G10" s="55">
        <v>3</v>
      </c>
      <c r="H10" s="55" t="s">
        <v>283</v>
      </c>
      <c r="I10" s="55" t="s">
        <v>1490</v>
      </c>
      <c r="J10" s="55" t="s">
        <v>2800</v>
      </c>
      <c r="K10" s="55" t="s">
        <v>2800</v>
      </c>
      <c r="L10" s="55" t="s">
        <v>2800</v>
      </c>
      <c r="M10" s="85"/>
      <c r="N10" s="155"/>
      <c r="O10" s="163"/>
      <c r="P10" s="163" t="s">
        <v>2136</v>
      </c>
      <c r="Q10" s="18" t="s">
        <v>3934</v>
      </c>
      <c r="R10" s="39"/>
      <c r="S10" s="40">
        <f>SUM(S3:S8)</f>
        <v>147</v>
      </c>
      <c r="T10" s="124"/>
      <c r="AA10" s="39"/>
      <c r="AB10" s="40">
        <f>SUM(AB3:AB8)</f>
        <v>89</v>
      </c>
      <c r="AC10" s="124"/>
      <c r="AD10" s="49"/>
      <c r="AE10" s="49"/>
      <c r="AF10" s="49"/>
      <c r="AG10" s="49"/>
      <c r="AH10" s="49"/>
      <c r="AI10" s="49"/>
      <c r="AJ10" s="39"/>
      <c r="AK10" s="40">
        <f>SUM(AK3:AK9)</f>
        <v>70</v>
      </c>
      <c r="AL10" s="124"/>
      <c r="AM10" s="49"/>
      <c r="AN10" s="49"/>
      <c r="AO10" s="49"/>
      <c r="AP10" s="49"/>
      <c r="AQ10" s="49"/>
      <c r="AR10" s="49"/>
      <c r="AS10" s="39"/>
      <c r="AT10" s="40">
        <f>SUM(AT3:AT9)</f>
        <v>327</v>
      </c>
      <c r="AU10" s="124"/>
      <c r="AV10" s="49"/>
      <c r="AW10" s="49"/>
      <c r="AX10" s="49"/>
      <c r="AY10" s="49"/>
      <c r="AZ10" s="49"/>
      <c r="BA10" s="49"/>
    </row>
    <row r="11" spans="1:53">
      <c r="A11" s="49" t="str">
        <f t="shared" si="0"/>
        <v>|W10|UR|真っ逆さま|2W|3|BFZ|S|||||寝生物破壊|</v>
      </c>
      <c r="B11" s="49" t="s">
        <v>1744</v>
      </c>
      <c r="C11" s="56" t="s">
        <v>1964</v>
      </c>
      <c r="D11" s="55" t="s">
        <v>34</v>
      </c>
      <c r="E11" s="55" t="s">
        <v>2089</v>
      </c>
      <c r="F11" s="55" t="s">
        <v>979</v>
      </c>
      <c r="G11" s="55">
        <v>3</v>
      </c>
      <c r="H11" s="55" t="s">
        <v>378</v>
      </c>
      <c r="I11" s="55" t="s">
        <v>1501</v>
      </c>
      <c r="J11" s="55" t="s">
        <v>2800</v>
      </c>
      <c r="K11" s="55" t="s">
        <v>2800</v>
      </c>
      <c r="L11" s="55" t="s">
        <v>2800</v>
      </c>
      <c r="M11" s="85"/>
      <c r="N11" s="155"/>
      <c r="O11" s="163" t="s">
        <v>3580</v>
      </c>
      <c r="P11" s="163" t="s">
        <v>3581</v>
      </c>
      <c r="Q11" s="18" t="s">
        <v>3934</v>
      </c>
      <c r="R11" s="185" t="s">
        <v>3925</v>
      </c>
      <c r="S11" s="109"/>
      <c r="T11" s="51" t="s">
        <v>3919</v>
      </c>
      <c r="U11" s="51" t="s">
        <v>3920</v>
      </c>
      <c r="V11" s="68" t="s">
        <v>3558</v>
      </c>
      <c r="W11" s="68" t="s">
        <v>3559</v>
      </c>
      <c r="X11" s="68" t="s">
        <v>3560</v>
      </c>
      <c r="Y11" s="68" t="s">
        <v>3922</v>
      </c>
      <c r="Z11" s="69" t="s">
        <v>3926</v>
      </c>
      <c r="AA11" s="185" t="s">
        <v>3929</v>
      </c>
      <c r="AB11" s="109"/>
      <c r="AC11" s="51" t="s">
        <v>3919</v>
      </c>
      <c r="AD11" s="51" t="s">
        <v>3920</v>
      </c>
      <c r="AE11" s="68" t="s">
        <v>3558</v>
      </c>
      <c r="AF11" s="68" t="s">
        <v>3559</v>
      </c>
      <c r="AG11" s="68" t="s">
        <v>3560</v>
      </c>
      <c r="AH11" s="68" t="s">
        <v>3922</v>
      </c>
      <c r="AI11" s="69" t="s">
        <v>3926</v>
      </c>
      <c r="AJ11" s="185" t="s">
        <v>3932</v>
      </c>
      <c r="AK11" s="109"/>
      <c r="AL11" s="51" t="s">
        <v>3919</v>
      </c>
      <c r="AM11" s="51" t="s">
        <v>3920</v>
      </c>
      <c r="AN11" s="68" t="s">
        <v>3558</v>
      </c>
      <c r="AO11" s="68" t="s">
        <v>3559</v>
      </c>
      <c r="AP11" s="68" t="s">
        <v>3560</v>
      </c>
      <c r="AQ11" s="68" t="s">
        <v>3922</v>
      </c>
      <c r="AR11" s="69" t="s">
        <v>3926</v>
      </c>
      <c r="AS11" s="185" t="s">
        <v>3936</v>
      </c>
      <c r="AT11" s="109"/>
      <c r="AU11" s="51" t="s">
        <v>3919</v>
      </c>
      <c r="AV11" s="51" t="s">
        <v>3920</v>
      </c>
      <c r="AW11" s="68" t="s">
        <v>3558</v>
      </c>
      <c r="AX11" s="68" t="s">
        <v>3559</v>
      </c>
      <c r="AY11" s="68" t="s">
        <v>3560</v>
      </c>
      <c r="AZ11" s="68" t="s">
        <v>3922</v>
      </c>
      <c r="BA11" s="69" t="s">
        <v>3926</v>
      </c>
    </row>
    <row r="12" spans="1:53">
      <c r="A12" s="49" t="str">
        <f t="shared" si="0"/>
        <v>|W11|他|安全な道|2W|3|M13|I|||||自軍受Dのみ無効|</v>
      </c>
      <c r="B12" s="49" t="s">
        <v>1744</v>
      </c>
      <c r="C12" s="56" t="s">
        <v>1965</v>
      </c>
      <c r="D12" s="55" t="s">
        <v>2143</v>
      </c>
      <c r="E12" s="55" t="s">
        <v>2277</v>
      </c>
      <c r="F12" s="55" t="s">
        <v>979</v>
      </c>
      <c r="G12" s="55">
        <v>3</v>
      </c>
      <c r="H12" s="55" t="s">
        <v>223</v>
      </c>
      <c r="I12" s="55" t="s">
        <v>1490</v>
      </c>
      <c r="J12" s="55" t="s">
        <v>2800</v>
      </c>
      <c r="K12" s="55" t="s">
        <v>2800</v>
      </c>
      <c r="L12" s="55" t="s">
        <v>2800</v>
      </c>
      <c r="M12" s="85"/>
      <c r="N12" s="155"/>
      <c r="O12" s="163"/>
      <c r="P12" s="163" t="s">
        <v>2278</v>
      </c>
      <c r="Q12" s="18" t="s">
        <v>3934</v>
      </c>
      <c r="R12" s="186" t="s">
        <v>923</v>
      </c>
      <c r="S12" s="110"/>
      <c r="T12" s="55">
        <f>COUNTIF(CoWT,$R12)</f>
        <v>12</v>
      </c>
      <c r="U12" s="55">
        <f>COUNTIF(CoUT,$R12)</f>
        <v>12</v>
      </c>
      <c r="V12" s="55">
        <f>COUNTIF(CoBT,$R12)</f>
        <v>12</v>
      </c>
      <c r="W12" s="55">
        <f>COUNTIF(CoRT,$R12)</f>
        <v>12</v>
      </c>
      <c r="X12" s="55">
        <f>COUNTIF(CoGT,$R12)</f>
        <v>13</v>
      </c>
      <c r="Y12" s="55">
        <f>COUNTIF(CoMT,$R12)</f>
        <v>15</v>
      </c>
      <c r="Z12" s="57">
        <f>COUNTIF(CoFT,"FC")</f>
        <v>2</v>
      </c>
      <c r="AA12" s="186" t="s">
        <v>923</v>
      </c>
      <c r="AB12" s="110"/>
      <c r="AC12" s="55">
        <f>COUNTIF(UCWT,$AA12)</f>
        <v>6</v>
      </c>
      <c r="AD12" s="55">
        <f>COUNTIF(UCUT,$AA12)</f>
        <v>5</v>
      </c>
      <c r="AE12" s="55">
        <f>COUNTIF(UCBT,$AA12)+COUNTIF(UCBT,"EC")</f>
        <v>5</v>
      </c>
      <c r="AF12" s="55">
        <f>COUNTIF(UCRT,$AA12)+COUNTIF(UCRT,"EC")</f>
        <v>7</v>
      </c>
      <c r="AG12" s="55">
        <f>COUNTIF(UCGT,$AA12)</f>
        <v>6</v>
      </c>
      <c r="AH12" s="55">
        <f>COUNTIF(UCMT,$AA12)</f>
        <v>16</v>
      </c>
      <c r="AI12" s="57">
        <f>COUNTIF(UCFT,"FC")</f>
        <v>1</v>
      </c>
      <c r="AJ12" s="186" t="s">
        <v>923</v>
      </c>
      <c r="AK12" s="110"/>
      <c r="AL12" s="55">
        <f>COUNTIF(ReWT,$AJ12)</f>
        <v>5</v>
      </c>
      <c r="AM12" s="55">
        <f>COUNTIF(ReUT,$AJ12)+COUNTIF(ReUT,"EC")</f>
        <v>5</v>
      </c>
      <c r="AN12" s="55">
        <f>COUNTIF(ReBT,$AJ12)+COUNTIF(ReBT,"EC")</f>
        <v>5</v>
      </c>
      <c r="AO12" s="55">
        <f>COUNTIF(ReRT,$AJ12)</f>
        <v>5</v>
      </c>
      <c r="AP12" s="55">
        <f>COUNTIF(ReGT,$AJ12)</f>
        <v>5</v>
      </c>
      <c r="AQ12" s="55">
        <f>COUNTIF(ReMT,$AJ12)</f>
        <v>9</v>
      </c>
      <c r="AR12" s="57">
        <f>COUNTIF(ReFT,"FC")</f>
        <v>1</v>
      </c>
      <c r="AS12" s="186" t="s">
        <v>923</v>
      </c>
      <c r="AT12" s="110"/>
      <c r="AU12" s="55">
        <f>T12+AC12+AL12</f>
        <v>23</v>
      </c>
      <c r="AV12" s="55">
        <f t="shared" ref="AV12:BA15" si="2">U12+AD12+AM12</f>
        <v>22</v>
      </c>
      <c r="AW12" s="55">
        <f t="shared" si="2"/>
        <v>22</v>
      </c>
      <c r="AX12" s="55">
        <f t="shared" si="2"/>
        <v>24</v>
      </c>
      <c r="AY12" s="55">
        <f t="shared" si="2"/>
        <v>24</v>
      </c>
      <c r="AZ12" s="55">
        <f t="shared" si="2"/>
        <v>40</v>
      </c>
      <c r="BA12" s="57">
        <f t="shared" si="2"/>
        <v>4</v>
      </c>
    </row>
    <row r="13" spans="1:53">
      <c r="A13" s="49" t="str">
        <f t="shared" si="0"/>
        <v>|W12|WB|霧のﾆﾌﾞﾘｽ|2W|3|DKA|C|ｽﾋﾟﾘｯﾄ|||2/1||</v>
      </c>
      <c r="B13" s="49" t="s">
        <v>1744</v>
      </c>
      <c r="C13" s="56" t="s">
        <v>1966</v>
      </c>
      <c r="D13" s="55" t="s">
        <v>33</v>
      </c>
      <c r="E13" s="55" t="s">
        <v>2986</v>
      </c>
      <c r="F13" s="55" t="s">
        <v>2813</v>
      </c>
      <c r="G13" s="55">
        <v>3</v>
      </c>
      <c r="H13" s="55" t="s">
        <v>3172</v>
      </c>
      <c r="I13" s="55" t="s">
        <v>923</v>
      </c>
      <c r="J13" s="55" t="s">
        <v>3305</v>
      </c>
      <c r="K13" s="55" t="s">
        <v>2800</v>
      </c>
      <c r="L13" s="55" t="s">
        <v>2800</v>
      </c>
      <c r="M13" s="85" t="s">
        <v>2814</v>
      </c>
      <c r="N13" s="155" t="s">
        <v>3582</v>
      </c>
      <c r="O13" s="163" t="s">
        <v>3561</v>
      </c>
      <c r="P13" s="163" t="s">
        <v>2800</v>
      </c>
      <c r="Q13" s="18" t="s">
        <v>3934</v>
      </c>
      <c r="R13" s="186" t="s">
        <v>1490</v>
      </c>
      <c r="S13" s="110"/>
      <c r="T13" s="55">
        <f>COUNTIF(CoWT,$R13)</f>
        <v>3</v>
      </c>
      <c r="U13" s="55">
        <f>COUNTIF(CoUT,$R13)</f>
        <v>4</v>
      </c>
      <c r="V13" s="55">
        <f>COUNTIF(CoBT,$R13)</f>
        <v>2</v>
      </c>
      <c r="W13" s="55">
        <f>COUNTIF(CoRT,$R13)</f>
        <v>2</v>
      </c>
      <c r="X13" s="55">
        <f>COUNTIF(CoGT,$R13)</f>
        <v>3</v>
      </c>
      <c r="Y13" s="55">
        <f>COUNTIF(CoMT,$R13)</f>
        <v>9</v>
      </c>
      <c r="Z13" s="57">
        <f>COUNTIF(CoFT,$R13)</f>
        <v>0</v>
      </c>
      <c r="AA13" s="186" t="s">
        <v>1490</v>
      </c>
      <c r="AB13" s="110"/>
      <c r="AC13" s="55">
        <f>COUNTIF(UCWT,$AA13)</f>
        <v>3</v>
      </c>
      <c r="AD13" s="55">
        <f>COUNTIF(UCUT,$AA13)</f>
        <v>3</v>
      </c>
      <c r="AE13" s="55">
        <f>COUNTIF(UCBT,$AA13)</f>
        <v>2</v>
      </c>
      <c r="AF13" s="55">
        <f>COUNTIF(UCRT,$AA13)</f>
        <v>2</v>
      </c>
      <c r="AG13" s="55">
        <f>COUNTIF(UCGT,$AA13)</f>
        <v>2</v>
      </c>
      <c r="AH13" s="55">
        <f>COUNTIF(UCMT,$AA13)</f>
        <v>6</v>
      </c>
      <c r="AI13" s="57">
        <f>COUNTIF(CoFT,$AA13)</f>
        <v>0</v>
      </c>
      <c r="AJ13" s="186" t="s">
        <v>1490</v>
      </c>
      <c r="AK13" s="110"/>
      <c r="AL13" s="55">
        <f>COUNTIF(ReWT,$AJ13)</f>
        <v>1</v>
      </c>
      <c r="AM13" s="55">
        <f>COUNTIF(ReUT,$AJ13)</f>
        <v>2</v>
      </c>
      <c r="AN13" s="55">
        <f>COUNTIF(ReBT,$AJ13)</f>
        <v>2</v>
      </c>
      <c r="AO13" s="55">
        <f>COUNTIF(ReRT,$AJ13)</f>
        <v>1</v>
      </c>
      <c r="AP13" s="55">
        <f>COUNTIF(ReGT,$AJ13)</f>
        <v>1</v>
      </c>
      <c r="AQ13" s="55">
        <f>COUNTIF(ReMT,$AJ13)</f>
        <v>1</v>
      </c>
      <c r="AR13" s="57">
        <f>COUNTIF(CoFT,$AJ13)</f>
        <v>0</v>
      </c>
      <c r="AS13" s="186" t="s">
        <v>1490</v>
      </c>
      <c r="AT13" s="110"/>
      <c r="AU13" s="55">
        <f t="shared" ref="AU13:AU15" si="3">T13+AC13+AL13</f>
        <v>7</v>
      </c>
      <c r="AV13" s="55">
        <f t="shared" si="2"/>
        <v>9</v>
      </c>
      <c r="AW13" s="55">
        <f t="shared" si="2"/>
        <v>6</v>
      </c>
      <c r="AX13" s="55">
        <f t="shared" si="2"/>
        <v>5</v>
      </c>
      <c r="AY13" s="55">
        <f t="shared" si="2"/>
        <v>6</v>
      </c>
      <c r="AZ13" s="55">
        <f t="shared" si="2"/>
        <v>16</v>
      </c>
      <c r="BA13" s="57">
        <f t="shared" si="2"/>
        <v>0</v>
      </c>
    </row>
    <row r="14" spans="1:53">
      <c r="A14" s="49" t="str">
        <f t="shared" si="0"/>
        <v>|W13|RW|蛾乗りの侍|3W|4|CHK|C|人間|侍||2/2||</v>
      </c>
      <c r="B14" s="49" t="s">
        <v>1744</v>
      </c>
      <c r="C14" s="56" t="s">
        <v>1967</v>
      </c>
      <c r="D14" s="55" t="s">
        <v>36</v>
      </c>
      <c r="E14" s="55" t="s">
        <v>1170</v>
      </c>
      <c r="F14" s="55" t="s">
        <v>981</v>
      </c>
      <c r="G14" s="55">
        <v>4</v>
      </c>
      <c r="H14" s="55" t="s">
        <v>347</v>
      </c>
      <c r="I14" s="55" t="s">
        <v>923</v>
      </c>
      <c r="J14" s="55" t="s">
        <v>1410</v>
      </c>
      <c r="K14" s="55" t="s">
        <v>2132</v>
      </c>
      <c r="L14" s="55" t="s">
        <v>2800</v>
      </c>
      <c r="M14" s="85" t="s">
        <v>1475</v>
      </c>
      <c r="N14" s="155"/>
      <c r="O14" s="163" t="s">
        <v>3937</v>
      </c>
      <c r="P14" s="163"/>
      <c r="Q14" s="18" t="s">
        <v>3934</v>
      </c>
      <c r="R14" s="186" t="s">
        <v>1501</v>
      </c>
      <c r="S14" s="110"/>
      <c r="T14" s="55">
        <f>COUNTIF(CoWT,$R14)</f>
        <v>3</v>
      </c>
      <c r="U14" s="55">
        <f>COUNTIF(CoUT,$R14)</f>
        <v>3</v>
      </c>
      <c r="V14" s="55">
        <f>COUNTIF(CoBT,$R14)</f>
        <v>4</v>
      </c>
      <c r="W14" s="55">
        <f>COUNTIF(CoRT,$R14)</f>
        <v>4</v>
      </c>
      <c r="X14" s="55">
        <f>COUNTIF(CoGT,$R14)</f>
        <v>3</v>
      </c>
      <c r="Y14" s="55">
        <f>COUNTIF(CoMT,$R14)</f>
        <v>1</v>
      </c>
      <c r="Z14" s="57">
        <f>COUNTIF(CoFT,$R14)</f>
        <v>0</v>
      </c>
      <c r="AA14" s="186" t="s">
        <v>1501</v>
      </c>
      <c r="AB14" s="110"/>
      <c r="AC14" s="55">
        <f>COUNTIF(UCWT,$AA14)</f>
        <v>1</v>
      </c>
      <c r="AD14" s="55">
        <f>COUNTIF(UCUT,$AA14)</f>
        <v>2</v>
      </c>
      <c r="AE14" s="55">
        <f>COUNTIF(UCBT,$AA14)</f>
        <v>3</v>
      </c>
      <c r="AF14" s="55">
        <f>COUNTIF(UCRT,$AA14)</f>
        <v>2</v>
      </c>
      <c r="AG14" s="55">
        <f>COUNTIF(UCGT,$AA14)</f>
        <v>2</v>
      </c>
      <c r="AH14" s="55">
        <f>COUNTIF(UCMT,$AA14)</f>
        <v>3</v>
      </c>
      <c r="AI14" s="57">
        <f>COUNTIF(CoFT,$AA14)</f>
        <v>0</v>
      </c>
      <c r="AJ14" s="186" t="s">
        <v>1501</v>
      </c>
      <c r="AK14" s="110"/>
      <c r="AL14" s="55">
        <f>COUNTIF(ReWT,$AJ14)</f>
        <v>1</v>
      </c>
      <c r="AM14" s="55">
        <f>COUNTIF(ReUT,$AJ14)</f>
        <v>2</v>
      </c>
      <c r="AN14" s="55">
        <f>COUNTIF(ReBT,$AJ14)</f>
        <v>1</v>
      </c>
      <c r="AO14" s="55">
        <f>COUNTIF(ReRT,$AJ14)</f>
        <v>2</v>
      </c>
      <c r="AP14" s="55">
        <f>COUNTIF(ReGT,$AJ14)</f>
        <v>2</v>
      </c>
      <c r="AQ14" s="55">
        <f>COUNTIF(ReMT,$AJ14)</f>
        <v>5</v>
      </c>
      <c r="AR14" s="57">
        <f>COUNTIF(CoFT,$AJ14)</f>
        <v>0</v>
      </c>
      <c r="AS14" s="186" t="s">
        <v>1501</v>
      </c>
      <c r="AT14" s="110"/>
      <c r="AU14" s="55">
        <f t="shared" si="3"/>
        <v>5</v>
      </c>
      <c r="AV14" s="55">
        <f t="shared" si="2"/>
        <v>7</v>
      </c>
      <c r="AW14" s="55">
        <f t="shared" si="2"/>
        <v>8</v>
      </c>
      <c r="AX14" s="55">
        <f t="shared" si="2"/>
        <v>8</v>
      </c>
      <c r="AY14" s="55">
        <f t="shared" si="2"/>
        <v>7</v>
      </c>
      <c r="AZ14" s="55">
        <f t="shared" si="2"/>
        <v>9</v>
      </c>
      <c r="BA14" s="57">
        <f t="shared" si="2"/>
        <v>0</v>
      </c>
    </row>
    <row r="15" spans="1:53" ht="14.25" thickBot="1">
      <c r="A15" s="49" t="str">
        <f t="shared" si="0"/>
        <v>|W14|WB|月明かりの徘徊者|3W|4|BOK|C|ｽﾋﾟﾘｯﾄ|||1/4|S:生物1任意色ﾌﾟﾛ|</v>
      </c>
      <c r="B15" s="49" t="s">
        <v>1744</v>
      </c>
      <c r="C15" s="56" t="s">
        <v>1968</v>
      </c>
      <c r="D15" s="55" t="s">
        <v>33</v>
      </c>
      <c r="E15" s="55" t="s">
        <v>1425</v>
      </c>
      <c r="F15" s="55" t="s">
        <v>981</v>
      </c>
      <c r="G15" s="55">
        <v>4</v>
      </c>
      <c r="H15" s="55" t="s">
        <v>348</v>
      </c>
      <c r="I15" s="55" t="s">
        <v>923</v>
      </c>
      <c r="J15" s="55" t="s">
        <v>3305</v>
      </c>
      <c r="K15" s="55" t="s">
        <v>2800</v>
      </c>
      <c r="L15" s="55" t="s">
        <v>2800</v>
      </c>
      <c r="M15" s="85" t="s">
        <v>1477</v>
      </c>
      <c r="N15" s="155"/>
      <c r="O15" s="163" t="s">
        <v>3766</v>
      </c>
      <c r="P15" s="163" t="s">
        <v>3619</v>
      </c>
      <c r="Q15" s="18" t="s">
        <v>3934</v>
      </c>
      <c r="R15" s="187" t="s">
        <v>1493</v>
      </c>
      <c r="S15" s="111"/>
      <c r="T15" s="54">
        <f>COUNTIF(CoWT,$R15)</f>
        <v>2</v>
      </c>
      <c r="U15" s="54">
        <f>COUNTIF(CoUT,$R15)</f>
        <v>1</v>
      </c>
      <c r="V15" s="54">
        <f>COUNTIF(CoBT,$R15)</f>
        <v>2</v>
      </c>
      <c r="W15" s="54">
        <f>COUNTIF(CoRT,$R15)</f>
        <v>2</v>
      </c>
      <c r="X15" s="54">
        <f>COUNTIF(CoGT,$R15)</f>
        <v>1</v>
      </c>
      <c r="Y15" s="54">
        <f>COUNTIF(CoMT,$R15)</f>
        <v>5</v>
      </c>
      <c r="Z15" s="11">
        <f>COUNTIF(CoFT,$R15)</f>
        <v>0</v>
      </c>
      <c r="AA15" s="187" t="s">
        <v>1493</v>
      </c>
      <c r="AB15" s="111"/>
      <c r="AC15" s="54">
        <f>COUNTIF(UCWT,$AA15)</f>
        <v>1</v>
      </c>
      <c r="AD15" s="54">
        <f>COUNTIF(UCUT,$AA15)</f>
        <v>1</v>
      </c>
      <c r="AE15" s="54">
        <f>COUNTIF(UCBT,$AA15)</f>
        <v>1</v>
      </c>
      <c r="AF15" s="54">
        <f>COUNTIF(UCRT,$AA15)</f>
        <v>0</v>
      </c>
      <c r="AG15" s="54">
        <f>COUNTIF(UCGT,$AA15)</f>
        <v>1</v>
      </c>
      <c r="AH15" s="54">
        <f>COUNTIF(UCMT,$AA15)</f>
        <v>0</v>
      </c>
      <c r="AI15" s="11">
        <f>COUNTIF(CoFT,$AA15)</f>
        <v>0</v>
      </c>
      <c r="AJ15" s="187" t="s">
        <v>1493</v>
      </c>
      <c r="AK15" s="111"/>
      <c r="AL15" s="54">
        <f>COUNTIF(ReWT,$AJ15)</f>
        <v>2</v>
      </c>
      <c r="AM15" s="54">
        <f>COUNTIF(ReUT,$AJ15)</f>
        <v>0</v>
      </c>
      <c r="AN15" s="54">
        <f>COUNTIF(ReBT,$AJ15)</f>
        <v>1</v>
      </c>
      <c r="AO15" s="54">
        <f>COUNTIF(ReRT,$AJ15)</f>
        <v>1</v>
      </c>
      <c r="AP15" s="54">
        <f>COUNTIF(ReGT,$AJ15)</f>
        <v>1</v>
      </c>
      <c r="AQ15" s="54">
        <f>COUNTIF(ReMT,$AJ15)</f>
        <v>1</v>
      </c>
      <c r="AR15" s="11">
        <f>COUNTIF(CoFT,$AJ15)</f>
        <v>0</v>
      </c>
      <c r="AS15" s="187" t="s">
        <v>1493</v>
      </c>
      <c r="AT15" s="111"/>
      <c r="AU15" s="55">
        <f t="shared" si="3"/>
        <v>5</v>
      </c>
      <c r="AV15" s="55">
        <f t="shared" si="2"/>
        <v>2</v>
      </c>
      <c r="AW15" s="55">
        <f t="shared" si="2"/>
        <v>4</v>
      </c>
      <c r="AX15" s="55">
        <f t="shared" si="2"/>
        <v>3</v>
      </c>
      <c r="AY15" s="55">
        <f t="shared" si="2"/>
        <v>3</v>
      </c>
      <c r="AZ15" s="55">
        <f t="shared" si="2"/>
        <v>6</v>
      </c>
      <c r="BA15" s="57">
        <f t="shared" si="2"/>
        <v>0</v>
      </c>
    </row>
    <row r="16" spans="1:53">
      <c r="A16" s="49" t="str">
        <f t="shared" si="0"/>
        <v>|W15|秘儀|天羅至の叫び|3W|4|CHK|S|秘儀||||生物3T|</v>
      </c>
      <c r="B16" s="49" t="s">
        <v>1744</v>
      </c>
      <c r="C16" s="56" t="s">
        <v>1969</v>
      </c>
      <c r="D16" s="55" t="s">
        <v>2147</v>
      </c>
      <c r="E16" s="55" t="s">
        <v>2084</v>
      </c>
      <c r="F16" s="55" t="s">
        <v>981</v>
      </c>
      <c r="G16" s="55">
        <v>4</v>
      </c>
      <c r="H16" s="55" t="s">
        <v>347</v>
      </c>
      <c r="I16" s="55" t="s">
        <v>1501</v>
      </c>
      <c r="J16" s="55" t="s">
        <v>2147</v>
      </c>
      <c r="K16" s="55" t="s">
        <v>2800</v>
      </c>
      <c r="L16" s="55" t="s">
        <v>2800</v>
      </c>
      <c r="M16" s="85"/>
      <c r="N16" s="155"/>
      <c r="O16" s="163"/>
      <c r="P16" s="163" t="s">
        <v>2148</v>
      </c>
      <c r="Q16" s="18" t="s">
        <v>3934</v>
      </c>
      <c r="R16" s="188" t="s">
        <v>3927</v>
      </c>
      <c r="S16" s="189"/>
      <c r="T16" s="51" t="s">
        <v>5</v>
      </c>
      <c r="U16" s="51" t="s">
        <v>4</v>
      </c>
      <c r="V16" s="51" t="s">
        <v>3</v>
      </c>
      <c r="W16" s="51" t="s">
        <v>2</v>
      </c>
      <c r="X16" s="51" t="s">
        <v>28</v>
      </c>
      <c r="Y16" s="51" t="s">
        <v>3921</v>
      </c>
      <c r="Z16" s="52" t="s">
        <v>2237</v>
      </c>
      <c r="AA16" s="188" t="s">
        <v>3930</v>
      </c>
      <c r="AB16" s="189"/>
      <c r="AC16" s="51" t="s">
        <v>5</v>
      </c>
      <c r="AD16" s="51" t="s">
        <v>4</v>
      </c>
      <c r="AE16" s="51" t="s">
        <v>3</v>
      </c>
      <c r="AF16" s="51" t="s">
        <v>2</v>
      </c>
      <c r="AG16" s="51" t="s">
        <v>28</v>
      </c>
      <c r="AH16" s="51" t="s">
        <v>3921</v>
      </c>
      <c r="AI16" s="52" t="s">
        <v>2237</v>
      </c>
      <c r="AJ16" s="188" t="s">
        <v>3933</v>
      </c>
      <c r="AK16" s="189"/>
      <c r="AL16" s="51" t="s">
        <v>5</v>
      </c>
      <c r="AM16" s="51" t="s">
        <v>4</v>
      </c>
      <c r="AN16" s="51" t="s">
        <v>3</v>
      </c>
      <c r="AO16" s="51" t="s">
        <v>2</v>
      </c>
      <c r="AP16" s="51" t="s">
        <v>28</v>
      </c>
      <c r="AQ16" s="51" t="s">
        <v>3921</v>
      </c>
      <c r="AR16" s="52" t="s">
        <v>2237</v>
      </c>
      <c r="AS16" s="188" t="s">
        <v>3936</v>
      </c>
      <c r="AT16" s="189"/>
      <c r="AU16" s="51" t="s">
        <v>5</v>
      </c>
      <c r="AV16" s="51" t="s">
        <v>4</v>
      </c>
      <c r="AW16" s="51" t="s">
        <v>3</v>
      </c>
      <c r="AX16" s="51" t="s">
        <v>2</v>
      </c>
      <c r="AY16" s="51" t="s">
        <v>28</v>
      </c>
      <c r="AZ16" s="51" t="s">
        <v>3921</v>
      </c>
      <c r="BA16" s="52" t="s">
        <v>2237</v>
      </c>
    </row>
    <row r="17" spans="1:53">
      <c r="A17" s="49" t="str">
        <f t="shared" si="0"/>
        <v>|W16|除去|信仰の足枷|3W|4|RAV|E|ｵｰﾗ||||Pa 攻防起不可 4回復|</v>
      </c>
      <c r="B17" s="49" t="s">
        <v>1744</v>
      </c>
      <c r="C17" s="56" t="s">
        <v>1970</v>
      </c>
      <c r="D17" s="55" t="s">
        <v>2135</v>
      </c>
      <c r="E17" s="55" t="s">
        <v>2085</v>
      </c>
      <c r="F17" s="55" t="s">
        <v>981</v>
      </c>
      <c r="G17" s="55">
        <v>4</v>
      </c>
      <c r="H17" s="55" t="s">
        <v>279</v>
      </c>
      <c r="I17" s="55" t="s">
        <v>1493</v>
      </c>
      <c r="J17" s="55" t="s">
        <v>3307</v>
      </c>
      <c r="K17" s="55" t="s">
        <v>2800</v>
      </c>
      <c r="L17" s="55" t="s">
        <v>2800</v>
      </c>
      <c r="M17" s="85"/>
      <c r="N17" s="155"/>
      <c r="O17" s="163"/>
      <c r="P17" s="163" t="s">
        <v>3620</v>
      </c>
      <c r="Q17" s="18" t="s">
        <v>3934</v>
      </c>
      <c r="R17" s="56">
        <v>1</v>
      </c>
      <c r="S17" s="55">
        <f t="shared" ref="S17:S22" si="4">COUNTIF(CoCMC,$R17)</f>
        <v>11</v>
      </c>
      <c r="T17" s="55">
        <f t="shared" ref="T17:T23" si="5">COUNTIF(CoWCMC,$R17)</f>
        <v>1</v>
      </c>
      <c r="U17" s="55">
        <f t="shared" ref="U17:U23" si="6">COUNTIF(CoUCMC,$R17)</f>
        <v>1</v>
      </c>
      <c r="V17" s="55">
        <f t="shared" ref="V17:V23" si="7">COUNTIF(CoBCMC,$R17)</f>
        <v>1</v>
      </c>
      <c r="W17" s="55">
        <f t="shared" ref="W17:W23" si="8">COUNTIF(CoRCMC,$R17)</f>
        <v>1</v>
      </c>
      <c r="X17" s="55">
        <f t="shared" ref="X17:X22" si="9">COUNTIF(CoGCMC,$R17)</f>
        <v>2</v>
      </c>
      <c r="Y17" s="55">
        <f t="shared" ref="Y17:Y23" si="10">COUNTIF(CoMCMC,$R17)</f>
        <v>5</v>
      </c>
      <c r="Z17" s="57">
        <f t="shared" ref="Z17:Z23" si="11">COUNTIF(CoFCMC,$R17)</f>
        <v>0</v>
      </c>
      <c r="AA17" s="56">
        <v>1</v>
      </c>
      <c r="AB17" s="55">
        <f t="shared" ref="AB17:AB22" si="12">COUNTIF(UCCMC,$AA17)</f>
        <v>5</v>
      </c>
      <c r="AC17" s="55">
        <f t="shared" ref="AC17:AC22" si="13">COUNTIF(UCWCMC,$AA17)</f>
        <v>1</v>
      </c>
      <c r="AD17" s="55">
        <f t="shared" ref="AD17:AD22" si="14">COUNTIF(UCUCMC,$AA17)</f>
        <v>1</v>
      </c>
      <c r="AE17" s="55">
        <f t="shared" ref="AE17:AE22" si="15">COUNTIF(UCBCMC,$AA17)</f>
        <v>1</v>
      </c>
      <c r="AF17" s="55">
        <f t="shared" ref="AF17:AF22" si="16">COUNTIF(UCRCMC,$AA17)</f>
        <v>0</v>
      </c>
      <c r="AG17" s="55">
        <f t="shared" ref="AG17:AG22" si="17">COUNTIF(UCGCMC,$AA17)</f>
        <v>1</v>
      </c>
      <c r="AH17" s="55">
        <f t="shared" ref="AH17:AH22" si="18">COUNTIF(UCMCMC,$AA17)</f>
        <v>0</v>
      </c>
      <c r="AI17" s="57">
        <f t="shared" ref="AI17:AI22" si="19">COUNTIF(UCFCMC,$AA17)</f>
        <v>1</v>
      </c>
      <c r="AJ17" s="56">
        <v>1</v>
      </c>
      <c r="AK17" s="55">
        <f t="shared" ref="AK17:AK22" si="20">COUNTIF(ReCMC,$AJ17)</f>
        <v>5</v>
      </c>
      <c r="AL17" s="55">
        <f t="shared" ref="AL17:AL22" si="21">COUNTIF(ReWCMC,$AJ17)</f>
        <v>1</v>
      </c>
      <c r="AM17" s="55">
        <f t="shared" ref="AM17:AM22" si="22">COUNTIF(CoUCMC,$AJ17)</f>
        <v>1</v>
      </c>
      <c r="AN17" s="55">
        <f t="shared" ref="AN17:AN22" si="23">COUNTIF(CoBCMC,$AJ17)</f>
        <v>1</v>
      </c>
      <c r="AO17" s="55">
        <f t="shared" ref="AO17:AO22" si="24">COUNTIF(CoRCMC,$AJ17)</f>
        <v>1</v>
      </c>
      <c r="AP17" s="55">
        <f t="shared" ref="AP17:AP22" si="25">COUNTIF(CoGCMC,$AJ17)</f>
        <v>2</v>
      </c>
      <c r="AQ17" s="55">
        <f t="shared" ref="AQ17:AQ22" si="26">COUNTIF(CoMCMC,$AJ17)</f>
        <v>5</v>
      </c>
      <c r="AR17" s="57">
        <f t="shared" ref="AR17:AR22" si="27">COUNTIF(CoFCMC,$AJ17)</f>
        <v>0</v>
      </c>
      <c r="AS17" s="56">
        <v>1</v>
      </c>
      <c r="AT17" s="55">
        <f>S17+AB17+AK17</f>
        <v>21</v>
      </c>
      <c r="AU17" s="55">
        <f>T17+AC17+AL17</f>
        <v>3</v>
      </c>
      <c r="AV17" s="55">
        <f t="shared" ref="AU17:BA23" si="28">U17+AD17+AM17</f>
        <v>3</v>
      </c>
      <c r="AW17" s="55">
        <f t="shared" si="28"/>
        <v>3</v>
      </c>
      <c r="AX17" s="55">
        <f t="shared" si="28"/>
        <v>2</v>
      </c>
      <c r="AY17" s="55">
        <f t="shared" si="28"/>
        <v>5</v>
      </c>
      <c r="AZ17" s="55">
        <f t="shared" si="28"/>
        <v>10</v>
      </c>
      <c r="BA17" s="57">
        <f t="shared" si="28"/>
        <v>1</v>
      </c>
    </row>
    <row r="18" spans="1:53">
      <c r="A18" s="49" t="str">
        <f t="shared" si="0"/>
        <v>|W17|RW|狐の明け刃|4W|5|CHK|C|狐|侍||2/3||</v>
      </c>
      <c r="B18" s="49" t="s">
        <v>1744</v>
      </c>
      <c r="C18" s="56" t="s">
        <v>1971</v>
      </c>
      <c r="D18" s="55" t="s">
        <v>36</v>
      </c>
      <c r="E18" s="55" t="s">
        <v>1177</v>
      </c>
      <c r="F18" s="55" t="s">
        <v>986</v>
      </c>
      <c r="G18" s="55">
        <v>5</v>
      </c>
      <c r="H18" s="55" t="s">
        <v>347</v>
      </c>
      <c r="I18" s="55" t="s">
        <v>923</v>
      </c>
      <c r="J18" s="55" t="s">
        <v>2138</v>
      </c>
      <c r="K18" s="55" t="s">
        <v>2132</v>
      </c>
      <c r="L18" s="55" t="s">
        <v>2800</v>
      </c>
      <c r="M18" s="85" t="s">
        <v>2815</v>
      </c>
      <c r="N18" s="155" t="s">
        <v>3582</v>
      </c>
      <c r="O18" s="163" t="s">
        <v>3585</v>
      </c>
      <c r="P18" s="163" t="s">
        <v>2800</v>
      </c>
      <c r="Q18" s="18" t="s">
        <v>3934</v>
      </c>
      <c r="R18" s="56">
        <v>2</v>
      </c>
      <c r="S18" s="55">
        <f t="shared" si="4"/>
        <v>35</v>
      </c>
      <c r="T18" s="55">
        <f t="shared" si="5"/>
        <v>5</v>
      </c>
      <c r="U18" s="55">
        <f t="shared" si="6"/>
        <v>4</v>
      </c>
      <c r="V18" s="55">
        <f t="shared" si="7"/>
        <v>5</v>
      </c>
      <c r="W18" s="55">
        <f t="shared" si="8"/>
        <v>6</v>
      </c>
      <c r="X18" s="55">
        <f t="shared" si="9"/>
        <v>5</v>
      </c>
      <c r="Y18" s="55">
        <f t="shared" si="10"/>
        <v>10</v>
      </c>
      <c r="Z18" s="57">
        <f t="shared" si="11"/>
        <v>0</v>
      </c>
      <c r="AA18" s="56">
        <v>2</v>
      </c>
      <c r="AB18" s="55">
        <f t="shared" si="12"/>
        <v>20</v>
      </c>
      <c r="AC18" s="55">
        <f t="shared" si="13"/>
        <v>3</v>
      </c>
      <c r="AD18" s="55">
        <f t="shared" si="14"/>
        <v>2</v>
      </c>
      <c r="AE18" s="55">
        <f t="shared" si="15"/>
        <v>2</v>
      </c>
      <c r="AF18" s="55">
        <f t="shared" si="16"/>
        <v>3</v>
      </c>
      <c r="AG18" s="55">
        <f t="shared" si="17"/>
        <v>2</v>
      </c>
      <c r="AH18" s="55">
        <f t="shared" si="18"/>
        <v>8</v>
      </c>
      <c r="AI18" s="57">
        <f t="shared" si="19"/>
        <v>0</v>
      </c>
      <c r="AJ18" s="56">
        <v>2</v>
      </c>
      <c r="AK18" s="55">
        <f t="shared" si="20"/>
        <v>11</v>
      </c>
      <c r="AL18" s="55">
        <f t="shared" si="21"/>
        <v>3</v>
      </c>
      <c r="AM18" s="55">
        <f t="shared" si="22"/>
        <v>4</v>
      </c>
      <c r="AN18" s="55">
        <f t="shared" si="23"/>
        <v>5</v>
      </c>
      <c r="AO18" s="55">
        <f t="shared" si="24"/>
        <v>6</v>
      </c>
      <c r="AP18" s="55">
        <f t="shared" si="25"/>
        <v>5</v>
      </c>
      <c r="AQ18" s="55">
        <f t="shared" si="26"/>
        <v>10</v>
      </c>
      <c r="AR18" s="57">
        <f t="shared" si="27"/>
        <v>0</v>
      </c>
      <c r="AS18" s="56">
        <v>2</v>
      </c>
      <c r="AT18" s="55">
        <f t="shared" ref="AT18:AT23" si="29">S18+AB18+AK18</f>
        <v>66</v>
      </c>
      <c r="AU18" s="55">
        <f t="shared" si="28"/>
        <v>11</v>
      </c>
      <c r="AV18" s="55">
        <f t="shared" si="28"/>
        <v>10</v>
      </c>
      <c r="AW18" s="55">
        <f t="shared" si="28"/>
        <v>12</v>
      </c>
      <c r="AX18" s="55">
        <f t="shared" si="28"/>
        <v>15</v>
      </c>
      <c r="AY18" s="55">
        <f t="shared" si="28"/>
        <v>12</v>
      </c>
      <c r="AZ18" s="55">
        <f t="shared" si="28"/>
        <v>28</v>
      </c>
      <c r="BA18" s="57">
        <f t="shared" si="28"/>
        <v>0</v>
      </c>
    </row>
    <row r="19" spans="1:53">
      <c r="A19" s="49" t="str">
        <f t="shared" si="0"/>
        <v>|W18|他|探検の猛禽|3WW|5|OGW|C|鳥|||2/2||</v>
      </c>
      <c r="B19" s="49" t="s">
        <v>1744</v>
      </c>
      <c r="C19" s="56" t="s">
        <v>1972</v>
      </c>
      <c r="D19" s="55" t="s">
        <v>3190</v>
      </c>
      <c r="E19" s="55" t="s">
        <v>3191</v>
      </c>
      <c r="F19" s="55" t="s">
        <v>3192</v>
      </c>
      <c r="G19" s="55">
        <v>5</v>
      </c>
      <c r="H19" s="55" t="s">
        <v>3193</v>
      </c>
      <c r="I19" s="55" t="s">
        <v>923</v>
      </c>
      <c r="J19" s="55" t="s">
        <v>2157</v>
      </c>
      <c r="K19" s="55" t="s">
        <v>2800</v>
      </c>
      <c r="L19" s="55" t="s">
        <v>2800</v>
      </c>
      <c r="M19" s="85" t="s">
        <v>3194</v>
      </c>
      <c r="N19" s="155" t="s">
        <v>3586</v>
      </c>
      <c r="O19" s="163" t="s">
        <v>3587</v>
      </c>
      <c r="P19" s="163" t="s">
        <v>2800</v>
      </c>
      <c r="Q19" s="18" t="s">
        <v>3934</v>
      </c>
      <c r="R19" s="56">
        <v>3</v>
      </c>
      <c r="S19" s="55">
        <f t="shared" si="4"/>
        <v>36</v>
      </c>
      <c r="T19" s="55">
        <f t="shared" si="5"/>
        <v>6</v>
      </c>
      <c r="U19" s="55">
        <f t="shared" si="6"/>
        <v>5</v>
      </c>
      <c r="V19" s="55">
        <f t="shared" si="7"/>
        <v>5</v>
      </c>
      <c r="W19" s="55">
        <f t="shared" si="8"/>
        <v>5</v>
      </c>
      <c r="X19" s="55">
        <f t="shared" si="9"/>
        <v>5</v>
      </c>
      <c r="Y19" s="55">
        <f t="shared" si="10"/>
        <v>5</v>
      </c>
      <c r="Z19" s="57">
        <f t="shared" si="11"/>
        <v>5</v>
      </c>
      <c r="AA19" s="56">
        <v>3</v>
      </c>
      <c r="AB19" s="55">
        <f t="shared" si="12"/>
        <v>21</v>
      </c>
      <c r="AC19" s="55">
        <f t="shared" si="13"/>
        <v>3</v>
      </c>
      <c r="AD19" s="55">
        <f t="shared" si="14"/>
        <v>4</v>
      </c>
      <c r="AE19" s="55">
        <f t="shared" si="15"/>
        <v>2</v>
      </c>
      <c r="AF19" s="55">
        <f t="shared" si="16"/>
        <v>3</v>
      </c>
      <c r="AG19" s="55">
        <f t="shared" si="17"/>
        <v>1</v>
      </c>
      <c r="AH19" s="55">
        <f t="shared" si="18"/>
        <v>8</v>
      </c>
      <c r="AI19" s="57">
        <f t="shared" si="19"/>
        <v>0</v>
      </c>
      <c r="AJ19" s="56">
        <v>3</v>
      </c>
      <c r="AK19" s="55">
        <f t="shared" si="20"/>
        <v>10</v>
      </c>
      <c r="AL19" s="55">
        <f t="shared" si="21"/>
        <v>1</v>
      </c>
      <c r="AM19" s="55">
        <f t="shared" si="22"/>
        <v>5</v>
      </c>
      <c r="AN19" s="55">
        <f t="shared" si="23"/>
        <v>5</v>
      </c>
      <c r="AO19" s="55">
        <f t="shared" si="24"/>
        <v>5</v>
      </c>
      <c r="AP19" s="55">
        <f t="shared" si="25"/>
        <v>5</v>
      </c>
      <c r="AQ19" s="55">
        <f t="shared" si="26"/>
        <v>5</v>
      </c>
      <c r="AR19" s="57">
        <f t="shared" si="27"/>
        <v>5</v>
      </c>
      <c r="AS19" s="56">
        <v>3</v>
      </c>
      <c r="AT19" s="55">
        <f t="shared" si="29"/>
        <v>67</v>
      </c>
      <c r="AU19" s="55">
        <f t="shared" si="28"/>
        <v>10</v>
      </c>
      <c r="AV19" s="55">
        <f t="shared" si="28"/>
        <v>14</v>
      </c>
      <c r="AW19" s="55">
        <f t="shared" si="28"/>
        <v>12</v>
      </c>
      <c r="AX19" s="55">
        <f t="shared" si="28"/>
        <v>13</v>
      </c>
      <c r="AY19" s="55">
        <f t="shared" si="28"/>
        <v>11</v>
      </c>
      <c r="AZ19" s="55">
        <f t="shared" si="28"/>
        <v>18</v>
      </c>
      <c r="BA19" s="57">
        <f>Z19+AI19+AR19</f>
        <v>10</v>
      </c>
    </row>
    <row r="20" spans="1:53">
      <c r="A20" s="49" t="str">
        <f t="shared" si="0"/>
        <v>|W19|slv|血清Slv|4W|5|FUT|C|ｽﾘヴｧｰ|||3/3||</v>
      </c>
      <c r="B20" s="49" t="s">
        <v>1744</v>
      </c>
      <c r="C20" s="56" t="s">
        <v>1973</v>
      </c>
      <c r="D20" s="55" t="s">
        <v>2103</v>
      </c>
      <c r="E20" s="55" t="s">
        <v>1070</v>
      </c>
      <c r="F20" s="55" t="s">
        <v>986</v>
      </c>
      <c r="G20" s="55">
        <v>5</v>
      </c>
      <c r="H20" s="55" t="s">
        <v>354</v>
      </c>
      <c r="I20" s="55" t="s">
        <v>923</v>
      </c>
      <c r="J20" s="55" t="s">
        <v>3304</v>
      </c>
      <c r="K20" s="55" t="s">
        <v>2800</v>
      </c>
      <c r="L20" s="55" t="s">
        <v>2800</v>
      </c>
      <c r="M20" s="85" t="s">
        <v>1479</v>
      </c>
      <c r="N20" s="155"/>
      <c r="O20" s="163" t="s">
        <v>3563</v>
      </c>
      <c r="P20" s="163" t="s">
        <v>2800</v>
      </c>
      <c r="Q20" s="18" t="s">
        <v>3934</v>
      </c>
      <c r="R20" s="56">
        <v>4</v>
      </c>
      <c r="S20" s="55">
        <f t="shared" si="4"/>
        <v>26</v>
      </c>
      <c r="T20" s="55">
        <f t="shared" si="5"/>
        <v>4</v>
      </c>
      <c r="U20" s="55">
        <f t="shared" si="6"/>
        <v>5</v>
      </c>
      <c r="V20" s="55">
        <f t="shared" si="7"/>
        <v>3</v>
      </c>
      <c r="W20" s="55">
        <f t="shared" si="8"/>
        <v>3</v>
      </c>
      <c r="X20" s="55">
        <f t="shared" si="9"/>
        <v>4</v>
      </c>
      <c r="Y20" s="55">
        <f t="shared" si="10"/>
        <v>6</v>
      </c>
      <c r="Z20" s="57">
        <f t="shared" si="11"/>
        <v>1</v>
      </c>
      <c r="AA20" s="56">
        <v>4</v>
      </c>
      <c r="AB20" s="55">
        <f t="shared" si="12"/>
        <v>21</v>
      </c>
      <c r="AC20" s="55">
        <f t="shared" si="13"/>
        <v>1</v>
      </c>
      <c r="AD20" s="55">
        <f t="shared" si="14"/>
        <v>3</v>
      </c>
      <c r="AE20" s="55">
        <f t="shared" si="15"/>
        <v>3</v>
      </c>
      <c r="AF20" s="55">
        <f t="shared" si="16"/>
        <v>3</v>
      </c>
      <c r="AG20" s="55">
        <f t="shared" si="17"/>
        <v>2</v>
      </c>
      <c r="AH20" s="55">
        <f t="shared" si="18"/>
        <v>7</v>
      </c>
      <c r="AI20" s="57">
        <f t="shared" si="19"/>
        <v>2</v>
      </c>
      <c r="AJ20" s="56">
        <v>4</v>
      </c>
      <c r="AK20" s="55">
        <f t="shared" si="20"/>
        <v>13</v>
      </c>
      <c r="AL20" s="55">
        <f t="shared" si="21"/>
        <v>2</v>
      </c>
      <c r="AM20" s="55">
        <f t="shared" si="22"/>
        <v>5</v>
      </c>
      <c r="AN20" s="55">
        <f t="shared" si="23"/>
        <v>3</v>
      </c>
      <c r="AO20" s="55">
        <f t="shared" si="24"/>
        <v>3</v>
      </c>
      <c r="AP20" s="55">
        <f t="shared" si="25"/>
        <v>4</v>
      </c>
      <c r="AQ20" s="55">
        <f t="shared" si="26"/>
        <v>6</v>
      </c>
      <c r="AR20" s="57">
        <f t="shared" si="27"/>
        <v>1</v>
      </c>
      <c r="AS20" s="56">
        <v>4</v>
      </c>
      <c r="AT20" s="55">
        <f t="shared" si="29"/>
        <v>60</v>
      </c>
      <c r="AU20" s="55">
        <f t="shared" si="28"/>
        <v>7</v>
      </c>
      <c r="AV20" s="55">
        <f t="shared" si="28"/>
        <v>13</v>
      </c>
      <c r="AW20" s="55">
        <f t="shared" si="28"/>
        <v>9</v>
      </c>
      <c r="AX20" s="55">
        <f t="shared" si="28"/>
        <v>9</v>
      </c>
      <c r="AY20" s="55">
        <f t="shared" si="28"/>
        <v>10</v>
      </c>
      <c r="AZ20" s="55">
        <f t="shared" si="28"/>
        <v>19</v>
      </c>
      <c r="BA20" s="57">
        <f t="shared" si="28"/>
        <v>4</v>
      </c>
    </row>
    <row r="21" spans="1:53" ht="14.25" thickBot="1">
      <c r="A21" s="49" t="str">
        <f t="shared" si="0"/>
        <v>|W20|WB|三つぞろいの霊魂|4WW|6|M15|S|||||飛行1/1spri×3|</v>
      </c>
      <c r="B21" s="49" t="s">
        <v>1744</v>
      </c>
      <c r="C21" s="53" t="s">
        <v>1974</v>
      </c>
      <c r="D21" s="54" t="s">
        <v>33</v>
      </c>
      <c r="E21" s="54" t="s">
        <v>2895</v>
      </c>
      <c r="F21" s="54" t="s">
        <v>2806</v>
      </c>
      <c r="G21" s="54">
        <v>6</v>
      </c>
      <c r="H21" s="54" t="s">
        <v>2807</v>
      </c>
      <c r="I21" s="54" t="s">
        <v>1501</v>
      </c>
      <c r="J21" s="54" t="s">
        <v>2800</v>
      </c>
      <c r="K21" s="54" t="s">
        <v>2800</v>
      </c>
      <c r="L21" s="54" t="s">
        <v>2800</v>
      </c>
      <c r="M21" s="93"/>
      <c r="N21" s="164"/>
      <c r="O21" s="180" t="s">
        <v>3564</v>
      </c>
      <c r="P21" s="83" t="s">
        <v>3588</v>
      </c>
      <c r="Q21" s="18" t="s">
        <v>3934</v>
      </c>
      <c r="R21" s="56">
        <v>5</v>
      </c>
      <c r="S21" s="55">
        <f t="shared" si="4"/>
        <v>20</v>
      </c>
      <c r="T21" s="55">
        <f t="shared" si="5"/>
        <v>3</v>
      </c>
      <c r="U21" s="55">
        <f t="shared" si="6"/>
        <v>4</v>
      </c>
      <c r="V21" s="55">
        <f t="shared" si="7"/>
        <v>5</v>
      </c>
      <c r="W21" s="55">
        <f t="shared" si="8"/>
        <v>2</v>
      </c>
      <c r="X21" s="55">
        <f t="shared" si="9"/>
        <v>2</v>
      </c>
      <c r="Y21" s="55">
        <f t="shared" si="10"/>
        <v>3</v>
      </c>
      <c r="Z21" s="57">
        <f t="shared" si="11"/>
        <v>1</v>
      </c>
      <c r="AA21" s="56">
        <v>5</v>
      </c>
      <c r="AB21" s="55">
        <f t="shared" si="12"/>
        <v>9</v>
      </c>
      <c r="AC21" s="55">
        <f t="shared" si="13"/>
        <v>2</v>
      </c>
      <c r="AD21" s="55">
        <f t="shared" si="14"/>
        <v>0</v>
      </c>
      <c r="AE21" s="55">
        <f t="shared" si="15"/>
        <v>1</v>
      </c>
      <c r="AF21" s="55">
        <f t="shared" si="16"/>
        <v>0</v>
      </c>
      <c r="AG21" s="55">
        <f t="shared" si="17"/>
        <v>3</v>
      </c>
      <c r="AH21" s="55">
        <f t="shared" si="18"/>
        <v>2</v>
      </c>
      <c r="AI21" s="57">
        <f t="shared" si="19"/>
        <v>1</v>
      </c>
      <c r="AJ21" s="56">
        <v>5</v>
      </c>
      <c r="AK21" s="55">
        <f t="shared" si="20"/>
        <v>12</v>
      </c>
      <c r="AL21" s="55">
        <f t="shared" si="21"/>
        <v>1</v>
      </c>
      <c r="AM21" s="55">
        <f t="shared" si="22"/>
        <v>4</v>
      </c>
      <c r="AN21" s="55">
        <f t="shared" si="23"/>
        <v>5</v>
      </c>
      <c r="AO21" s="55">
        <f t="shared" si="24"/>
        <v>2</v>
      </c>
      <c r="AP21" s="55">
        <f t="shared" si="25"/>
        <v>2</v>
      </c>
      <c r="AQ21" s="55">
        <f t="shared" si="26"/>
        <v>3</v>
      </c>
      <c r="AR21" s="57">
        <f t="shared" si="27"/>
        <v>1</v>
      </c>
      <c r="AS21" s="56">
        <v>5</v>
      </c>
      <c r="AT21" s="55">
        <f t="shared" si="29"/>
        <v>41</v>
      </c>
      <c r="AU21" s="55">
        <f t="shared" si="28"/>
        <v>6</v>
      </c>
      <c r="AV21" s="55">
        <f t="shared" si="28"/>
        <v>8</v>
      </c>
      <c r="AW21" s="55">
        <f t="shared" si="28"/>
        <v>11</v>
      </c>
      <c r="AX21" s="55">
        <f t="shared" si="28"/>
        <v>4</v>
      </c>
      <c r="AY21" s="55">
        <f t="shared" si="28"/>
        <v>7</v>
      </c>
      <c r="AZ21" s="55">
        <f t="shared" si="28"/>
        <v>8</v>
      </c>
      <c r="BA21" s="57">
        <f t="shared" si="28"/>
        <v>3</v>
      </c>
    </row>
    <row r="22" spans="1:53">
      <c r="A22" s="49" t="str">
        <f t="shared" si="0"/>
        <v>|U01|UR|掴み掛かる水流|U|1|BFZ|S|||||排撃 |</v>
      </c>
      <c r="B22" s="49" t="s">
        <v>1744</v>
      </c>
      <c r="C22" s="50" t="s">
        <v>2151</v>
      </c>
      <c r="D22" s="51" t="s">
        <v>34</v>
      </c>
      <c r="E22" s="51" t="s">
        <v>2130</v>
      </c>
      <c r="F22" s="51" t="s">
        <v>4</v>
      </c>
      <c r="G22" s="51">
        <v>1</v>
      </c>
      <c r="H22" s="51" t="s">
        <v>378</v>
      </c>
      <c r="I22" s="51" t="s">
        <v>1501</v>
      </c>
      <c r="J22" s="51" t="s">
        <v>2800</v>
      </c>
      <c r="K22" s="51" t="s">
        <v>2800</v>
      </c>
      <c r="L22" s="51" t="s">
        <v>2800</v>
      </c>
      <c r="M22" s="92"/>
      <c r="N22" s="156"/>
      <c r="O22" s="165" t="s">
        <v>3589</v>
      </c>
      <c r="P22" s="165" t="s">
        <v>3621</v>
      </c>
      <c r="Q22" s="18" t="s">
        <v>3934</v>
      </c>
      <c r="R22" s="56">
        <v>6</v>
      </c>
      <c r="S22" s="55">
        <f t="shared" si="4"/>
        <v>9</v>
      </c>
      <c r="T22" s="55">
        <f t="shared" si="5"/>
        <v>1</v>
      </c>
      <c r="U22" s="55">
        <f t="shared" si="6"/>
        <v>1</v>
      </c>
      <c r="V22" s="55">
        <f t="shared" si="7"/>
        <v>1</v>
      </c>
      <c r="W22" s="55">
        <f t="shared" si="8"/>
        <v>3</v>
      </c>
      <c r="X22" s="55">
        <f t="shared" si="9"/>
        <v>1</v>
      </c>
      <c r="Y22" s="55">
        <f t="shared" si="10"/>
        <v>1</v>
      </c>
      <c r="Z22" s="57">
        <f t="shared" si="11"/>
        <v>1</v>
      </c>
      <c r="AA22" s="56">
        <v>6</v>
      </c>
      <c r="AB22" s="55">
        <f t="shared" si="12"/>
        <v>6</v>
      </c>
      <c r="AC22" s="55">
        <f t="shared" si="13"/>
        <v>1</v>
      </c>
      <c r="AD22" s="55">
        <f t="shared" si="14"/>
        <v>1</v>
      </c>
      <c r="AE22" s="55">
        <f t="shared" si="15"/>
        <v>1</v>
      </c>
      <c r="AF22" s="55">
        <f t="shared" si="16"/>
        <v>2</v>
      </c>
      <c r="AG22" s="55">
        <f t="shared" si="17"/>
        <v>1</v>
      </c>
      <c r="AH22" s="55">
        <f t="shared" si="18"/>
        <v>0</v>
      </c>
      <c r="AI22" s="57">
        <f t="shared" si="19"/>
        <v>0</v>
      </c>
      <c r="AJ22" s="56">
        <v>6</v>
      </c>
      <c r="AK22" s="55">
        <f t="shared" si="20"/>
        <v>11</v>
      </c>
      <c r="AL22" s="55">
        <f t="shared" si="21"/>
        <v>1</v>
      </c>
      <c r="AM22" s="55">
        <f t="shared" si="22"/>
        <v>1</v>
      </c>
      <c r="AN22" s="55">
        <f t="shared" si="23"/>
        <v>1</v>
      </c>
      <c r="AO22" s="55">
        <f t="shared" si="24"/>
        <v>3</v>
      </c>
      <c r="AP22" s="55">
        <f t="shared" si="25"/>
        <v>1</v>
      </c>
      <c r="AQ22" s="55">
        <f t="shared" si="26"/>
        <v>1</v>
      </c>
      <c r="AR22" s="57">
        <f t="shared" si="27"/>
        <v>1</v>
      </c>
      <c r="AS22" s="56">
        <v>6</v>
      </c>
      <c r="AT22" s="55">
        <f t="shared" si="29"/>
        <v>26</v>
      </c>
      <c r="AU22" s="55">
        <f t="shared" si="28"/>
        <v>3</v>
      </c>
      <c r="AV22" s="55">
        <f t="shared" si="28"/>
        <v>3</v>
      </c>
      <c r="AW22" s="55">
        <f t="shared" si="28"/>
        <v>3</v>
      </c>
      <c r="AX22" s="55">
        <f t="shared" si="28"/>
        <v>8</v>
      </c>
      <c r="AY22" s="55">
        <f t="shared" si="28"/>
        <v>3</v>
      </c>
      <c r="AZ22" s="55">
        <f t="shared" si="28"/>
        <v>2</v>
      </c>
      <c r="BA22" s="57">
        <f t="shared" si="28"/>
        <v>2</v>
      </c>
    </row>
    <row r="23" spans="1:53" ht="14.25" thickBot="1">
      <c r="A23" s="49" t="str">
        <f t="shared" si="0"/>
        <v>|U02|他|ﾏｰﾌｫｰｸの物あさり|1U|2|M12|C|ﾏｰﾌｫｰｸ|ならず者||1/1|ﾙｰﾀｰ|</v>
      </c>
      <c r="B23" s="49" t="s">
        <v>1744</v>
      </c>
      <c r="C23" s="56" t="s">
        <v>1975</v>
      </c>
      <c r="D23" s="55" t="s">
        <v>3190</v>
      </c>
      <c r="E23" s="55" t="s">
        <v>3299</v>
      </c>
      <c r="F23" s="55" t="s">
        <v>2154</v>
      </c>
      <c r="G23" s="55">
        <v>2</v>
      </c>
      <c r="H23" s="55" t="s">
        <v>3201</v>
      </c>
      <c r="I23" s="55" t="s">
        <v>923</v>
      </c>
      <c r="J23" s="55" t="s">
        <v>3308</v>
      </c>
      <c r="K23" s="55" t="s">
        <v>1566</v>
      </c>
      <c r="L23" s="55" t="s">
        <v>2800</v>
      </c>
      <c r="M23" s="85" t="s">
        <v>1473</v>
      </c>
      <c r="N23" s="155"/>
      <c r="O23" s="163"/>
      <c r="P23" s="163" t="s">
        <v>3622</v>
      </c>
      <c r="Q23" s="18" t="s">
        <v>3934</v>
      </c>
      <c r="R23" s="53">
        <v>7</v>
      </c>
      <c r="S23" s="54">
        <f>COUNTIF(CoCMC,"&gt;6")</f>
        <v>1</v>
      </c>
      <c r="T23" s="54">
        <f t="shared" si="5"/>
        <v>0</v>
      </c>
      <c r="U23" s="54">
        <f t="shared" si="6"/>
        <v>0</v>
      </c>
      <c r="V23" s="54">
        <f t="shared" si="7"/>
        <v>0</v>
      </c>
      <c r="W23" s="54">
        <f t="shared" si="8"/>
        <v>0</v>
      </c>
      <c r="X23" s="54">
        <f>COUNTIF(CoGCMC,"&gt;6")</f>
        <v>1</v>
      </c>
      <c r="Y23" s="54">
        <f t="shared" si="10"/>
        <v>0</v>
      </c>
      <c r="Z23" s="11">
        <f t="shared" si="11"/>
        <v>0</v>
      </c>
      <c r="AA23" s="53">
        <v>7</v>
      </c>
      <c r="AB23" s="54">
        <f>COUNTIF(UCCMC,"&gt;6")</f>
        <v>2</v>
      </c>
      <c r="AC23" s="54">
        <f>COUNTIF(UCWCMC,"&gt;6")</f>
        <v>0</v>
      </c>
      <c r="AD23" s="54">
        <f>COUNTIF(UCUCMC,"&gt;6")</f>
        <v>0</v>
      </c>
      <c r="AE23" s="54">
        <f>COUNTIF(UCBCMC,"&gt;6")</f>
        <v>1</v>
      </c>
      <c r="AF23" s="54">
        <f>COUNTIF(UCRCMC,"&gt;6")</f>
        <v>0</v>
      </c>
      <c r="AG23" s="54">
        <f>COUNTIF(UCGCMC,"&gt;6")</f>
        <v>1</v>
      </c>
      <c r="AH23" s="54">
        <f>COUNTIF(UCMCMC,"&gt;6")</f>
        <v>0</v>
      </c>
      <c r="AI23" s="11">
        <f>COUNTIF(UCFCMC,"&gt;6")</f>
        <v>0</v>
      </c>
      <c r="AJ23" s="53">
        <v>7</v>
      </c>
      <c r="AK23" s="54">
        <f>COUNTIF(ReCMC,"&gt;6")</f>
        <v>3</v>
      </c>
      <c r="AL23" s="54">
        <f>COUNTIF(ReWCMC,"&gt;6")</f>
        <v>0</v>
      </c>
      <c r="AM23" s="54">
        <f>COUNTIF(ReUCMC,"&gt;6")</f>
        <v>1</v>
      </c>
      <c r="AN23" s="54">
        <f>COUNTIF(ReBCMC,"&gt;6")</f>
        <v>1</v>
      </c>
      <c r="AO23" s="54">
        <f>COUNTIF(ReRCMC,"&gt;6")</f>
        <v>0</v>
      </c>
      <c r="AP23" s="54">
        <f>COUNTIF(ReGCMC,"&gt;6")</f>
        <v>0</v>
      </c>
      <c r="AQ23" s="54">
        <f>COUNTIF(ReMCMC,"&gt;6")</f>
        <v>1</v>
      </c>
      <c r="AR23" s="11">
        <f>COUNTIF(ReFCMC,"&gt;6")</f>
        <v>0</v>
      </c>
      <c r="AS23" s="53">
        <v>7</v>
      </c>
      <c r="AT23" s="54">
        <f t="shared" si="29"/>
        <v>6</v>
      </c>
      <c r="AU23" s="54">
        <f t="shared" si="28"/>
        <v>0</v>
      </c>
      <c r="AV23" s="54">
        <f t="shared" si="28"/>
        <v>1</v>
      </c>
      <c r="AW23" s="54">
        <f t="shared" si="28"/>
        <v>2</v>
      </c>
      <c r="AX23" s="54">
        <f t="shared" si="28"/>
        <v>0</v>
      </c>
      <c r="AY23" s="54">
        <f t="shared" si="28"/>
        <v>2</v>
      </c>
      <c r="AZ23" s="54">
        <f t="shared" si="28"/>
        <v>1</v>
      </c>
      <c r="BA23" s="11">
        <f t="shared" si="28"/>
        <v>0</v>
      </c>
    </row>
    <row r="24" spans="1:53">
      <c r="A24" s="49" t="str">
        <f t="shared" si="0"/>
        <v>|U03|BG|かき鳴らし鳥|1U|2|SOM|C|鳥|ﾎﾗｰ||1/1|敵戦D誘増殖|</v>
      </c>
      <c r="B24" s="49" t="s">
        <v>1744</v>
      </c>
      <c r="C24" s="56" t="s">
        <v>1976</v>
      </c>
      <c r="D24" s="55" t="s">
        <v>35</v>
      </c>
      <c r="E24" s="55" t="s">
        <v>2156</v>
      </c>
      <c r="F24" s="55" t="s">
        <v>2154</v>
      </c>
      <c r="G24" s="55">
        <v>2</v>
      </c>
      <c r="H24" s="55" t="s">
        <v>364</v>
      </c>
      <c r="I24" s="55" t="s">
        <v>923</v>
      </c>
      <c r="J24" s="55" t="s">
        <v>2157</v>
      </c>
      <c r="K24" s="55" t="s">
        <v>3309</v>
      </c>
      <c r="L24" s="55" t="s">
        <v>2800</v>
      </c>
      <c r="M24" s="85" t="s">
        <v>1473</v>
      </c>
      <c r="N24" s="155"/>
      <c r="O24" s="163" t="s">
        <v>3565</v>
      </c>
      <c r="P24" s="163" t="s">
        <v>3571</v>
      </c>
      <c r="Q24" s="18" t="s">
        <v>3934</v>
      </c>
    </row>
    <row r="25" spans="1:53">
      <c r="A25" s="49" t="str">
        <f t="shared" si="0"/>
        <v>|U04|除去|否認|1U|2|ORI|I|||||非生物呪文打消し|</v>
      </c>
      <c r="B25" s="49" t="s">
        <v>1744</v>
      </c>
      <c r="C25" s="56" t="s">
        <v>1977</v>
      </c>
      <c r="D25" s="55" t="s">
        <v>2135</v>
      </c>
      <c r="E25" s="55" t="s">
        <v>2159</v>
      </c>
      <c r="F25" s="55" t="s">
        <v>2154</v>
      </c>
      <c r="G25" s="55">
        <v>2</v>
      </c>
      <c r="H25" s="55" t="s">
        <v>377</v>
      </c>
      <c r="I25" s="55" t="s">
        <v>1490</v>
      </c>
      <c r="J25" s="55" t="s">
        <v>2800</v>
      </c>
      <c r="K25" s="55" t="s">
        <v>2800</v>
      </c>
      <c r="L25" s="55" t="s">
        <v>2800</v>
      </c>
      <c r="M25" s="85"/>
      <c r="N25" s="155"/>
      <c r="O25" s="163"/>
      <c r="P25" s="163" t="s">
        <v>2160</v>
      </c>
      <c r="Q25" s="18" t="s">
        <v>3934</v>
      </c>
    </row>
    <row r="26" spans="1:53">
      <c r="A26" s="49" t="str">
        <f t="shared" si="0"/>
        <v>|U05|秘儀|未達の目|UU|2|CHK|S|秘儀||||ﾌﾞｰﾒﾗﾝ|</v>
      </c>
      <c r="B26" s="49" t="s">
        <v>1744</v>
      </c>
      <c r="C26" s="56" t="s">
        <v>1978</v>
      </c>
      <c r="D26" s="55" t="s">
        <v>2147</v>
      </c>
      <c r="E26" s="55" t="s">
        <v>2161</v>
      </c>
      <c r="F26" s="55" t="s">
        <v>2162</v>
      </c>
      <c r="G26" s="55">
        <v>2</v>
      </c>
      <c r="H26" s="55" t="s">
        <v>347</v>
      </c>
      <c r="I26" s="55" t="s">
        <v>1501</v>
      </c>
      <c r="J26" s="55" t="s">
        <v>2147</v>
      </c>
      <c r="K26" s="55" t="s">
        <v>2800</v>
      </c>
      <c r="L26" s="55" t="s">
        <v>2800</v>
      </c>
      <c r="M26" s="85"/>
      <c r="N26" s="155"/>
      <c r="O26" s="163"/>
      <c r="P26" s="82" t="s">
        <v>3623</v>
      </c>
      <c r="Q26" s="18" t="s">
        <v>3934</v>
      </c>
    </row>
    <row r="27" spans="1:53">
      <c r="A27" s="49" t="str">
        <f t="shared" si="0"/>
        <v>|U06|slv|陰影Slv|2U|3|TSP|C|ｽﾘヴｧｰ|||1/1||</v>
      </c>
      <c r="B27" s="49" t="s">
        <v>1744</v>
      </c>
      <c r="C27" s="56" t="s">
        <v>1979</v>
      </c>
      <c r="D27" s="55" t="s">
        <v>2103</v>
      </c>
      <c r="E27" s="55" t="s">
        <v>1074</v>
      </c>
      <c r="F27" s="55" t="s">
        <v>996</v>
      </c>
      <c r="G27" s="55">
        <v>3</v>
      </c>
      <c r="H27" s="55" t="s">
        <v>352</v>
      </c>
      <c r="I27" s="55" t="s">
        <v>923</v>
      </c>
      <c r="J27" s="55" t="s">
        <v>3304</v>
      </c>
      <c r="K27" s="55" t="s">
        <v>2800</v>
      </c>
      <c r="L27" s="55" t="s">
        <v>2800</v>
      </c>
      <c r="M27" s="85" t="s">
        <v>1473</v>
      </c>
      <c r="N27" s="155"/>
      <c r="O27" s="163" t="s">
        <v>3767</v>
      </c>
      <c r="P27" s="82" t="s">
        <v>2800</v>
      </c>
      <c r="Q27" s="18" t="s">
        <v>3934</v>
      </c>
    </row>
    <row r="28" spans="1:53">
      <c r="A28" s="49" t="str">
        <f t="shared" si="0"/>
        <v>|U07|UR|上昇気流の精霊|2U|3|DTK|C|ｴﾚﾒﾝﾀﾙ|||1/4||</v>
      </c>
      <c r="B28" s="49" t="s">
        <v>1744</v>
      </c>
      <c r="C28" s="56" t="s">
        <v>1980</v>
      </c>
      <c r="D28" s="55" t="s">
        <v>34</v>
      </c>
      <c r="E28" s="55" t="s">
        <v>2127</v>
      </c>
      <c r="F28" s="55" t="s">
        <v>996</v>
      </c>
      <c r="G28" s="55">
        <v>3</v>
      </c>
      <c r="H28" s="55" t="s">
        <v>376</v>
      </c>
      <c r="I28" s="55" t="s">
        <v>923</v>
      </c>
      <c r="J28" s="55" t="s">
        <v>3306</v>
      </c>
      <c r="K28" s="55" t="s">
        <v>2800</v>
      </c>
      <c r="L28" s="55" t="s">
        <v>2800</v>
      </c>
      <c r="M28" s="85" t="s">
        <v>1477</v>
      </c>
      <c r="N28" s="155"/>
      <c r="O28" s="163" t="s">
        <v>3561</v>
      </c>
      <c r="P28" s="163" t="s">
        <v>2800</v>
      </c>
      <c r="Q28" s="18" t="s">
        <v>3934</v>
      </c>
    </row>
    <row r="29" spans="1:53">
      <c r="A29" s="49" t="str">
        <f t="shared" si="0"/>
        <v>|U08|BG|着実な進歩|2U|3|SOM|I|||||1泥|</v>
      </c>
      <c r="B29" s="49" t="s">
        <v>1744</v>
      </c>
      <c r="C29" s="56" t="s">
        <v>1981</v>
      </c>
      <c r="D29" s="55" t="s">
        <v>35</v>
      </c>
      <c r="E29" s="55" t="s">
        <v>2164</v>
      </c>
      <c r="F29" s="55" t="s">
        <v>996</v>
      </c>
      <c r="G29" s="55">
        <v>3</v>
      </c>
      <c r="H29" s="55" t="s">
        <v>364</v>
      </c>
      <c r="I29" s="55" t="s">
        <v>1490</v>
      </c>
      <c r="J29" s="55" t="s">
        <v>2800</v>
      </c>
      <c r="K29" s="55" t="s">
        <v>2800</v>
      </c>
      <c r="L29" s="55" t="s">
        <v>2800</v>
      </c>
      <c r="M29" s="85"/>
      <c r="N29" s="155"/>
      <c r="O29" s="163" t="s">
        <v>3567</v>
      </c>
      <c r="P29" s="163" t="s">
        <v>3572</v>
      </c>
      <c r="Q29" s="18" t="s">
        <v>3934</v>
      </c>
    </row>
    <row r="30" spans="1:53">
      <c r="A30" s="49" t="str">
        <f t="shared" si="0"/>
        <v>|U09|除去|計算された放逐|2U|3|ORI|I|||||3ﾘｰｸ|</v>
      </c>
      <c r="B30" s="49" t="s">
        <v>1744</v>
      </c>
      <c r="C30" s="56" t="s">
        <v>1982</v>
      </c>
      <c r="D30" s="55" t="s">
        <v>2135</v>
      </c>
      <c r="E30" s="55" t="s">
        <v>2166</v>
      </c>
      <c r="F30" s="55" t="s">
        <v>996</v>
      </c>
      <c r="G30" s="55">
        <v>3</v>
      </c>
      <c r="H30" s="55" t="s">
        <v>377</v>
      </c>
      <c r="I30" s="55" t="s">
        <v>1490</v>
      </c>
      <c r="J30" s="55" t="s">
        <v>2800</v>
      </c>
      <c r="K30" s="55" t="s">
        <v>2800</v>
      </c>
      <c r="L30" s="55" t="s">
        <v>2800</v>
      </c>
      <c r="M30" s="85"/>
      <c r="N30" s="155"/>
      <c r="O30" s="163" t="s">
        <v>3573</v>
      </c>
      <c r="P30" s="163" t="s">
        <v>3624</v>
      </c>
      <c r="Q30" s="18" t="s">
        <v>3934</v>
      </c>
    </row>
    <row r="31" spans="1:53">
      <c r="A31" s="49" t="str">
        <f t="shared" si="0"/>
        <v>|U10|E|閉所恐怖症|1UU|3|ISD|E|ｵｰﾗ||||ﾀｯﾌﾟ､非UT|</v>
      </c>
      <c r="B31" s="49" t="s">
        <v>1744</v>
      </c>
      <c r="C31" s="56" t="s">
        <v>1983</v>
      </c>
      <c r="D31" s="55" t="s">
        <v>1493</v>
      </c>
      <c r="E31" s="55" t="s">
        <v>2168</v>
      </c>
      <c r="F31" s="55" t="s">
        <v>2169</v>
      </c>
      <c r="G31" s="55">
        <v>3</v>
      </c>
      <c r="H31" s="55" t="s">
        <v>367</v>
      </c>
      <c r="I31" s="55" t="s">
        <v>1493</v>
      </c>
      <c r="J31" s="55" t="s">
        <v>3307</v>
      </c>
      <c r="K31" s="55" t="s">
        <v>2800</v>
      </c>
      <c r="L31" s="55" t="s">
        <v>2800</v>
      </c>
      <c r="M31" s="85"/>
      <c r="N31" s="155"/>
      <c r="O31" s="163"/>
      <c r="P31" s="163" t="s">
        <v>3625</v>
      </c>
      <c r="Q31" s="18" t="s">
        <v>3934</v>
      </c>
    </row>
    <row r="32" spans="1:53">
      <c r="A32" s="49" t="str">
        <f t="shared" si="0"/>
        <v>|U11|GU|すがりつくｲｿｷﾞﾝﾁｬｸ|3U|4|GTC|C|ｸﾗｹﾞ|||1/4||</v>
      </c>
      <c r="B32" s="49" t="s">
        <v>1744</v>
      </c>
      <c r="C32" s="56" t="s">
        <v>1984</v>
      </c>
      <c r="D32" s="55" t="s">
        <v>37</v>
      </c>
      <c r="E32" s="55" t="s">
        <v>2991</v>
      </c>
      <c r="F32" s="55" t="s">
        <v>1000</v>
      </c>
      <c r="G32" s="55">
        <v>4</v>
      </c>
      <c r="H32" s="55" t="s">
        <v>371</v>
      </c>
      <c r="I32" s="55" t="s">
        <v>923</v>
      </c>
      <c r="J32" s="55" t="s">
        <v>3310</v>
      </c>
      <c r="K32" s="55" t="s">
        <v>2800</v>
      </c>
      <c r="L32" s="55" t="s">
        <v>2800</v>
      </c>
      <c r="M32" s="85" t="s">
        <v>1477</v>
      </c>
      <c r="N32" s="155"/>
      <c r="O32" s="163" t="s">
        <v>3568</v>
      </c>
      <c r="P32" s="163" t="s">
        <v>2800</v>
      </c>
      <c r="Q32" s="18" t="s">
        <v>3934</v>
      </c>
    </row>
    <row r="33" spans="1:17">
      <c r="A33" s="49" t="str">
        <f t="shared" ref="A33:A64" si="30">B33&amp;C33&amp;B33&amp;D33&amp;B33&amp;E33&amp;B33&amp;F33&amp;B33&amp;G33&amp;B33&amp;H33&amp;B33&amp;I33&amp;B33&amp;J33&amp;B33&amp;K33&amp;B33&amp;L33&amp;B33&amp;M33&amp;B33&amp;P33&amp;B33</f>
        <v>|U12|slv|催眠Slv|3U|4|FUT|C|ｽﾘヴｧｰ|||2/2||</v>
      </c>
      <c r="B33" s="49" t="s">
        <v>1744</v>
      </c>
      <c r="C33" s="56" t="s">
        <v>1985</v>
      </c>
      <c r="D33" s="55" t="s">
        <v>2103</v>
      </c>
      <c r="E33" s="55" t="s">
        <v>1078</v>
      </c>
      <c r="F33" s="55" t="s">
        <v>1000</v>
      </c>
      <c r="G33" s="55">
        <v>4</v>
      </c>
      <c r="H33" s="55" t="s">
        <v>354</v>
      </c>
      <c r="I33" s="55" t="s">
        <v>923</v>
      </c>
      <c r="J33" s="55" t="s">
        <v>3304</v>
      </c>
      <c r="K33" s="55" t="s">
        <v>2800</v>
      </c>
      <c r="L33" s="55" t="s">
        <v>2800</v>
      </c>
      <c r="M33" s="85" t="s">
        <v>1475</v>
      </c>
      <c r="N33" s="155" t="s">
        <v>3574</v>
      </c>
      <c r="O33" s="163" t="s">
        <v>3569</v>
      </c>
      <c r="P33" s="163" t="s">
        <v>2800</v>
      </c>
      <c r="Q33" s="18" t="s">
        <v>3934</v>
      </c>
    </row>
    <row r="34" spans="1:17">
      <c r="A34" s="49" t="str">
        <f t="shared" si="30"/>
        <v>|U13|他|分離主義者の虚空魔道士|3U|4|ORI|C|人間|ｳｨｻﾞｰﾄﾞ||2/2||</v>
      </c>
      <c r="B34" s="49" t="s">
        <v>1744</v>
      </c>
      <c r="C34" s="56" t="s">
        <v>1986</v>
      </c>
      <c r="D34" s="55" t="s">
        <v>2143</v>
      </c>
      <c r="E34" s="55" t="s">
        <v>2816</v>
      </c>
      <c r="F34" s="55" t="s">
        <v>1000</v>
      </c>
      <c r="G34" s="55">
        <v>4</v>
      </c>
      <c r="H34" s="55" t="s">
        <v>2817</v>
      </c>
      <c r="I34" s="55" t="s">
        <v>2818</v>
      </c>
      <c r="J34" s="55" t="s">
        <v>1410</v>
      </c>
      <c r="K34" s="55" t="s">
        <v>3311</v>
      </c>
      <c r="L34" s="55" t="s">
        <v>2800</v>
      </c>
      <c r="M34" s="85" t="s">
        <v>2819</v>
      </c>
      <c r="N34" s="155" t="s">
        <v>3575</v>
      </c>
      <c r="O34" s="163"/>
      <c r="P34" s="163" t="s">
        <v>2800</v>
      </c>
      <c r="Q34" s="18" t="s">
        <v>3934</v>
      </c>
    </row>
    <row r="35" spans="1:17">
      <c r="A35" s="49" t="str">
        <f t="shared" si="30"/>
        <v>|U14|GU|輝く光波|3U|4|BFZ|S|||||後2捨|</v>
      </c>
      <c r="B35" s="49" t="s">
        <v>1744</v>
      </c>
      <c r="C35" s="56" t="s">
        <v>1987</v>
      </c>
      <c r="D35" s="55" t="s">
        <v>37</v>
      </c>
      <c r="E35" s="55" t="s">
        <v>2129</v>
      </c>
      <c r="F35" s="55" t="s">
        <v>1000</v>
      </c>
      <c r="G35" s="55">
        <v>4</v>
      </c>
      <c r="H35" s="55" t="s">
        <v>378</v>
      </c>
      <c r="I35" s="55" t="s">
        <v>1501</v>
      </c>
      <c r="J35" s="55" t="s">
        <v>2800</v>
      </c>
      <c r="K35" s="55" t="s">
        <v>2800</v>
      </c>
      <c r="L35" s="55" t="s">
        <v>2800</v>
      </c>
      <c r="M35" s="85"/>
      <c r="N35" s="155"/>
      <c r="O35" s="163" t="s">
        <v>3590</v>
      </c>
      <c r="P35" s="163" t="s">
        <v>3591</v>
      </c>
      <c r="Q35" s="18" t="s">
        <v>3934</v>
      </c>
    </row>
    <row r="36" spans="1:17">
      <c r="A36" s="49" t="str">
        <f t="shared" si="30"/>
        <v>|U15|BG|目的のための燃料|2UU|4|MBS|I|||||呪文打消|</v>
      </c>
      <c r="B36" s="49" t="s">
        <v>1744</v>
      </c>
      <c r="C36" s="56" t="s">
        <v>1988</v>
      </c>
      <c r="D36" s="55" t="s">
        <v>35</v>
      </c>
      <c r="E36" s="55" t="s">
        <v>2174</v>
      </c>
      <c r="F36" s="55" t="s">
        <v>998</v>
      </c>
      <c r="G36" s="55">
        <v>4</v>
      </c>
      <c r="H36" s="55" t="s">
        <v>365</v>
      </c>
      <c r="I36" s="55" t="s">
        <v>1490</v>
      </c>
      <c r="J36" s="55" t="s">
        <v>2800</v>
      </c>
      <c r="K36" s="55" t="s">
        <v>2800</v>
      </c>
      <c r="L36" s="55" t="s">
        <v>2800</v>
      </c>
      <c r="M36" s="85"/>
      <c r="N36" s="155"/>
      <c r="O36" s="163" t="s">
        <v>3567</v>
      </c>
      <c r="P36" s="82" t="s">
        <v>3592</v>
      </c>
      <c r="Q36" s="18" t="s">
        <v>3934</v>
      </c>
    </row>
    <row r="37" spans="1:17">
      <c r="A37" s="49" t="str">
        <f t="shared" si="30"/>
        <v>|U16|UR|熟考漂い|4U|5|LRW|C|ｴﾚﾒﾝﾀﾙ|||2/2||</v>
      </c>
      <c r="B37" s="49" t="s">
        <v>1744</v>
      </c>
      <c r="C37" s="56" t="s">
        <v>1989</v>
      </c>
      <c r="D37" s="55" t="s">
        <v>34</v>
      </c>
      <c r="E37" s="55" t="s">
        <v>2176</v>
      </c>
      <c r="F37" s="55" t="s">
        <v>1002</v>
      </c>
      <c r="G37" s="55">
        <v>5</v>
      </c>
      <c r="H37" s="55" t="s">
        <v>355</v>
      </c>
      <c r="I37" s="55" t="s">
        <v>923</v>
      </c>
      <c r="J37" s="55" t="s">
        <v>3306</v>
      </c>
      <c r="K37" s="55" t="s">
        <v>2800</v>
      </c>
      <c r="L37" s="55" t="s">
        <v>2800</v>
      </c>
      <c r="M37" s="85" t="s">
        <v>1475</v>
      </c>
      <c r="N37" s="155" t="s">
        <v>3593</v>
      </c>
      <c r="O37" s="163" t="s">
        <v>3594</v>
      </c>
      <c r="P37" s="82" t="s">
        <v>2800</v>
      </c>
      <c r="Q37" s="18" t="s">
        <v>3934</v>
      </c>
    </row>
    <row r="38" spans="1:17">
      <c r="A38" s="49" t="str">
        <f t="shared" si="30"/>
        <v>|U17|GU|ﾍﾘｳﾑ噴射獣|4U|5|DIS|C|ﾋﾞｰｽﾄ|ﾐｭｰﾀﾝﾄ||0/0|1:+1C乗生物飛行|</v>
      </c>
      <c r="B38" s="49" t="s">
        <v>1744</v>
      </c>
      <c r="C38" s="56" t="s">
        <v>1990</v>
      </c>
      <c r="D38" s="55" t="s">
        <v>37</v>
      </c>
      <c r="E38" s="55" t="s">
        <v>2964</v>
      </c>
      <c r="F38" s="55" t="s">
        <v>1002</v>
      </c>
      <c r="G38" s="55">
        <v>5</v>
      </c>
      <c r="H38" s="55" t="s">
        <v>350</v>
      </c>
      <c r="I38" s="55" t="s">
        <v>923</v>
      </c>
      <c r="J38" s="55" t="s">
        <v>3312</v>
      </c>
      <c r="K38" s="55" t="s">
        <v>3313</v>
      </c>
      <c r="L38" s="55" t="s">
        <v>2800</v>
      </c>
      <c r="M38" s="85" t="s">
        <v>1716</v>
      </c>
      <c r="N38" s="155"/>
      <c r="O38" s="163" t="s">
        <v>3595</v>
      </c>
      <c r="P38" s="82" t="s">
        <v>3596</v>
      </c>
      <c r="Q38" s="18" t="s">
        <v>3934</v>
      </c>
    </row>
    <row r="39" spans="1:17">
      <c r="A39" s="49" t="str">
        <f t="shared" si="30"/>
        <v>|U18|slv|同期Slv|4U|5|PLC|C|ｽﾘヴｧｰ|||3/3||</v>
      </c>
      <c r="B39" s="49" t="s">
        <v>1744</v>
      </c>
      <c r="C39" s="56" t="s">
        <v>1991</v>
      </c>
      <c r="D39" s="55" t="s">
        <v>2103</v>
      </c>
      <c r="E39" s="55" t="s">
        <v>1081</v>
      </c>
      <c r="F39" s="55" t="s">
        <v>1002</v>
      </c>
      <c r="G39" s="55">
        <v>5</v>
      </c>
      <c r="H39" s="55" t="s">
        <v>353</v>
      </c>
      <c r="I39" s="55" t="s">
        <v>923</v>
      </c>
      <c r="J39" s="55" t="s">
        <v>3304</v>
      </c>
      <c r="K39" s="55" t="s">
        <v>2800</v>
      </c>
      <c r="L39" s="55" t="s">
        <v>2800</v>
      </c>
      <c r="M39" s="85" t="s">
        <v>1479</v>
      </c>
      <c r="N39" s="155"/>
      <c r="O39" s="163" t="s">
        <v>3570</v>
      </c>
      <c r="P39" s="82" t="s">
        <v>2800</v>
      </c>
      <c r="Q39" s="18" t="s">
        <v>3934</v>
      </c>
    </row>
    <row r="40" spans="1:17">
      <c r="A40" s="49" t="str">
        <f t="shared" si="30"/>
        <v>|U19|UR|氷河の壊し屋|4UU|6|M15|C|ｴﾚﾒﾝﾀﾙ|||5/5||</v>
      </c>
      <c r="B40" s="49" t="s">
        <v>1744</v>
      </c>
      <c r="C40" s="56" t="s">
        <v>1992</v>
      </c>
      <c r="D40" s="55" t="s">
        <v>34</v>
      </c>
      <c r="E40" s="55" t="s">
        <v>2126</v>
      </c>
      <c r="F40" s="55" t="s">
        <v>2180</v>
      </c>
      <c r="G40" s="55">
        <v>6</v>
      </c>
      <c r="H40" s="55" t="s">
        <v>225</v>
      </c>
      <c r="I40" s="55" t="s">
        <v>923</v>
      </c>
      <c r="J40" s="55" t="s">
        <v>3306</v>
      </c>
      <c r="K40" s="55" t="s">
        <v>2800</v>
      </c>
      <c r="L40" s="55" t="s">
        <v>2800</v>
      </c>
      <c r="M40" s="85" t="s">
        <v>2244</v>
      </c>
      <c r="N40" s="155"/>
      <c r="O40" s="163" t="s">
        <v>3597</v>
      </c>
      <c r="P40" s="82" t="s">
        <v>2800</v>
      </c>
      <c r="Q40" s="18" t="s">
        <v>3934</v>
      </c>
    </row>
    <row r="41" spans="1:17" ht="14.25" thickBot="1">
      <c r="A41" s="49" t="str">
        <f t="shared" si="30"/>
        <v>|U20|GU|ｴｲヴﾝの偵察兵|3UU|5|FRF|C|鳥|ｽｶｳﾄ||2/2||</v>
      </c>
      <c r="B41" s="49" t="s">
        <v>1744</v>
      </c>
      <c r="C41" s="53" t="s">
        <v>1993</v>
      </c>
      <c r="D41" s="54" t="s">
        <v>37</v>
      </c>
      <c r="E41" s="54" t="s">
        <v>3019</v>
      </c>
      <c r="F41" s="54" t="s">
        <v>2182</v>
      </c>
      <c r="G41" s="54">
        <v>5</v>
      </c>
      <c r="H41" s="54" t="s">
        <v>375</v>
      </c>
      <c r="I41" s="54" t="s">
        <v>923</v>
      </c>
      <c r="J41" s="54" t="s">
        <v>2157</v>
      </c>
      <c r="K41" s="54" t="s">
        <v>3314</v>
      </c>
      <c r="L41" s="54" t="s">
        <v>2800</v>
      </c>
      <c r="M41" s="93" t="s">
        <v>1475</v>
      </c>
      <c r="N41" s="164" t="s">
        <v>3598</v>
      </c>
      <c r="O41" s="180" t="s">
        <v>3561</v>
      </c>
      <c r="P41" s="83" t="s">
        <v>2800</v>
      </c>
      <c r="Q41" s="18" t="s">
        <v>3934</v>
      </c>
    </row>
    <row r="42" spans="1:17">
      <c r="A42" s="49" t="str">
        <f t="shared" si="30"/>
        <v>|B01|E|死の重み|B|1|ISD|E|||||.-2/-2|</v>
      </c>
      <c r="B42" s="49" t="s">
        <v>1744</v>
      </c>
      <c r="C42" s="50" t="s">
        <v>2184</v>
      </c>
      <c r="D42" s="51" t="s">
        <v>1493</v>
      </c>
      <c r="E42" s="51" t="s">
        <v>2185</v>
      </c>
      <c r="F42" s="51" t="s">
        <v>3</v>
      </c>
      <c r="G42" s="51">
        <v>1</v>
      </c>
      <c r="H42" s="51" t="s">
        <v>367</v>
      </c>
      <c r="I42" s="51" t="s">
        <v>1493</v>
      </c>
      <c r="J42" s="51" t="s">
        <v>2800</v>
      </c>
      <c r="K42" s="51" t="s">
        <v>2800</v>
      </c>
      <c r="L42" s="51" t="s">
        <v>2800</v>
      </c>
      <c r="M42" s="92"/>
      <c r="N42" s="156"/>
      <c r="O42" s="165"/>
      <c r="P42" s="165" t="s">
        <v>2186</v>
      </c>
      <c r="Q42" s="18" t="s">
        <v>3934</v>
      </c>
    </row>
    <row r="43" spans="1:17">
      <c r="A43" s="49" t="str">
        <f t="shared" si="30"/>
        <v>|B02|BG|疫病のとげ刺し|1B|2|SOM|C|昆虫|ﾎﾗｰ||1/1||</v>
      </c>
      <c r="B43" s="49" t="s">
        <v>1744</v>
      </c>
      <c r="C43" s="56" t="s">
        <v>1994</v>
      </c>
      <c r="D43" s="55" t="s">
        <v>35</v>
      </c>
      <c r="E43" s="55" t="s">
        <v>1360</v>
      </c>
      <c r="F43" s="55" t="s">
        <v>1006</v>
      </c>
      <c r="G43" s="55">
        <v>2</v>
      </c>
      <c r="H43" s="55" t="s">
        <v>364</v>
      </c>
      <c r="I43" s="55" t="s">
        <v>923</v>
      </c>
      <c r="J43" s="55" t="s">
        <v>1637</v>
      </c>
      <c r="K43" s="55" t="s">
        <v>3309</v>
      </c>
      <c r="L43" s="55" t="s">
        <v>2800</v>
      </c>
      <c r="M43" s="85" t="s">
        <v>1473</v>
      </c>
      <c r="N43" s="155"/>
      <c r="O43" s="163" t="s">
        <v>2805</v>
      </c>
      <c r="P43" s="163" t="s">
        <v>2800</v>
      </c>
      <c r="Q43" s="18" t="s">
        <v>3934</v>
      </c>
    </row>
    <row r="44" spans="1:17">
      <c r="A44" s="49" t="str">
        <f t="shared" si="30"/>
        <v>|B03|RW|朽ちゆくﾈｽﾞﾐ|1B|2|CON|C|ﾈｽﾞﾐ|||1/1||</v>
      </c>
      <c r="B44" s="49" t="s">
        <v>1744</v>
      </c>
      <c r="C44" s="56" t="s">
        <v>1995</v>
      </c>
      <c r="D44" s="55" t="s">
        <v>36</v>
      </c>
      <c r="E44" s="55" t="s">
        <v>3300</v>
      </c>
      <c r="F44" s="55" t="s">
        <v>1006</v>
      </c>
      <c r="G44" s="55">
        <v>2</v>
      </c>
      <c r="H44" s="55" t="s">
        <v>3287</v>
      </c>
      <c r="I44" s="55" t="s">
        <v>923</v>
      </c>
      <c r="J44" s="55" t="s">
        <v>3315</v>
      </c>
      <c r="K44" s="55" t="s">
        <v>2800</v>
      </c>
      <c r="L44" s="55" t="s">
        <v>2800</v>
      </c>
      <c r="M44" s="85" t="s">
        <v>3288</v>
      </c>
      <c r="N44" s="155" t="s">
        <v>3599</v>
      </c>
      <c r="O44" s="163" t="s">
        <v>3600</v>
      </c>
      <c r="P44" s="163" t="s">
        <v>2800</v>
      </c>
      <c r="Q44" s="18" t="s">
        <v>3934</v>
      </c>
    </row>
    <row r="45" spans="1:17">
      <c r="A45" s="49" t="str">
        <f t="shared" si="30"/>
        <v>|B04|RW|ﾏﾙﾄﾞｩの頭蓋狩り|1B|2|KTK|C|人間|戦士||2/1|寝出|</v>
      </c>
      <c r="B45" s="49" t="s">
        <v>1744</v>
      </c>
      <c r="C45" s="56" t="s">
        <v>1996</v>
      </c>
      <c r="D45" s="55" t="s">
        <v>36</v>
      </c>
      <c r="E45" s="55" t="s">
        <v>3011</v>
      </c>
      <c r="F45" s="55" t="s">
        <v>1006</v>
      </c>
      <c r="G45" s="55">
        <v>2</v>
      </c>
      <c r="H45" s="55" t="s">
        <v>283</v>
      </c>
      <c r="I45" s="55" t="s">
        <v>923</v>
      </c>
      <c r="J45" s="55" t="s">
        <v>1410</v>
      </c>
      <c r="K45" s="55" t="s">
        <v>2187</v>
      </c>
      <c r="L45" s="55" t="s">
        <v>2800</v>
      </c>
      <c r="M45" s="85" t="s">
        <v>1474</v>
      </c>
      <c r="N45" s="155" t="s">
        <v>3601</v>
      </c>
      <c r="O45" s="163" t="s">
        <v>3602</v>
      </c>
      <c r="P45" s="163" t="s">
        <v>3603</v>
      </c>
      <c r="Q45" s="18" t="s">
        <v>3934</v>
      </c>
    </row>
    <row r="46" spans="1:17">
      <c r="A46" s="49" t="str">
        <f t="shared" si="30"/>
        <v>|B05|slv|激情Slv|1B|2|FUT|C|ｽﾘヴｧｰ|||1/1||</v>
      </c>
      <c r="B46" s="49" t="s">
        <v>1744</v>
      </c>
      <c r="C46" s="56" t="s">
        <v>1997</v>
      </c>
      <c r="D46" s="55" t="s">
        <v>2103</v>
      </c>
      <c r="E46" s="55" t="s">
        <v>1085</v>
      </c>
      <c r="F46" s="55" t="s">
        <v>1006</v>
      </c>
      <c r="G46" s="55">
        <v>2</v>
      </c>
      <c r="H46" s="55" t="s">
        <v>354</v>
      </c>
      <c r="I46" s="55" t="s">
        <v>923</v>
      </c>
      <c r="J46" s="55" t="s">
        <v>3304</v>
      </c>
      <c r="K46" s="55" t="s">
        <v>2800</v>
      </c>
      <c r="L46" s="55" t="s">
        <v>2800</v>
      </c>
      <c r="M46" s="85" t="s">
        <v>1473</v>
      </c>
      <c r="N46" s="155"/>
      <c r="O46" s="163" t="s">
        <v>2189</v>
      </c>
      <c r="P46" s="82" t="s">
        <v>2800</v>
      </c>
      <c r="Q46" s="18" t="s">
        <v>3934</v>
      </c>
    </row>
    <row r="47" spans="1:17">
      <c r="A47" s="49" t="str">
        <f t="shared" si="30"/>
        <v>|B06|BG|ﾌｧｲﾚｸｼｱ化|1B|2|MBS|E|ｵｰﾗ|||||</v>
      </c>
      <c r="B47" s="49" t="s">
        <v>1744</v>
      </c>
      <c r="C47" s="56" t="s">
        <v>1998</v>
      </c>
      <c r="D47" s="55" t="s">
        <v>35</v>
      </c>
      <c r="E47" s="55" t="s">
        <v>1357</v>
      </c>
      <c r="F47" s="55" t="s">
        <v>1006</v>
      </c>
      <c r="G47" s="55">
        <v>2</v>
      </c>
      <c r="H47" s="55" t="s">
        <v>365</v>
      </c>
      <c r="I47" s="55" t="s">
        <v>1493</v>
      </c>
      <c r="J47" s="55" t="s">
        <v>3307</v>
      </c>
      <c r="K47" s="55" t="s">
        <v>2800</v>
      </c>
      <c r="L47" s="55" t="s">
        <v>2800</v>
      </c>
      <c r="M47" s="85"/>
      <c r="N47" s="155"/>
      <c r="O47" s="163" t="s">
        <v>1255</v>
      </c>
      <c r="P47" s="82" t="s">
        <v>2800</v>
      </c>
      <c r="Q47" s="18" t="s">
        <v>3934</v>
      </c>
    </row>
    <row r="48" spans="1:17">
      <c r="A48" s="49" t="str">
        <f t="shared" si="30"/>
        <v>|B07|WB|遠沼の亡霊|2B|3|SOI|C|ｽﾋﾟﾘｯﾄ|||1/3||</v>
      </c>
      <c r="B48" s="49" t="s">
        <v>1744</v>
      </c>
      <c r="C48" s="56" t="s">
        <v>1999</v>
      </c>
      <c r="D48" s="55" t="s">
        <v>33</v>
      </c>
      <c r="E48" s="55" t="s">
        <v>3195</v>
      </c>
      <c r="F48" s="55" t="s">
        <v>3196</v>
      </c>
      <c r="G48" s="55">
        <v>3</v>
      </c>
      <c r="H48" s="55" t="s">
        <v>3184</v>
      </c>
      <c r="I48" s="55" t="s">
        <v>923</v>
      </c>
      <c r="J48" s="55" t="s">
        <v>3305</v>
      </c>
      <c r="K48" s="55" t="s">
        <v>2800</v>
      </c>
      <c r="L48" s="55" t="s">
        <v>2800</v>
      </c>
      <c r="M48" s="85" t="s">
        <v>3197</v>
      </c>
      <c r="N48" s="155"/>
      <c r="O48" s="163" t="s">
        <v>3198</v>
      </c>
      <c r="P48" s="163" t="s">
        <v>2800</v>
      </c>
      <c r="Q48" s="18" t="s">
        <v>3934</v>
      </c>
    </row>
    <row r="49" spans="1:17">
      <c r="A49" s="49" t="str">
        <f t="shared" si="30"/>
        <v>|B08|slv|基底Slv|2B|3|TSP|C|ｽﾘヴｧｰ|||2/2|S:BB|</v>
      </c>
      <c r="B49" s="49" t="s">
        <v>1744</v>
      </c>
      <c r="C49" s="56" t="s">
        <v>2000</v>
      </c>
      <c r="D49" s="55" t="s">
        <v>2103</v>
      </c>
      <c r="E49" s="55" t="s">
        <v>1086</v>
      </c>
      <c r="F49" s="55" t="s">
        <v>974</v>
      </c>
      <c r="G49" s="55">
        <v>3</v>
      </c>
      <c r="H49" s="55" t="s">
        <v>352</v>
      </c>
      <c r="I49" s="55" t="s">
        <v>923</v>
      </c>
      <c r="J49" s="55" t="s">
        <v>3304</v>
      </c>
      <c r="K49" s="55" t="s">
        <v>2800</v>
      </c>
      <c r="L49" s="55" t="s">
        <v>2800</v>
      </c>
      <c r="M49" s="85" t="s">
        <v>1475</v>
      </c>
      <c r="N49" s="155"/>
      <c r="O49" s="163"/>
      <c r="P49" s="163" t="s">
        <v>1142</v>
      </c>
      <c r="Q49" s="18" t="s">
        <v>3934</v>
      </c>
    </row>
    <row r="50" spans="1:17">
      <c r="A50" s="49" t="str">
        <f t="shared" si="30"/>
        <v>|B09|除去|闇への追放|2B|3|9ED|I|||||非黒生物破壊 再生不可|</v>
      </c>
      <c r="B50" s="49" t="s">
        <v>1744</v>
      </c>
      <c r="C50" s="56" t="s">
        <v>2001</v>
      </c>
      <c r="D50" s="55" t="s">
        <v>2135</v>
      </c>
      <c r="E50" s="55" t="s">
        <v>2191</v>
      </c>
      <c r="F50" s="55" t="s">
        <v>974</v>
      </c>
      <c r="G50" s="55">
        <v>3</v>
      </c>
      <c r="H50" s="55" t="s">
        <v>351</v>
      </c>
      <c r="I50" s="55" t="s">
        <v>1490</v>
      </c>
      <c r="J50" s="55" t="s">
        <v>2800</v>
      </c>
      <c r="K50" s="55" t="s">
        <v>2800</v>
      </c>
      <c r="L50" s="55" t="s">
        <v>2800</v>
      </c>
      <c r="M50" s="85"/>
      <c r="N50" s="155"/>
      <c r="O50" s="163"/>
      <c r="P50" s="163" t="s">
        <v>3626</v>
      </c>
      <c r="Q50" s="18" t="s">
        <v>3934</v>
      </c>
    </row>
    <row r="51" spans="1:17">
      <c r="A51" s="49" t="str">
        <f t="shared" si="30"/>
        <v>|B10|RW|忌まわしい容貌|2B|3|M12|S|||||自軍威嚇|</v>
      </c>
      <c r="B51" s="49" t="s">
        <v>1744</v>
      </c>
      <c r="C51" s="56" t="s">
        <v>2002</v>
      </c>
      <c r="D51" s="55" t="s">
        <v>36</v>
      </c>
      <c r="E51" s="55" t="s">
        <v>2193</v>
      </c>
      <c r="F51" s="55" t="s">
        <v>974</v>
      </c>
      <c r="G51" s="55">
        <v>3</v>
      </c>
      <c r="H51" s="55" t="s">
        <v>222</v>
      </c>
      <c r="I51" s="55" t="s">
        <v>1501</v>
      </c>
      <c r="J51" s="55" t="s">
        <v>2800</v>
      </c>
      <c r="K51" s="55" t="s">
        <v>2800</v>
      </c>
      <c r="L51" s="55" t="s">
        <v>2800</v>
      </c>
      <c r="M51" s="85"/>
      <c r="N51" s="155"/>
      <c r="O51" s="163" t="s">
        <v>3604</v>
      </c>
      <c r="P51" s="163" t="s">
        <v>2194</v>
      </c>
      <c r="Q51" s="18" t="s">
        <v>3934</v>
      </c>
    </row>
    <row r="52" spans="1:17">
      <c r="A52" s="49" t="str">
        <f t="shared" si="30"/>
        <v>|B11|他|骨読み|2B|3|ORI|S|||||2泥 2失|</v>
      </c>
      <c r="B52" s="49" t="s">
        <v>1744</v>
      </c>
      <c r="C52" s="56" t="s">
        <v>2003</v>
      </c>
      <c r="D52" s="55" t="s">
        <v>2143</v>
      </c>
      <c r="E52" s="55" t="s">
        <v>2195</v>
      </c>
      <c r="F52" s="55" t="s">
        <v>974</v>
      </c>
      <c r="G52" s="55">
        <v>3</v>
      </c>
      <c r="H52" s="55" t="s">
        <v>377</v>
      </c>
      <c r="I52" s="55" t="s">
        <v>1501</v>
      </c>
      <c r="J52" s="55" t="s">
        <v>2800</v>
      </c>
      <c r="K52" s="55" t="s">
        <v>2800</v>
      </c>
      <c r="L52" s="55" t="s">
        <v>2800</v>
      </c>
      <c r="M52" s="85"/>
      <c r="N52" s="157"/>
      <c r="O52" s="166" t="s">
        <v>3605</v>
      </c>
      <c r="P52" s="166" t="s">
        <v>3627</v>
      </c>
      <c r="Q52" s="18" t="s">
        <v>3934</v>
      </c>
    </row>
    <row r="53" spans="1:17">
      <c r="A53" s="49" t="str">
        <f t="shared" si="30"/>
        <v>|B12|BG|黒割れのｺﾞﾌﾞﾘﾝ|3B|4|SOM|C|ｺﾞﾌﾞﾘﾝ|ｿﾞﾝﾋﾞ||2/1||</v>
      </c>
      <c r="B53" s="49" t="s">
        <v>1744</v>
      </c>
      <c r="C53" s="56" t="s">
        <v>2004</v>
      </c>
      <c r="D53" s="55" t="s">
        <v>35</v>
      </c>
      <c r="E53" s="55" t="s">
        <v>1368</v>
      </c>
      <c r="F53" s="55" t="s">
        <v>1008</v>
      </c>
      <c r="G53" s="55">
        <v>4</v>
      </c>
      <c r="H53" s="55" t="s">
        <v>364</v>
      </c>
      <c r="I53" s="55" t="s">
        <v>923</v>
      </c>
      <c r="J53" s="55" t="s">
        <v>3316</v>
      </c>
      <c r="K53" s="55" t="s">
        <v>3317</v>
      </c>
      <c r="L53" s="55" t="s">
        <v>2800</v>
      </c>
      <c r="M53" s="85" t="s">
        <v>1474</v>
      </c>
      <c r="N53" s="155"/>
      <c r="O53" s="163" t="s">
        <v>2823</v>
      </c>
      <c r="P53" s="163" t="s">
        <v>2800</v>
      </c>
      <c r="Q53" s="18" t="s">
        <v>3934</v>
      </c>
    </row>
    <row r="54" spans="1:17">
      <c r="A54" s="49" t="str">
        <f t="shared" si="30"/>
        <v>|B13|WB|とどめの一刺しのﾌｪｱﾘｰ|3B|4|MOR|C|ﾌｪｱﾘｰ|||2/2||</v>
      </c>
      <c r="B54" s="49" t="s">
        <v>1744</v>
      </c>
      <c r="C54" s="56" t="s">
        <v>2005</v>
      </c>
      <c r="D54" s="55" t="s">
        <v>33</v>
      </c>
      <c r="E54" s="55" t="s">
        <v>2975</v>
      </c>
      <c r="F54" s="55" t="s">
        <v>2824</v>
      </c>
      <c r="G54" s="55">
        <v>4</v>
      </c>
      <c r="H54" s="55" t="s">
        <v>2825</v>
      </c>
      <c r="I54" s="55" t="s">
        <v>923</v>
      </c>
      <c r="J54" s="55" t="s">
        <v>3318</v>
      </c>
      <c r="K54" s="55" t="s">
        <v>2800</v>
      </c>
      <c r="L54" s="55" t="s">
        <v>2800</v>
      </c>
      <c r="M54" s="85" t="s">
        <v>2819</v>
      </c>
      <c r="N54" s="155" t="s">
        <v>3607</v>
      </c>
      <c r="O54" s="163" t="s">
        <v>3606</v>
      </c>
      <c r="P54" s="163" t="s">
        <v>2800</v>
      </c>
      <c r="Q54" s="18" t="s">
        <v>3934</v>
      </c>
    </row>
    <row r="55" spans="1:17">
      <c r="A55" s="49" t="str">
        <f t="shared" si="30"/>
        <v>|B14|他|ｸﾞﾚｲﾌﾞﾃﾞｨｶﾞｰ|3B|4|M12|C|ｿﾞﾝﾋﾞ|||2/2||</v>
      </c>
      <c r="B55" s="49" t="s">
        <v>1744</v>
      </c>
      <c r="C55" s="56" t="s">
        <v>2006</v>
      </c>
      <c r="D55" s="55" t="s">
        <v>2143</v>
      </c>
      <c r="E55" s="55" t="s">
        <v>3301</v>
      </c>
      <c r="F55" s="55" t="s">
        <v>3199</v>
      </c>
      <c r="G55" s="55">
        <v>4</v>
      </c>
      <c r="H55" s="55" t="s">
        <v>3200</v>
      </c>
      <c r="I55" s="55" t="s">
        <v>2818</v>
      </c>
      <c r="J55" s="55" t="s">
        <v>3317</v>
      </c>
      <c r="K55" s="55" t="s">
        <v>2800</v>
      </c>
      <c r="L55" s="55" t="s">
        <v>2800</v>
      </c>
      <c r="M55" s="85" t="s">
        <v>2819</v>
      </c>
      <c r="N55" s="155" t="s">
        <v>3611</v>
      </c>
      <c r="O55" s="163"/>
      <c r="P55" s="163" t="s">
        <v>2800</v>
      </c>
      <c r="Q55" s="18" t="s">
        <v>3934</v>
      </c>
    </row>
    <row r="56" spans="1:17">
      <c r="A56" s="49" t="str">
        <f t="shared" si="30"/>
        <v>|B15|秘儀|血の訴え|4B|5|CHK|S|秘儀||||追ｺｽ-CS T分-X/-X|</v>
      </c>
      <c r="B56" s="49" t="s">
        <v>1744</v>
      </c>
      <c r="C56" s="56" t="s">
        <v>2007</v>
      </c>
      <c r="D56" s="55" t="s">
        <v>2147</v>
      </c>
      <c r="E56" s="55" t="s">
        <v>2273</v>
      </c>
      <c r="F56" s="55" t="s">
        <v>1011</v>
      </c>
      <c r="G56" s="55">
        <v>5</v>
      </c>
      <c r="H56" s="55" t="s">
        <v>347</v>
      </c>
      <c r="I56" s="55" t="s">
        <v>1501</v>
      </c>
      <c r="J56" s="55" t="s">
        <v>2147</v>
      </c>
      <c r="K56" s="55" t="s">
        <v>2800</v>
      </c>
      <c r="L56" s="55" t="s">
        <v>2800</v>
      </c>
      <c r="M56" s="85"/>
      <c r="N56" s="155"/>
      <c r="O56" s="163"/>
      <c r="P56" s="82" t="s">
        <v>3628</v>
      </c>
      <c r="Q56" s="18" t="s">
        <v>3934</v>
      </c>
    </row>
    <row r="57" spans="1:17">
      <c r="A57" s="49" t="str">
        <f t="shared" si="30"/>
        <v>|B16|WB|小走りの死神|4B|5|CHK|C|ｽﾋﾟﾘｯﾄ|||4/2|S:生物1-1/-1 |</v>
      </c>
      <c r="B57" s="49" t="s">
        <v>1744</v>
      </c>
      <c r="C57" s="56" t="s">
        <v>2008</v>
      </c>
      <c r="D57" s="55" t="s">
        <v>33</v>
      </c>
      <c r="E57" s="55" t="s">
        <v>1429</v>
      </c>
      <c r="F57" s="55" t="s">
        <v>1011</v>
      </c>
      <c r="G57" s="55">
        <v>5</v>
      </c>
      <c r="H57" s="55" t="s">
        <v>347</v>
      </c>
      <c r="I57" s="55" t="s">
        <v>923</v>
      </c>
      <c r="J57" s="55" t="s">
        <v>3305</v>
      </c>
      <c r="K57" s="55" t="s">
        <v>2800</v>
      </c>
      <c r="L57" s="55" t="s">
        <v>2800</v>
      </c>
      <c r="M57" s="85" t="s">
        <v>1478</v>
      </c>
      <c r="N57" s="155"/>
      <c r="O57" s="163" t="s">
        <v>3608</v>
      </c>
      <c r="P57" s="82" t="s">
        <v>3629</v>
      </c>
      <c r="Q57" s="18" t="s">
        <v>3934</v>
      </c>
    </row>
    <row r="58" spans="1:17">
      <c r="A58" s="49" t="str">
        <f t="shared" si="30"/>
        <v>|B17|slv|吐毒Slv|4B|5|PLC|C|ｽﾘヴｧｰ|||3/3||</v>
      </c>
      <c r="B58" s="49" t="s">
        <v>1744</v>
      </c>
      <c r="C58" s="56" t="s">
        <v>2009</v>
      </c>
      <c r="D58" s="55" t="s">
        <v>2103</v>
      </c>
      <c r="E58" s="55" t="s">
        <v>1092</v>
      </c>
      <c r="F58" s="55" t="s">
        <v>1011</v>
      </c>
      <c r="G58" s="55">
        <v>5</v>
      </c>
      <c r="H58" s="55" t="s">
        <v>353</v>
      </c>
      <c r="I58" s="55" t="s">
        <v>923</v>
      </c>
      <c r="J58" s="55" t="s">
        <v>3304</v>
      </c>
      <c r="K58" s="55" t="s">
        <v>2800</v>
      </c>
      <c r="L58" s="55" t="s">
        <v>2800</v>
      </c>
      <c r="M58" s="85" t="s">
        <v>1479</v>
      </c>
      <c r="N58" s="155"/>
      <c r="O58" s="163" t="s">
        <v>1650</v>
      </c>
      <c r="P58" s="82"/>
      <c r="Q58" s="18" t="s">
        <v>3934</v>
      </c>
    </row>
    <row r="59" spans="1:17">
      <c r="A59" s="49" t="str">
        <f t="shared" si="30"/>
        <v>|B18|WB|影切り|4B|5|GTC|S|||||敵3失 |</v>
      </c>
      <c r="B59" s="49" t="s">
        <v>1744</v>
      </c>
      <c r="C59" s="56" t="s">
        <v>2010</v>
      </c>
      <c r="D59" s="55" t="s">
        <v>3289</v>
      </c>
      <c r="E59" s="55" t="s">
        <v>3294</v>
      </c>
      <c r="F59" s="55" t="s">
        <v>3295</v>
      </c>
      <c r="G59" s="55">
        <v>5</v>
      </c>
      <c r="H59" s="55" t="s">
        <v>3296</v>
      </c>
      <c r="I59" s="55" t="s">
        <v>3278</v>
      </c>
      <c r="J59" s="55" t="s">
        <v>2800</v>
      </c>
      <c r="K59" s="55" t="s">
        <v>2800</v>
      </c>
      <c r="L59" s="55" t="s">
        <v>2800</v>
      </c>
      <c r="M59" s="85"/>
      <c r="N59" s="155"/>
      <c r="O59" s="163" t="s">
        <v>3609</v>
      </c>
      <c r="P59" s="82" t="s">
        <v>3630</v>
      </c>
      <c r="Q59" s="18" t="s">
        <v>3934</v>
      </c>
    </row>
    <row r="60" spans="1:17">
      <c r="A60" s="49" t="str">
        <f t="shared" si="30"/>
        <v>|B19|除去|絞首|4B|5|KTK|I|||||生物1-4/-4|</v>
      </c>
      <c r="B60" s="49" t="s">
        <v>1744</v>
      </c>
      <c r="C60" s="56" t="s">
        <v>2011</v>
      </c>
      <c r="D60" s="55" t="s">
        <v>2135</v>
      </c>
      <c r="E60" s="55" t="s">
        <v>2124</v>
      </c>
      <c r="F60" s="55" t="s">
        <v>1011</v>
      </c>
      <c r="G60" s="55">
        <v>5</v>
      </c>
      <c r="H60" s="55" t="s">
        <v>283</v>
      </c>
      <c r="I60" s="55" t="s">
        <v>1490</v>
      </c>
      <c r="J60" s="55" t="s">
        <v>2800</v>
      </c>
      <c r="K60" s="55" t="s">
        <v>2800</v>
      </c>
      <c r="L60" s="55" t="s">
        <v>2800</v>
      </c>
      <c r="M60" s="85"/>
      <c r="N60" s="155"/>
      <c r="O60" s="163"/>
      <c r="P60" s="82" t="s">
        <v>2198</v>
      </c>
      <c r="Q60" s="18" t="s">
        <v>3934</v>
      </c>
    </row>
    <row r="61" spans="1:17" ht="14.25" thickBot="1">
      <c r="A61" s="49" t="str">
        <f t="shared" si="30"/>
        <v>|B20|BG|毒の屍賊|4BB|6|NPH|C|ｿﾞﾝﾋﾞ|||4/1|B:再生|</v>
      </c>
      <c r="B61" s="49" t="s">
        <v>1744</v>
      </c>
      <c r="C61" s="53" t="s">
        <v>2012</v>
      </c>
      <c r="D61" s="54" t="s">
        <v>35</v>
      </c>
      <c r="E61" s="54" t="s">
        <v>1370</v>
      </c>
      <c r="F61" s="54" t="s">
        <v>1371</v>
      </c>
      <c r="G61" s="54">
        <v>6</v>
      </c>
      <c r="H61" s="54" t="s">
        <v>366</v>
      </c>
      <c r="I61" s="54" t="s">
        <v>923</v>
      </c>
      <c r="J61" s="54" t="s">
        <v>3317</v>
      </c>
      <c r="K61" s="54" t="s">
        <v>2800</v>
      </c>
      <c r="L61" s="54" t="s">
        <v>2800</v>
      </c>
      <c r="M61" s="93" t="s">
        <v>1476</v>
      </c>
      <c r="N61" s="164"/>
      <c r="O61" s="180" t="s">
        <v>3610</v>
      </c>
      <c r="P61" s="83" t="s">
        <v>3631</v>
      </c>
      <c r="Q61" s="18" t="s">
        <v>3934</v>
      </c>
    </row>
    <row r="62" spans="1:17">
      <c r="A62" s="49" t="str">
        <f t="shared" si="30"/>
        <v>|R01|他|信仰無き物あさり|R|1|DKA|S|||||2ﾙｰﾀｰ 2R:FB|</v>
      </c>
      <c r="B62" s="49" t="s">
        <v>1744</v>
      </c>
      <c r="C62" s="50" t="s">
        <v>2200</v>
      </c>
      <c r="D62" s="55" t="s">
        <v>2143</v>
      </c>
      <c r="E62" s="55" t="s">
        <v>3181</v>
      </c>
      <c r="F62" s="55" t="s">
        <v>3182</v>
      </c>
      <c r="G62" s="55">
        <v>1</v>
      </c>
      <c r="H62" s="55" t="s">
        <v>3183</v>
      </c>
      <c r="I62" s="55" t="s">
        <v>1501</v>
      </c>
      <c r="J62" s="55" t="s">
        <v>2800</v>
      </c>
      <c r="K62" s="55" t="s">
        <v>2800</v>
      </c>
      <c r="L62" s="55" t="s">
        <v>2800</v>
      </c>
      <c r="M62" s="85"/>
      <c r="N62" s="155"/>
      <c r="O62" s="163"/>
      <c r="P62" s="163" t="s">
        <v>3632</v>
      </c>
      <c r="Q62" s="18" t="s">
        <v>3934</v>
      </c>
    </row>
    <row r="63" spans="1:17">
      <c r="A63" s="49" t="str">
        <f t="shared" si="30"/>
        <v>|R02|UR|煙束ね|1R|2|LRW|C|ｴﾚﾒﾝﾀﾙ|ｼｬｰﾏﾝ||1/1|T:El呪文/能力用任意色2ﾏﾅ|</v>
      </c>
      <c r="B63" s="49" t="s">
        <v>1744</v>
      </c>
      <c r="C63" s="56" t="s">
        <v>2013</v>
      </c>
      <c r="D63" s="55" t="s">
        <v>34</v>
      </c>
      <c r="E63" s="55" t="s">
        <v>1923</v>
      </c>
      <c r="F63" s="55" t="s">
        <v>1012</v>
      </c>
      <c r="G63" s="55">
        <v>2</v>
      </c>
      <c r="H63" s="55" t="s">
        <v>355</v>
      </c>
      <c r="I63" s="55" t="s">
        <v>923</v>
      </c>
      <c r="J63" s="55" t="s">
        <v>3306</v>
      </c>
      <c r="K63" s="55" t="s">
        <v>3319</v>
      </c>
      <c r="L63" s="55" t="s">
        <v>2800</v>
      </c>
      <c r="M63" s="85" t="s">
        <v>1473</v>
      </c>
      <c r="N63" s="157"/>
      <c r="O63" s="166"/>
      <c r="P63" s="166" t="s">
        <v>3633</v>
      </c>
      <c r="Q63" s="18" t="s">
        <v>3934</v>
      </c>
    </row>
    <row r="64" spans="1:17">
      <c r="A64" s="49" t="str">
        <f t="shared" si="30"/>
        <v>|R03|RW|戦に狂える浪人|1R|2|CHK|C|人間|侍||1/1|強制攻撃|</v>
      </c>
      <c r="B64" s="49" t="s">
        <v>1744</v>
      </c>
      <c r="C64" s="56" t="s">
        <v>2014</v>
      </c>
      <c r="D64" s="55" t="s">
        <v>36</v>
      </c>
      <c r="E64" s="55" t="s">
        <v>1159</v>
      </c>
      <c r="F64" s="55" t="s">
        <v>1012</v>
      </c>
      <c r="G64" s="55">
        <v>2</v>
      </c>
      <c r="H64" s="55" t="s">
        <v>347</v>
      </c>
      <c r="I64" s="55" t="s">
        <v>923</v>
      </c>
      <c r="J64" s="55" t="s">
        <v>1410</v>
      </c>
      <c r="K64" s="55" t="s">
        <v>2132</v>
      </c>
      <c r="L64" s="55" t="s">
        <v>2800</v>
      </c>
      <c r="M64" s="85" t="s">
        <v>1473</v>
      </c>
      <c r="N64" s="157"/>
      <c r="O64" s="166" t="s">
        <v>3612</v>
      </c>
      <c r="P64" s="166" t="s">
        <v>3613</v>
      </c>
      <c r="Q64" s="18" t="s">
        <v>3934</v>
      </c>
    </row>
    <row r="65" spans="1:22">
      <c r="A65" s="49" t="str">
        <f t="shared" ref="A65:A96" si="31">B65&amp;C65&amp;B65&amp;D65&amp;B65&amp;E65&amp;B65&amp;F65&amp;B65&amp;G65&amp;B65&amp;H65&amp;B65&amp;I65&amp;B65&amp;J65&amp;B65&amp;K65&amp;B65&amp;L65&amp;B65&amp;M65&amp;B65&amp;P65&amp;B65</f>
        <v>|R04|UR|沸き立つ大地|1R|2|BFZ|S|||||敵軍1点 |</v>
      </c>
      <c r="B65" s="49" t="s">
        <v>1744</v>
      </c>
      <c r="C65" s="56" t="s">
        <v>2015</v>
      </c>
      <c r="D65" s="55" t="s">
        <v>34</v>
      </c>
      <c r="E65" s="55" t="s">
        <v>2120</v>
      </c>
      <c r="F65" s="55" t="s">
        <v>1012</v>
      </c>
      <c r="G65" s="55">
        <v>2</v>
      </c>
      <c r="H65" s="55" t="s">
        <v>378</v>
      </c>
      <c r="I65" s="55" t="s">
        <v>1501</v>
      </c>
      <c r="J65" s="55" t="s">
        <v>2800</v>
      </c>
      <c r="K65" s="55" t="s">
        <v>2800</v>
      </c>
      <c r="L65" s="55" t="s">
        <v>2800</v>
      </c>
      <c r="M65" s="85"/>
      <c r="N65" s="157"/>
      <c r="O65" s="166" t="s">
        <v>3614</v>
      </c>
      <c r="P65" s="166" t="s">
        <v>3634</v>
      </c>
      <c r="Q65" s="18" t="s">
        <v>3934</v>
      </c>
    </row>
    <row r="66" spans="1:22">
      <c r="A66" s="49" t="str">
        <f t="shared" si="31"/>
        <v>|R05|slv|双頭Slv|1R|2|TSP|C|ｽﾘヴｧｰ|||1/1||</v>
      </c>
      <c r="B66" s="49" t="s">
        <v>1744</v>
      </c>
      <c r="C66" s="56" t="s">
        <v>2016</v>
      </c>
      <c r="D66" s="55" t="s">
        <v>2103</v>
      </c>
      <c r="E66" s="55" t="s">
        <v>1094</v>
      </c>
      <c r="F66" s="55" t="s">
        <v>1012</v>
      </c>
      <c r="G66" s="55">
        <v>2</v>
      </c>
      <c r="H66" s="55" t="s">
        <v>352</v>
      </c>
      <c r="I66" s="55" t="s">
        <v>923</v>
      </c>
      <c r="J66" s="55" t="s">
        <v>3304</v>
      </c>
      <c r="K66" s="55" t="s">
        <v>2800</v>
      </c>
      <c r="L66" s="55" t="s">
        <v>2800</v>
      </c>
      <c r="M66" s="85" t="s">
        <v>1473</v>
      </c>
      <c r="N66" s="155"/>
      <c r="O66" s="163" t="s">
        <v>2205</v>
      </c>
      <c r="P66" s="82" t="s">
        <v>2800</v>
      </c>
      <c r="Q66" s="18" t="s">
        <v>3934</v>
      </c>
    </row>
    <row r="67" spans="1:22">
      <c r="A67" s="49" t="str">
        <f t="shared" si="31"/>
        <v>|R06|GU|ｾﾞｸﾀｰ祭殿の探検|1R|2|ZEN|E|||||3C除-7/1ﾎﾞｰﾗｲ|</v>
      </c>
      <c r="B67" s="49" t="s">
        <v>1744</v>
      </c>
      <c r="C67" s="56" t="s">
        <v>2017</v>
      </c>
      <c r="D67" s="55" t="s">
        <v>37</v>
      </c>
      <c r="E67" s="55" t="s">
        <v>2982</v>
      </c>
      <c r="F67" s="55" t="s">
        <v>1012</v>
      </c>
      <c r="G67" s="55">
        <v>2</v>
      </c>
      <c r="H67" s="55" t="s">
        <v>281</v>
      </c>
      <c r="I67" s="55" t="s">
        <v>1493</v>
      </c>
      <c r="J67" s="55" t="s">
        <v>2800</v>
      </c>
      <c r="K67" s="55" t="s">
        <v>2800</v>
      </c>
      <c r="L67" s="55" t="s">
        <v>2800</v>
      </c>
      <c r="M67" s="85"/>
      <c r="N67" s="157"/>
      <c r="O67" s="166" t="s">
        <v>3737</v>
      </c>
      <c r="P67" s="166" t="s">
        <v>3616</v>
      </c>
      <c r="Q67" s="18" t="s">
        <v>3934</v>
      </c>
      <c r="R67" s="49"/>
      <c r="S67" s="49"/>
      <c r="T67" s="49"/>
    </row>
    <row r="68" spans="1:22">
      <c r="A68" s="49" t="str">
        <f t="shared" si="31"/>
        <v>|R07|秘儀|氷河の光線|1R|2|CHK|I|秘儀||||2点|</v>
      </c>
      <c r="B68" s="49" t="s">
        <v>1744</v>
      </c>
      <c r="C68" s="56" t="s">
        <v>2018</v>
      </c>
      <c r="D68" s="55" t="s">
        <v>2147</v>
      </c>
      <c r="E68" s="55" t="s">
        <v>2105</v>
      </c>
      <c r="F68" s="55" t="s">
        <v>1012</v>
      </c>
      <c r="G68" s="55">
        <v>2</v>
      </c>
      <c r="H68" s="55" t="s">
        <v>347</v>
      </c>
      <c r="I68" s="55" t="s">
        <v>1490</v>
      </c>
      <c r="J68" s="55" t="s">
        <v>2147</v>
      </c>
      <c r="K68" s="55" t="s">
        <v>2800</v>
      </c>
      <c r="L68" s="55" t="s">
        <v>2800</v>
      </c>
      <c r="M68" s="85"/>
      <c r="N68" s="155"/>
      <c r="O68" s="163" t="s">
        <v>3738</v>
      </c>
      <c r="P68" s="163" t="s">
        <v>3615</v>
      </c>
      <c r="Q68" s="18" t="s">
        <v>3934</v>
      </c>
      <c r="R68" s="49"/>
      <c r="S68" s="49"/>
      <c r="T68" s="49"/>
    </row>
    <row r="69" spans="1:22">
      <c r="A69" s="49" t="str">
        <f t="shared" si="31"/>
        <v>|R08|RW|熱血漢の聖戦士|2R|3|AVR|C|人間|騎士||2/1||</v>
      </c>
      <c r="B69" s="49" t="s">
        <v>1744</v>
      </c>
      <c r="C69" s="56" t="s">
        <v>2019</v>
      </c>
      <c r="D69" s="55" t="s">
        <v>36</v>
      </c>
      <c r="E69" s="55" t="s">
        <v>2896</v>
      </c>
      <c r="F69" s="55" t="s">
        <v>1014</v>
      </c>
      <c r="G69" s="55">
        <v>3</v>
      </c>
      <c r="H69" s="55" t="s">
        <v>2834</v>
      </c>
      <c r="I69" s="55" t="s">
        <v>923</v>
      </c>
      <c r="J69" s="55" t="s">
        <v>1410</v>
      </c>
      <c r="K69" s="55" t="s">
        <v>1677</v>
      </c>
      <c r="L69" s="55" t="s">
        <v>2800</v>
      </c>
      <c r="M69" s="85" t="s">
        <v>2814</v>
      </c>
      <c r="N69" s="157" t="s">
        <v>3618</v>
      </c>
      <c r="O69" s="166" t="s">
        <v>3617</v>
      </c>
      <c r="P69" s="166" t="s">
        <v>2800</v>
      </c>
      <c r="Q69" s="18" t="s">
        <v>3934</v>
      </c>
      <c r="R69" s="49"/>
      <c r="S69" s="49"/>
      <c r="T69" s="49"/>
    </row>
    <row r="70" spans="1:22">
      <c r="A70" s="49" t="str">
        <f t="shared" si="31"/>
        <v>|R09|GU|ｱｸﾛｽの兵長|2R|3|ORI|C|人間|兵士||2/2||</v>
      </c>
      <c r="B70" s="49" t="s">
        <v>1744</v>
      </c>
      <c r="C70" s="56" t="s">
        <v>2020</v>
      </c>
      <c r="D70" s="55" t="s">
        <v>37</v>
      </c>
      <c r="E70" s="55" t="s">
        <v>2956</v>
      </c>
      <c r="F70" s="55" t="s">
        <v>1014</v>
      </c>
      <c r="G70" s="55">
        <v>3</v>
      </c>
      <c r="H70" s="55" t="s">
        <v>377</v>
      </c>
      <c r="I70" s="55" t="s">
        <v>923</v>
      </c>
      <c r="J70" s="55" t="s">
        <v>1410</v>
      </c>
      <c r="K70" s="55" t="s">
        <v>1647</v>
      </c>
      <c r="L70" s="55" t="s">
        <v>2800</v>
      </c>
      <c r="M70" s="85" t="s">
        <v>1475</v>
      </c>
      <c r="N70" s="155"/>
      <c r="O70" s="163" t="s">
        <v>2208</v>
      </c>
      <c r="P70" s="163" t="s">
        <v>2800</v>
      </c>
      <c r="Q70" s="18" t="s">
        <v>3934</v>
      </c>
      <c r="R70" s="49"/>
      <c r="S70" s="49"/>
      <c r="T70" s="49"/>
    </row>
    <row r="71" spans="1:22">
      <c r="A71" s="49" t="str">
        <f t="shared" si="31"/>
        <v>|R10|slv|誘導Slv|2R|3|FUT|C|ｽﾘヴｧｰ|||2/2||</v>
      </c>
      <c r="B71" s="49" t="s">
        <v>1744</v>
      </c>
      <c r="C71" s="56" t="s">
        <v>2021</v>
      </c>
      <c r="D71" s="55" t="s">
        <v>2103</v>
      </c>
      <c r="E71" s="55" t="s">
        <v>1096</v>
      </c>
      <c r="F71" s="55" t="s">
        <v>1014</v>
      </c>
      <c r="G71" s="55">
        <v>3</v>
      </c>
      <c r="H71" s="55" t="s">
        <v>354</v>
      </c>
      <c r="I71" s="55" t="s">
        <v>923</v>
      </c>
      <c r="J71" s="55" t="s">
        <v>3304</v>
      </c>
      <c r="K71" s="55" t="s">
        <v>2800</v>
      </c>
      <c r="L71" s="55" t="s">
        <v>2800</v>
      </c>
      <c r="M71" s="85" t="s">
        <v>1475</v>
      </c>
      <c r="N71" s="155"/>
      <c r="O71" s="163" t="s">
        <v>3635</v>
      </c>
      <c r="P71" s="163"/>
      <c r="Q71" s="18" t="s">
        <v>3934</v>
      </c>
      <c r="R71" s="49"/>
      <c r="S71" s="49"/>
      <c r="T71" s="49"/>
    </row>
    <row r="72" spans="1:22">
      <c r="A72" s="49" t="str">
        <f t="shared" si="31"/>
        <v>|R11|RW|ﾗｯﾊﾟの一吹き|2R|3|KTK|I|||||攻生物P+2|</v>
      </c>
      <c r="B72" s="49" t="s">
        <v>1744</v>
      </c>
      <c r="C72" s="56" t="s">
        <v>2022</v>
      </c>
      <c r="D72" s="55" t="s">
        <v>36</v>
      </c>
      <c r="E72" s="55" t="s">
        <v>3012</v>
      </c>
      <c r="F72" s="55" t="s">
        <v>1014</v>
      </c>
      <c r="G72" s="55">
        <v>3</v>
      </c>
      <c r="H72" s="55" t="s">
        <v>283</v>
      </c>
      <c r="I72" s="55" t="s">
        <v>1490</v>
      </c>
      <c r="J72" s="55" t="s">
        <v>2800</v>
      </c>
      <c r="K72" s="55" t="s">
        <v>2800</v>
      </c>
      <c r="L72" s="55" t="s">
        <v>2800</v>
      </c>
      <c r="M72" s="85"/>
      <c r="N72" s="155"/>
      <c r="O72" s="163"/>
      <c r="P72" s="163" t="s">
        <v>2209</v>
      </c>
      <c r="Q72" s="18" t="s">
        <v>3934</v>
      </c>
      <c r="R72" s="49"/>
      <c r="S72" s="49"/>
      <c r="T72" s="49"/>
    </row>
    <row r="73" spans="1:22">
      <c r="A73" s="49" t="str">
        <f t="shared" si="31"/>
        <v>|R12|E|感電の弧炎|2R|3|RAV|E|ｵｰﾗ|||||</v>
      </c>
      <c r="B73" s="49" t="s">
        <v>1744</v>
      </c>
      <c r="C73" s="56" t="s">
        <v>2023</v>
      </c>
      <c r="D73" s="55" t="s">
        <v>1493</v>
      </c>
      <c r="E73" s="55" t="s">
        <v>2840</v>
      </c>
      <c r="F73" s="55" t="s">
        <v>2841</v>
      </c>
      <c r="G73" s="55">
        <v>3</v>
      </c>
      <c r="H73" s="55" t="s">
        <v>2842</v>
      </c>
      <c r="I73" s="55" t="s">
        <v>1493</v>
      </c>
      <c r="J73" s="55" t="s">
        <v>3307</v>
      </c>
      <c r="K73" s="55" t="s">
        <v>2800</v>
      </c>
      <c r="L73" s="55" t="s">
        <v>2800</v>
      </c>
      <c r="M73" s="85"/>
      <c r="N73" s="155" t="s">
        <v>3717</v>
      </c>
      <c r="O73" s="163" t="s">
        <v>3718</v>
      </c>
      <c r="P73" s="163"/>
      <c r="Q73" s="18" t="s">
        <v>3934</v>
      </c>
      <c r="R73" s="49"/>
      <c r="S73" s="49"/>
      <c r="T73" s="49"/>
    </row>
    <row r="74" spans="1:22">
      <c r="A74" s="49" t="str">
        <f t="shared" si="31"/>
        <v>|R13|GU|ｱﾀﾙｶのｲﾌﾘｰﾄ|3R|4|DTK|C|ｲﾌﾘｰﾄ|ｼｬｰﾏﾝ||5/1|表時1点|</v>
      </c>
      <c r="B74" s="49" t="s">
        <v>1744</v>
      </c>
      <c r="C74" s="56" t="s">
        <v>2024</v>
      </c>
      <c r="D74" s="60" t="s">
        <v>37</v>
      </c>
      <c r="E74" s="60" t="s">
        <v>3023</v>
      </c>
      <c r="F74" s="60" t="s">
        <v>1016</v>
      </c>
      <c r="G74" s="60">
        <v>4</v>
      </c>
      <c r="H74" s="60" t="s">
        <v>376</v>
      </c>
      <c r="I74" s="60" t="s">
        <v>923</v>
      </c>
      <c r="J74" s="60" t="s">
        <v>3320</v>
      </c>
      <c r="K74" s="60" t="s">
        <v>3319</v>
      </c>
      <c r="L74" s="60" t="s">
        <v>2800</v>
      </c>
      <c r="M74" s="87" t="s">
        <v>2245</v>
      </c>
      <c r="N74" s="158"/>
      <c r="O74" s="167" t="s">
        <v>3739</v>
      </c>
      <c r="P74" s="167" t="s">
        <v>3719</v>
      </c>
      <c r="Q74" s="18" t="s">
        <v>3934</v>
      </c>
      <c r="R74" s="49"/>
      <c r="S74" s="49"/>
      <c r="T74" s="49"/>
      <c r="U74" s="49"/>
      <c r="V74" s="49"/>
    </row>
    <row r="75" spans="1:22">
      <c r="A75" s="49" t="str">
        <f t="shared" si="31"/>
        <v>|R14|除去|構造のひずみ|3R|4|SOI|S|||||LorF追放 CTL2点|</v>
      </c>
      <c r="B75" s="49" t="s">
        <v>1744</v>
      </c>
      <c r="C75" s="56" t="s">
        <v>2025</v>
      </c>
      <c r="D75" s="55" t="s">
        <v>2135</v>
      </c>
      <c r="E75" s="55" t="s">
        <v>3026</v>
      </c>
      <c r="F75" s="55" t="s">
        <v>1016</v>
      </c>
      <c r="G75" s="55">
        <v>4</v>
      </c>
      <c r="H75" s="55" t="s">
        <v>2810</v>
      </c>
      <c r="I75" s="55" t="s">
        <v>1501</v>
      </c>
      <c r="J75" s="55" t="s">
        <v>2800</v>
      </c>
      <c r="K75" s="55" t="s">
        <v>2800</v>
      </c>
      <c r="L75" s="55" t="s">
        <v>2800</v>
      </c>
      <c r="M75" s="85"/>
      <c r="N75" s="155"/>
      <c r="O75" s="163"/>
      <c r="P75" s="82" t="s">
        <v>3636</v>
      </c>
      <c r="Q75" s="18" t="s">
        <v>3934</v>
      </c>
      <c r="R75" s="49"/>
      <c r="S75" s="49"/>
      <c r="T75" s="49"/>
      <c r="U75" s="49"/>
      <c r="V75" s="49"/>
    </row>
    <row r="76" spans="1:22">
      <c r="A76" s="49" t="str">
        <f t="shared" si="31"/>
        <v>|R15|除去|ﾊﾟｰﾌｫﾛｽの激怒|3R|4|THS|S|||||生物4点 再生不可|</v>
      </c>
      <c r="B76" s="49" t="s">
        <v>1744</v>
      </c>
      <c r="C76" s="56" t="s">
        <v>2026</v>
      </c>
      <c r="D76" s="40" t="s">
        <v>2135</v>
      </c>
      <c r="E76" s="40" t="s">
        <v>3302</v>
      </c>
      <c r="F76" s="40" t="s">
        <v>1016</v>
      </c>
      <c r="G76" s="40">
        <v>4</v>
      </c>
      <c r="H76" s="40" t="s">
        <v>282</v>
      </c>
      <c r="I76" s="40" t="s">
        <v>3278</v>
      </c>
      <c r="J76" s="40" t="s">
        <v>2800</v>
      </c>
      <c r="K76" s="40" t="s">
        <v>2800</v>
      </c>
      <c r="L76" s="40" t="s">
        <v>2800</v>
      </c>
      <c r="M76" s="116"/>
      <c r="N76" s="168"/>
      <c r="O76" s="181"/>
      <c r="P76" s="169" t="s">
        <v>3637</v>
      </c>
      <c r="Q76" s="18" t="s">
        <v>3934</v>
      </c>
      <c r="R76" s="49"/>
      <c r="S76" s="49"/>
      <c r="T76" s="49"/>
      <c r="U76" s="49"/>
      <c r="V76" s="49"/>
    </row>
    <row r="77" spans="1:22">
      <c r="A77" s="49" t="str">
        <f t="shared" si="31"/>
        <v>|R16|UR|鋳塊かじり|4R|5|LRW|C|ｴﾚﾒﾝﾀﾙ|||3/3||</v>
      </c>
      <c r="B77" s="49" t="s">
        <v>1744</v>
      </c>
      <c r="C77" s="56" t="s">
        <v>2027</v>
      </c>
      <c r="D77" s="55" t="s">
        <v>34</v>
      </c>
      <c r="E77" s="55" t="s">
        <v>2829</v>
      </c>
      <c r="F77" s="55" t="s">
        <v>2830</v>
      </c>
      <c r="G77" s="55">
        <v>5</v>
      </c>
      <c r="H77" s="55" t="s">
        <v>2831</v>
      </c>
      <c r="I77" s="55" t="s">
        <v>923</v>
      </c>
      <c r="J77" s="55" t="s">
        <v>3306</v>
      </c>
      <c r="K77" s="55" t="s">
        <v>2800</v>
      </c>
      <c r="L77" s="55" t="s">
        <v>2800</v>
      </c>
      <c r="M77" s="85" t="s">
        <v>2832</v>
      </c>
      <c r="N77" s="157" t="s">
        <v>3720</v>
      </c>
      <c r="O77" s="166" t="s">
        <v>3740</v>
      </c>
      <c r="P77" s="170"/>
      <c r="Q77" s="18" t="s">
        <v>3934</v>
      </c>
      <c r="R77" s="49"/>
      <c r="S77" s="49"/>
      <c r="T77" s="49"/>
      <c r="U77" s="49"/>
      <c r="V77" s="49"/>
    </row>
    <row r="78" spans="1:22">
      <c r="A78" s="49" t="str">
        <f t="shared" si="31"/>
        <v>|R17|RW|霜剣山の呪刃|4R|5|SOK|C|ｵｰｶﾞ|侍||2/3|1R:P+手札 |</v>
      </c>
      <c r="B78" s="49" t="s">
        <v>1744</v>
      </c>
      <c r="C78" s="56" t="s">
        <v>2028</v>
      </c>
      <c r="D78" s="55" t="s">
        <v>36</v>
      </c>
      <c r="E78" s="55" t="s">
        <v>1176</v>
      </c>
      <c r="F78" s="55" t="s">
        <v>1189</v>
      </c>
      <c r="G78" s="55">
        <v>5</v>
      </c>
      <c r="H78" s="55" t="s">
        <v>278</v>
      </c>
      <c r="I78" s="55" t="s">
        <v>923</v>
      </c>
      <c r="J78" s="55" t="s">
        <v>3321</v>
      </c>
      <c r="K78" s="55" t="s">
        <v>2132</v>
      </c>
      <c r="L78" s="55" t="s">
        <v>2800</v>
      </c>
      <c r="M78" s="85" t="s">
        <v>1480</v>
      </c>
      <c r="N78" s="157"/>
      <c r="O78" s="166" t="s">
        <v>3584</v>
      </c>
      <c r="P78" s="170" t="s">
        <v>3721</v>
      </c>
      <c r="Q78" s="18" t="s">
        <v>3934</v>
      </c>
      <c r="R78" s="49"/>
      <c r="S78" s="49"/>
      <c r="T78" s="49"/>
      <c r="U78" s="49"/>
      <c r="V78" s="49"/>
    </row>
    <row r="79" spans="1:22">
      <c r="A79" s="49" t="str">
        <f t="shared" si="31"/>
        <v>|R18|他|反抗するｵｰｶﾞ|5R|6|FRF|C|ｵｰｶﾞ|戦士||3/5||</v>
      </c>
      <c r="B79" s="49" t="s">
        <v>1744</v>
      </c>
      <c r="C79" s="56" t="s">
        <v>2029</v>
      </c>
      <c r="D79" s="55" t="s">
        <v>2143</v>
      </c>
      <c r="E79" s="55" t="s">
        <v>3020</v>
      </c>
      <c r="F79" s="55" t="s">
        <v>2836</v>
      </c>
      <c r="G79" s="55">
        <v>6</v>
      </c>
      <c r="H79" s="55" t="s">
        <v>2837</v>
      </c>
      <c r="I79" s="55" t="s">
        <v>2818</v>
      </c>
      <c r="J79" s="55" t="s">
        <v>3321</v>
      </c>
      <c r="K79" s="55" t="s">
        <v>2187</v>
      </c>
      <c r="L79" s="55" t="s">
        <v>2800</v>
      </c>
      <c r="M79" s="85" t="s">
        <v>2838</v>
      </c>
      <c r="N79" s="155" t="s">
        <v>3722</v>
      </c>
      <c r="O79" s="163"/>
      <c r="P79" s="82"/>
      <c r="Q79" s="18" t="s">
        <v>3934</v>
      </c>
      <c r="R79" s="49"/>
      <c r="S79" s="49"/>
      <c r="T79" s="49"/>
      <c r="U79" s="49"/>
      <c r="V79" s="49"/>
    </row>
    <row r="80" spans="1:22">
      <c r="A80" s="49" t="str">
        <f t="shared" si="31"/>
        <v>|R19|slv|乱打Slv|5R|6|PLC|C|ｽﾘヴｧｰ|||4/4||</v>
      </c>
      <c r="B80" s="49" t="s">
        <v>1744</v>
      </c>
      <c r="C80" s="56" t="s">
        <v>2030</v>
      </c>
      <c r="D80" s="55" t="s">
        <v>2103</v>
      </c>
      <c r="E80" s="55" t="s">
        <v>1103</v>
      </c>
      <c r="F80" s="55" t="s">
        <v>1021</v>
      </c>
      <c r="G80" s="55">
        <v>6</v>
      </c>
      <c r="H80" s="55" t="s">
        <v>353</v>
      </c>
      <c r="I80" s="55" t="s">
        <v>923</v>
      </c>
      <c r="J80" s="55" t="s">
        <v>3304</v>
      </c>
      <c r="K80" s="55" t="s">
        <v>2800</v>
      </c>
      <c r="L80" s="55" t="s">
        <v>2800</v>
      </c>
      <c r="M80" s="85" t="s">
        <v>1482</v>
      </c>
      <c r="N80" s="155"/>
      <c r="O80" s="163" t="s">
        <v>3723</v>
      </c>
      <c r="P80" s="82"/>
      <c r="Q80" s="18" t="s">
        <v>3934</v>
      </c>
      <c r="R80" s="49"/>
      <c r="S80" s="49"/>
      <c r="T80" s="49"/>
      <c r="U80" s="49"/>
      <c r="V80" s="49"/>
    </row>
    <row r="81" spans="1:22" ht="14.25" thickBot="1">
      <c r="A81" s="49" t="str">
        <f t="shared" si="31"/>
        <v>|R20|UR|鉱夫の破滅|4RR|6|M15|C|ｴﾚﾒﾝﾀﾙ|||6/3|2R:P+1+貫通|</v>
      </c>
      <c r="B81" s="49" t="s">
        <v>1744</v>
      </c>
      <c r="C81" s="39" t="s">
        <v>2031</v>
      </c>
      <c r="D81" s="40" t="s">
        <v>34</v>
      </c>
      <c r="E81" s="40" t="s">
        <v>2107</v>
      </c>
      <c r="F81" s="40" t="s">
        <v>2215</v>
      </c>
      <c r="G81" s="40">
        <v>6</v>
      </c>
      <c r="H81" s="40" t="s">
        <v>225</v>
      </c>
      <c r="I81" s="40" t="s">
        <v>923</v>
      </c>
      <c r="J81" s="40" t="s">
        <v>3306</v>
      </c>
      <c r="K81" s="40" t="s">
        <v>2800</v>
      </c>
      <c r="L81" s="40" t="s">
        <v>2800</v>
      </c>
      <c r="M81" s="116" t="s">
        <v>2246</v>
      </c>
      <c r="N81" s="168"/>
      <c r="O81" s="181" t="s">
        <v>3723</v>
      </c>
      <c r="P81" s="169" t="s">
        <v>2216</v>
      </c>
      <c r="Q81" s="18" t="s">
        <v>3934</v>
      </c>
      <c r="R81" s="49"/>
      <c r="S81" s="49"/>
      <c r="T81" s="49"/>
      <c r="U81" s="49"/>
      <c r="V81" s="49"/>
    </row>
    <row r="82" spans="1:22">
      <c r="A82" s="49" t="str">
        <f t="shared" si="31"/>
        <v>|G01|WB|確約の神主|G|1|SOK|C|人間|ﾄﾞﾙｲﾄﾞ||1/1||</v>
      </c>
      <c r="B82" s="49" t="s">
        <v>1744</v>
      </c>
      <c r="C82" s="50" t="s">
        <v>2217</v>
      </c>
      <c r="D82" s="51" t="s">
        <v>33</v>
      </c>
      <c r="E82" s="51" t="s">
        <v>1409</v>
      </c>
      <c r="F82" s="51" t="s">
        <v>3208</v>
      </c>
      <c r="G82" s="51">
        <v>1</v>
      </c>
      <c r="H82" s="51" t="s">
        <v>278</v>
      </c>
      <c r="I82" s="51" t="s">
        <v>923</v>
      </c>
      <c r="J82" s="51" t="s">
        <v>1410</v>
      </c>
      <c r="K82" s="51" t="s">
        <v>3322</v>
      </c>
      <c r="L82" s="51" t="s">
        <v>2800</v>
      </c>
      <c r="M82" s="92" t="s">
        <v>3209</v>
      </c>
      <c r="N82" s="156"/>
      <c r="O82" s="165" t="s">
        <v>1412</v>
      </c>
      <c r="P82" s="165"/>
      <c r="Q82" s="18" t="s">
        <v>3934</v>
      </c>
      <c r="R82" s="49"/>
      <c r="S82" s="49"/>
      <c r="T82" s="49"/>
      <c r="U82" s="49"/>
      <c r="V82" s="49"/>
    </row>
    <row r="83" spans="1:22">
      <c r="A83" s="49" t="str">
        <f t="shared" si="31"/>
        <v>|G02|slv|悪性Slv|G|1|FUT|C|ｽﾘヴｧｰ|||1/1||</v>
      </c>
      <c r="B83" s="49" t="s">
        <v>1744</v>
      </c>
      <c r="C83" s="56" t="s">
        <v>2032</v>
      </c>
      <c r="D83" s="55" t="s">
        <v>2103</v>
      </c>
      <c r="E83" s="55" t="s">
        <v>1104</v>
      </c>
      <c r="F83" s="55" t="s">
        <v>28</v>
      </c>
      <c r="G83" s="55">
        <v>1</v>
      </c>
      <c r="H83" s="55" t="s">
        <v>354</v>
      </c>
      <c r="I83" s="55" t="s">
        <v>923</v>
      </c>
      <c r="J83" s="55" t="s">
        <v>3304</v>
      </c>
      <c r="K83" s="55" t="s">
        <v>2800</v>
      </c>
      <c r="L83" s="55" t="s">
        <v>2800</v>
      </c>
      <c r="M83" s="85" t="s">
        <v>1473</v>
      </c>
      <c r="N83" s="155"/>
      <c r="O83" s="163" t="s">
        <v>2218</v>
      </c>
      <c r="P83" s="163"/>
      <c r="Q83" s="18" t="s">
        <v>3934</v>
      </c>
      <c r="R83" s="49"/>
      <c r="S83" s="49"/>
      <c r="T83" s="49"/>
      <c r="U83" s="49"/>
      <c r="V83" s="49"/>
    </row>
    <row r="84" spans="1:22">
      <c r="A84" s="49" t="str">
        <f t="shared" si="31"/>
        <v>|G03|slv|宝革Slv|1G|2|TSP|C|ｽﾘヴｧｰ|||1/1|ﾏﾅｸﾘ|</v>
      </c>
      <c r="B84" s="49" t="s">
        <v>1744</v>
      </c>
      <c r="C84" s="56" t="s">
        <v>2033</v>
      </c>
      <c r="D84" s="55" t="s">
        <v>2103</v>
      </c>
      <c r="E84" s="55" t="s">
        <v>1105</v>
      </c>
      <c r="F84" s="55" t="s">
        <v>1024</v>
      </c>
      <c r="G84" s="55">
        <v>2</v>
      </c>
      <c r="H84" s="55" t="s">
        <v>352</v>
      </c>
      <c r="I84" s="55" t="s">
        <v>923</v>
      </c>
      <c r="J84" s="55" t="s">
        <v>3304</v>
      </c>
      <c r="K84" s="55" t="s">
        <v>2800</v>
      </c>
      <c r="L84" s="55" t="s">
        <v>2800</v>
      </c>
      <c r="M84" s="85" t="s">
        <v>1473</v>
      </c>
      <c r="N84" s="155"/>
      <c r="O84" s="163"/>
      <c r="P84" s="163" t="s">
        <v>3638</v>
      </c>
      <c r="Q84" s="18" t="s">
        <v>3934</v>
      </c>
      <c r="R84" s="49"/>
      <c r="S84" s="49"/>
      <c r="T84" s="49"/>
      <c r="U84" s="49"/>
      <c r="V84" s="49"/>
    </row>
    <row r="85" spans="1:22">
      <c r="A85" s="49" t="str">
        <f t="shared" si="31"/>
        <v>|G04|BG|荒廃のﾏﾝﾊﾞ|1G|2|SOM|C|蛇|||1/1|G:再生|</v>
      </c>
      <c r="B85" s="49" t="s">
        <v>1744</v>
      </c>
      <c r="C85" s="56" t="s">
        <v>2034</v>
      </c>
      <c r="D85" s="60" t="s">
        <v>35</v>
      </c>
      <c r="E85" s="60" t="s">
        <v>3520</v>
      </c>
      <c r="F85" s="60" t="s">
        <v>3210</v>
      </c>
      <c r="G85" s="60">
        <v>2</v>
      </c>
      <c r="H85" s="60" t="s">
        <v>3521</v>
      </c>
      <c r="I85" s="60" t="s">
        <v>923</v>
      </c>
      <c r="J85" s="60" t="s">
        <v>1706</v>
      </c>
      <c r="K85" s="60" t="s">
        <v>2800</v>
      </c>
      <c r="L85" s="60" t="s">
        <v>2800</v>
      </c>
      <c r="M85" s="87" t="s">
        <v>1473</v>
      </c>
      <c r="N85" s="158"/>
      <c r="O85" s="167" t="s">
        <v>3724</v>
      </c>
      <c r="P85" s="167" t="s">
        <v>3725</v>
      </c>
      <c r="Q85" s="18" t="s">
        <v>3934</v>
      </c>
      <c r="R85" s="49"/>
      <c r="S85" s="49"/>
      <c r="T85" s="49"/>
      <c r="U85" s="49"/>
      <c r="V85" s="49"/>
    </row>
    <row r="86" spans="1:22">
      <c r="A86" s="49" t="str">
        <f t="shared" si="31"/>
        <v>|G05|GU|不屈の自然|1G|2|M12|S|||||ﾗﾝﾊﾟﾝ|</v>
      </c>
      <c r="B86" s="49" t="s">
        <v>1744</v>
      </c>
      <c r="C86" s="56" t="s">
        <v>2035</v>
      </c>
      <c r="D86" s="55" t="s">
        <v>37</v>
      </c>
      <c r="E86" s="55" t="s">
        <v>801</v>
      </c>
      <c r="F86" s="55" t="s">
        <v>1024</v>
      </c>
      <c r="G86" s="55">
        <v>2</v>
      </c>
      <c r="H86" s="55" t="s">
        <v>222</v>
      </c>
      <c r="I86" s="55" t="s">
        <v>1501</v>
      </c>
      <c r="J86" s="55" t="s">
        <v>2800</v>
      </c>
      <c r="K86" s="55" t="s">
        <v>2800</v>
      </c>
      <c r="L86" s="55" t="s">
        <v>2800</v>
      </c>
      <c r="M86" s="85"/>
      <c r="N86" s="155"/>
      <c r="O86" s="163"/>
      <c r="P86" s="163" t="s">
        <v>3639</v>
      </c>
      <c r="Q86" s="18" t="s">
        <v>3934</v>
      </c>
      <c r="R86" s="49"/>
      <c r="S86" s="49"/>
      <c r="T86" s="49"/>
      <c r="U86" s="49"/>
      <c r="V86" s="49"/>
    </row>
    <row r="87" spans="1:22">
      <c r="A87" s="49" t="str">
        <f t="shared" si="31"/>
        <v>|G06|除去|帰化|1G|2|ISD|I|||||EorF破壊|</v>
      </c>
      <c r="B87" s="49" t="s">
        <v>1744</v>
      </c>
      <c r="C87" s="56" t="s">
        <v>2036</v>
      </c>
      <c r="D87" s="55" t="s">
        <v>2135</v>
      </c>
      <c r="E87" s="55" t="s">
        <v>2220</v>
      </c>
      <c r="F87" s="55" t="s">
        <v>1024</v>
      </c>
      <c r="G87" s="55">
        <v>2</v>
      </c>
      <c r="H87" s="55" t="s">
        <v>367</v>
      </c>
      <c r="I87" s="55" t="s">
        <v>1490</v>
      </c>
      <c r="J87" s="55" t="s">
        <v>2800</v>
      </c>
      <c r="K87" s="55" t="s">
        <v>2800</v>
      </c>
      <c r="L87" s="55" t="s">
        <v>2800</v>
      </c>
      <c r="M87" s="85"/>
      <c r="N87" s="155"/>
      <c r="O87" s="163"/>
      <c r="P87" s="163" t="s">
        <v>2221</v>
      </c>
      <c r="Q87" s="18" t="s">
        <v>3934</v>
      </c>
      <c r="R87" s="49"/>
      <c r="S87" s="49"/>
      <c r="T87" s="49"/>
      <c r="U87" s="49"/>
      <c r="V87" s="49"/>
    </row>
    <row r="88" spans="1:22">
      <c r="A88" s="49" t="str">
        <f t="shared" si="31"/>
        <v>|G07|他|剛力化|1G|2|ORI|I|||||_+4/+4|</v>
      </c>
      <c r="B88" s="49" t="s">
        <v>1744</v>
      </c>
      <c r="C88" s="56" t="s">
        <v>2037</v>
      </c>
      <c r="D88" s="55" t="s">
        <v>2143</v>
      </c>
      <c r="E88" s="55" t="s">
        <v>2222</v>
      </c>
      <c r="F88" s="55" t="s">
        <v>1024</v>
      </c>
      <c r="G88" s="55">
        <v>2</v>
      </c>
      <c r="H88" s="55" t="s">
        <v>377</v>
      </c>
      <c r="I88" s="55" t="s">
        <v>2868</v>
      </c>
      <c r="J88" s="55" t="s">
        <v>2800</v>
      </c>
      <c r="K88" s="55" t="s">
        <v>2800</v>
      </c>
      <c r="L88" s="55" t="s">
        <v>2800</v>
      </c>
      <c r="M88" s="85"/>
      <c r="N88" s="155"/>
      <c r="O88" s="163"/>
      <c r="P88" s="163" t="s">
        <v>2223</v>
      </c>
      <c r="Q88" s="18" t="s">
        <v>3934</v>
      </c>
      <c r="R88" s="49"/>
      <c r="S88" s="49"/>
      <c r="T88" s="49"/>
      <c r="U88" s="49"/>
      <c r="V88" s="49"/>
    </row>
    <row r="89" spans="1:22">
      <c r="A89" s="49" t="str">
        <f t="shared" si="31"/>
        <v>|G08|BG|嚢胞抱え|2G|3|SOM|C|ﾋﾞｰｽﾄ|||2/3||</v>
      </c>
      <c r="B89" s="49" t="s">
        <v>1744</v>
      </c>
      <c r="C89" s="56" t="s">
        <v>2038</v>
      </c>
      <c r="D89" s="55" t="s">
        <v>35</v>
      </c>
      <c r="E89" s="55" t="s">
        <v>1362</v>
      </c>
      <c r="F89" s="55" t="s">
        <v>1026</v>
      </c>
      <c r="G89" s="55">
        <v>3</v>
      </c>
      <c r="H89" s="55" t="s">
        <v>364</v>
      </c>
      <c r="I89" s="55" t="s">
        <v>923</v>
      </c>
      <c r="J89" s="55" t="s">
        <v>3312</v>
      </c>
      <c r="K89" s="55" t="s">
        <v>2800</v>
      </c>
      <c r="L89" s="55" t="s">
        <v>2800</v>
      </c>
      <c r="M89" s="85" t="s">
        <v>1480</v>
      </c>
      <c r="N89" s="155"/>
      <c r="O89" s="163" t="s">
        <v>1255</v>
      </c>
      <c r="P89" s="163"/>
      <c r="Q89" s="18" t="s">
        <v>3934</v>
      </c>
      <c r="R89" s="49"/>
      <c r="S89" s="49"/>
      <c r="T89" s="49"/>
      <c r="U89" s="49"/>
      <c r="V89" s="49"/>
    </row>
    <row r="90" spans="1:22">
      <c r="A90" s="49" t="str">
        <f t="shared" si="31"/>
        <v>|G09|GU|彼方地のｴﾙﾌ|2G|3|SHM|C|ｴﾙﾌ|ﾄﾞﾙｲﾄﾞ||1/1||</v>
      </c>
      <c r="B90" s="49" t="s">
        <v>1744</v>
      </c>
      <c r="C90" s="56" t="s">
        <v>2039</v>
      </c>
      <c r="D90" s="55" t="s">
        <v>37</v>
      </c>
      <c r="E90" s="55" t="s">
        <v>2976</v>
      </c>
      <c r="F90" s="55" t="s">
        <v>1026</v>
      </c>
      <c r="G90" s="55">
        <v>3</v>
      </c>
      <c r="H90" s="55" t="s">
        <v>357</v>
      </c>
      <c r="I90" s="55" t="s">
        <v>923</v>
      </c>
      <c r="J90" s="55" t="s">
        <v>3323</v>
      </c>
      <c r="K90" s="55" t="s">
        <v>3322</v>
      </c>
      <c r="L90" s="55" t="s">
        <v>2800</v>
      </c>
      <c r="M90" s="85" t="s">
        <v>1473</v>
      </c>
      <c r="N90" s="155" t="s">
        <v>3726</v>
      </c>
      <c r="O90" s="163"/>
      <c r="P90" s="163"/>
      <c r="Q90" s="18" t="s">
        <v>3934</v>
      </c>
      <c r="R90" s="49"/>
      <c r="S90" s="49"/>
      <c r="T90" s="49"/>
      <c r="U90" s="49"/>
      <c r="V90" s="49"/>
    </row>
    <row r="91" spans="1:22">
      <c r="A91" s="49" t="str">
        <f t="shared" si="31"/>
        <v>|G10|秘儀|木霊の手の内|2G|3|CHK|S|秘儀||||耕作|</v>
      </c>
      <c r="B91" s="49" t="s">
        <v>1744</v>
      </c>
      <c r="C91" s="56" t="s">
        <v>2040</v>
      </c>
      <c r="D91" s="55" t="s">
        <v>2147</v>
      </c>
      <c r="E91" s="55" t="s">
        <v>2122</v>
      </c>
      <c r="F91" s="55" t="s">
        <v>1026</v>
      </c>
      <c r="G91" s="55">
        <v>3</v>
      </c>
      <c r="H91" s="55" t="s">
        <v>347</v>
      </c>
      <c r="I91" s="55" t="s">
        <v>1501</v>
      </c>
      <c r="J91" s="55" t="s">
        <v>2147</v>
      </c>
      <c r="K91" s="55" t="s">
        <v>2800</v>
      </c>
      <c r="L91" s="55" t="s">
        <v>2800</v>
      </c>
      <c r="M91" s="85"/>
      <c r="N91" s="155"/>
      <c r="O91" s="163"/>
      <c r="P91" s="163" t="s">
        <v>2224</v>
      </c>
      <c r="Q91" s="18" t="s">
        <v>3934</v>
      </c>
      <c r="R91" s="49"/>
      <c r="S91" s="49"/>
      <c r="T91" s="49"/>
      <c r="U91" s="49"/>
      <c r="V91" s="49"/>
    </row>
    <row r="92" spans="1:22">
      <c r="A92" s="49" t="str">
        <f t="shared" si="31"/>
        <v>|G11|E|新緑の安息所|2G|3|M15|E|ｵｰﾗ||||E土地追加ﾏﾅ|</v>
      </c>
      <c r="B92" s="49" t="s">
        <v>1744</v>
      </c>
      <c r="C92" s="56" t="s">
        <v>2041</v>
      </c>
      <c r="D92" s="55" t="s">
        <v>1493</v>
      </c>
      <c r="E92" s="55" t="s">
        <v>2873</v>
      </c>
      <c r="F92" s="55" t="s">
        <v>2870</v>
      </c>
      <c r="G92" s="55">
        <v>3</v>
      </c>
      <c r="H92" s="55" t="s">
        <v>2874</v>
      </c>
      <c r="I92" s="55" t="s">
        <v>1493</v>
      </c>
      <c r="J92" s="55" t="s">
        <v>3307</v>
      </c>
      <c r="K92" s="55" t="s">
        <v>2800</v>
      </c>
      <c r="L92" s="55" t="s">
        <v>2800</v>
      </c>
      <c r="M92" s="85"/>
      <c r="N92" s="155" t="s">
        <v>3728</v>
      </c>
      <c r="O92" s="163"/>
      <c r="P92" s="163" t="s">
        <v>3727</v>
      </c>
      <c r="Q92" s="18" t="s">
        <v>3934</v>
      </c>
      <c r="R92" s="49"/>
      <c r="S92" s="49"/>
      <c r="T92" s="49"/>
      <c r="U92" s="49"/>
      <c r="V92" s="49"/>
    </row>
    <row r="93" spans="1:22">
      <c r="A93" s="49" t="str">
        <f t="shared" si="31"/>
        <v>|G12|BG|ﾋﾟｽﾀｽの一撃|2G|3|MBS|I|||||垂直落下 毒1|</v>
      </c>
      <c r="B93" s="49" t="s">
        <v>1744</v>
      </c>
      <c r="C93" s="56" t="s">
        <v>2042</v>
      </c>
      <c r="D93" s="55" t="s">
        <v>35</v>
      </c>
      <c r="E93" s="55" t="s">
        <v>2984</v>
      </c>
      <c r="F93" s="55" t="s">
        <v>1026</v>
      </c>
      <c r="G93" s="55">
        <v>3</v>
      </c>
      <c r="H93" s="55" t="s">
        <v>365</v>
      </c>
      <c r="I93" s="55" t="s">
        <v>1490</v>
      </c>
      <c r="J93" s="55" t="s">
        <v>2800</v>
      </c>
      <c r="K93" s="55" t="s">
        <v>2800</v>
      </c>
      <c r="L93" s="55" t="s">
        <v>2800</v>
      </c>
      <c r="M93" s="85"/>
      <c r="N93" s="155"/>
      <c r="O93" s="163"/>
      <c r="P93" s="163" t="s">
        <v>3640</v>
      </c>
      <c r="Q93" s="18" t="s">
        <v>3934</v>
      </c>
      <c r="R93" s="49"/>
      <c r="S93" s="49"/>
      <c r="T93" s="49"/>
      <c r="U93" s="49"/>
      <c r="V93" s="49"/>
    </row>
    <row r="94" spans="1:22">
      <c r="A94" s="49" t="str">
        <f t="shared" si="31"/>
        <v>|G13|BG|荒廃後家蜘蛛|3G|4|MBS|C|蜘蛛|||2/4||</v>
      </c>
      <c r="B94" s="49" t="s">
        <v>1744</v>
      </c>
      <c r="C94" s="56" t="s">
        <v>2043</v>
      </c>
      <c r="D94" s="55" t="s">
        <v>35</v>
      </c>
      <c r="E94" s="55" t="s">
        <v>1365</v>
      </c>
      <c r="F94" s="55" t="s">
        <v>1027</v>
      </c>
      <c r="G94" s="55">
        <v>4</v>
      </c>
      <c r="H94" s="55" t="s">
        <v>365</v>
      </c>
      <c r="I94" s="55" t="s">
        <v>923</v>
      </c>
      <c r="J94" s="55" t="s">
        <v>2226</v>
      </c>
      <c r="K94" s="55" t="s">
        <v>2800</v>
      </c>
      <c r="L94" s="55" t="s">
        <v>2800</v>
      </c>
      <c r="M94" s="85" t="s">
        <v>1539</v>
      </c>
      <c r="N94" s="155"/>
      <c r="O94" s="163" t="s">
        <v>3641</v>
      </c>
      <c r="P94" s="82"/>
      <c r="Q94" s="18" t="s">
        <v>3934</v>
      </c>
      <c r="R94" s="49"/>
      <c r="S94" s="49"/>
      <c r="T94" s="49"/>
      <c r="U94" s="49"/>
      <c r="V94" s="49"/>
    </row>
    <row r="95" spans="1:22">
      <c r="A95" s="49" t="str">
        <f t="shared" si="31"/>
        <v>|G14|WB|刻みを継ぐもの|3G|4|CHK|C|ｽﾋﾟﾘｯﾄ|||2/2|S:生物1+2/+2 |</v>
      </c>
      <c r="B95" s="49" t="s">
        <v>1744</v>
      </c>
      <c r="C95" s="56" t="s">
        <v>2044</v>
      </c>
      <c r="D95" s="55" t="s">
        <v>33</v>
      </c>
      <c r="E95" s="55" t="s">
        <v>1427</v>
      </c>
      <c r="F95" s="55" t="s">
        <v>1027</v>
      </c>
      <c r="G95" s="55">
        <v>4</v>
      </c>
      <c r="H95" s="55" t="s">
        <v>347</v>
      </c>
      <c r="I95" s="55" t="s">
        <v>923</v>
      </c>
      <c r="J95" s="55" t="s">
        <v>3305</v>
      </c>
      <c r="K95" s="55" t="s">
        <v>2800</v>
      </c>
      <c r="L95" s="55" t="s">
        <v>2800</v>
      </c>
      <c r="M95" s="85" t="s">
        <v>1475</v>
      </c>
      <c r="N95" s="155"/>
      <c r="O95" s="163" t="s">
        <v>1422</v>
      </c>
      <c r="P95" s="82" t="s">
        <v>3729</v>
      </c>
      <c r="Q95" s="18" t="s">
        <v>3934</v>
      </c>
      <c r="R95" s="49"/>
      <c r="S95" s="49"/>
      <c r="T95" s="49"/>
      <c r="U95" s="49"/>
      <c r="V95" s="49"/>
    </row>
    <row r="96" spans="1:22">
      <c r="A96" s="49" t="str">
        <f t="shared" si="31"/>
        <v>|G15|slv|反射Slv|3G|4|PLC|C|ｽﾘヴｧｰ|||2/2||</v>
      </c>
      <c r="B96" s="49" t="s">
        <v>1744</v>
      </c>
      <c r="C96" s="56" t="s">
        <v>2045</v>
      </c>
      <c r="D96" s="55" t="s">
        <v>2103</v>
      </c>
      <c r="E96" s="55" t="s">
        <v>1112</v>
      </c>
      <c r="F96" s="55" t="s">
        <v>1027</v>
      </c>
      <c r="G96" s="55">
        <v>4</v>
      </c>
      <c r="H96" s="55" t="s">
        <v>353</v>
      </c>
      <c r="I96" s="55" t="s">
        <v>923</v>
      </c>
      <c r="J96" s="55" t="s">
        <v>3304</v>
      </c>
      <c r="K96" s="55" t="s">
        <v>2800</v>
      </c>
      <c r="L96" s="55" t="s">
        <v>2800</v>
      </c>
      <c r="M96" s="85" t="s">
        <v>1475</v>
      </c>
      <c r="N96" s="155"/>
      <c r="O96" s="163" t="s">
        <v>2197</v>
      </c>
      <c r="P96" s="82"/>
      <c r="Q96" s="18" t="s">
        <v>3934</v>
      </c>
      <c r="R96" s="49"/>
      <c r="S96" s="49"/>
      <c r="T96" s="49"/>
      <c r="U96" s="49"/>
      <c r="V96" s="49"/>
    </row>
    <row r="97" spans="1:35">
      <c r="A97" s="49" t="str">
        <f t="shared" ref="A97:A128" si="32">B97&amp;C97&amp;B97&amp;D97&amp;B97&amp;E97&amp;B97&amp;F97&amp;B97&amp;G97&amp;B97&amp;H97&amp;B97&amp;I97&amp;B97&amp;J97&amp;B97&amp;K97&amp;B97&amp;L97&amp;B97&amp;M97&amp;B97&amp;P97&amp;B97</f>
        <v>|G16|除去|弱者狩り|3G|4|M14|S|||||自生物+1C|</v>
      </c>
      <c r="B97" s="49" t="s">
        <v>1744</v>
      </c>
      <c r="C97" s="56" t="s">
        <v>2046</v>
      </c>
      <c r="D97" s="55" t="s">
        <v>2135</v>
      </c>
      <c r="E97" s="55" t="s">
        <v>2953</v>
      </c>
      <c r="F97" s="55" t="s">
        <v>2869</v>
      </c>
      <c r="G97" s="55">
        <v>4</v>
      </c>
      <c r="H97" s="55" t="s">
        <v>2871</v>
      </c>
      <c r="I97" s="55" t="s">
        <v>1501</v>
      </c>
      <c r="J97" s="55" t="s">
        <v>2800</v>
      </c>
      <c r="K97" s="55" t="s">
        <v>2800</v>
      </c>
      <c r="L97" s="55" t="s">
        <v>2800</v>
      </c>
      <c r="M97" s="85"/>
      <c r="N97" s="155"/>
      <c r="O97" s="163" t="s">
        <v>3730</v>
      </c>
      <c r="P97" s="82" t="s">
        <v>3732</v>
      </c>
      <c r="Q97" s="18" t="s">
        <v>3934</v>
      </c>
      <c r="R97" s="49"/>
      <c r="S97" s="49"/>
      <c r="T97" s="49"/>
      <c r="U97" s="49"/>
      <c r="V97" s="49"/>
    </row>
    <row r="98" spans="1:35">
      <c r="A98" s="49" t="str">
        <f t="shared" si="32"/>
        <v>|G17|GU|順応する跳ね顎|4G|5|GTC|C|ﾄｶｹﾞ|ﾋﾞｰｽﾄ||6/2||</v>
      </c>
      <c r="B98" s="49" t="s">
        <v>1744</v>
      </c>
      <c r="C98" s="56" t="s">
        <v>2047</v>
      </c>
      <c r="D98" s="55" t="s">
        <v>37</v>
      </c>
      <c r="E98" s="55" t="s">
        <v>2228</v>
      </c>
      <c r="F98" s="55" t="s">
        <v>1028</v>
      </c>
      <c r="G98" s="55">
        <v>5</v>
      </c>
      <c r="H98" s="55" t="s">
        <v>371</v>
      </c>
      <c r="I98" s="55" t="s">
        <v>923</v>
      </c>
      <c r="J98" s="55" t="s">
        <v>3324</v>
      </c>
      <c r="K98" s="55" t="s">
        <v>3312</v>
      </c>
      <c r="L98" s="55" t="s">
        <v>2800</v>
      </c>
      <c r="M98" s="85" t="s">
        <v>2247</v>
      </c>
      <c r="N98" s="155"/>
      <c r="O98" s="163" t="s">
        <v>2229</v>
      </c>
      <c r="P98" s="82"/>
      <c r="Q98" s="18" t="s">
        <v>3934</v>
      </c>
      <c r="R98" s="49"/>
      <c r="S98" s="49"/>
      <c r="T98" s="49"/>
      <c r="U98" s="49"/>
      <c r="V98" s="49"/>
    </row>
    <row r="99" spans="1:35">
      <c r="A99" s="49" t="str">
        <f t="shared" si="32"/>
        <v>|G18|GU|黄金の木立ちの蛇|4G|5|BNG|C|蛇|||4/4||</v>
      </c>
      <c r="B99" s="49" t="s">
        <v>1744</v>
      </c>
      <c r="C99" s="56" t="s">
        <v>2048</v>
      </c>
      <c r="D99" s="55" t="s">
        <v>37</v>
      </c>
      <c r="E99" s="55" t="s">
        <v>3204</v>
      </c>
      <c r="F99" s="55" t="s">
        <v>3205</v>
      </c>
      <c r="G99" s="55">
        <v>5</v>
      </c>
      <c r="H99" s="55" t="s">
        <v>3206</v>
      </c>
      <c r="I99" s="55" t="s">
        <v>923</v>
      </c>
      <c r="J99" s="55" t="s">
        <v>1706</v>
      </c>
      <c r="K99" s="55" t="s">
        <v>2800</v>
      </c>
      <c r="L99" s="55" t="s">
        <v>2800</v>
      </c>
      <c r="M99" s="85" t="s">
        <v>3207</v>
      </c>
      <c r="N99" s="155" t="s">
        <v>3735</v>
      </c>
      <c r="O99" s="163" t="s">
        <v>3731</v>
      </c>
      <c r="P99" s="82"/>
      <c r="Q99" s="18" t="s">
        <v>3934</v>
      </c>
      <c r="R99" s="49"/>
      <c r="S99" s="49"/>
      <c r="T99" s="49"/>
      <c r="U99" s="49"/>
      <c r="V99" s="49"/>
    </row>
    <row r="100" spans="1:35">
      <c r="A100" s="49" t="str">
        <f t="shared" si="32"/>
        <v>|G19|他|道壊しﾜｰﾑ|4GG|6|AVR|C|ﾜｰﾑ|||6/4|結魂時貫通|</v>
      </c>
      <c r="B100" s="49" t="s">
        <v>1744</v>
      </c>
      <c r="C100" s="56" t="s">
        <v>2049</v>
      </c>
      <c r="D100" s="55" t="s">
        <v>2143</v>
      </c>
      <c r="E100" s="55" t="s">
        <v>2987</v>
      </c>
      <c r="F100" s="55" t="s">
        <v>2864</v>
      </c>
      <c r="G100" s="55">
        <v>6</v>
      </c>
      <c r="H100" s="55" t="s">
        <v>2860</v>
      </c>
      <c r="I100" s="55" t="s">
        <v>2865</v>
      </c>
      <c r="J100" s="55" t="s">
        <v>3325</v>
      </c>
      <c r="K100" s="55" t="s">
        <v>2800</v>
      </c>
      <c r="L100" s="55" t="s">
        <v>2800</v>
      </c>
      <c r="M100" s="85" t="s">
        <v>2866</v>
      </c>
      <c r="N100" s="155" t="s">
        <v>3736</v>
      </c>
      <c r="O100" s="163" t="s">
        <v>3734</v>
      </c>
      <c r="P100" s="82" t="s">
        <v>3733</v>
      </c>
      <c r="Q100" s="18" t="s">
        <v>3934</v>
      </c>
      <c r="R100" s="49"/>
      <c r="S100" s="49"/>
      <c r="T100" s="49"/>
      <c r="U100" s="49"/>
      <c r="V100" s="49"/>
    </row>
    <row r="101" spans="1:35" ht="14.25" thickBot="1">
      <c r="A101" s="49" t="str">
        <f t="shared" si="32"/>
        <v>|G20|WB|甲鱗のﾜｰﾑ|7G|8|9ED|C|ﾜｰﾑ|||7/6||</v>
      </c>
      <c r="B101" s="49" t="s">
        <v>1744</v>
      </c>
      <c r="C101" s="53" t="s">
        <v>2050</v>
      </c>
      <c r="D101" s="54" t="s">
        <v>33</v>
      </c>
      <c r="E101" s="54" t="s">
        <v>2952</v>
      </c>
      <c r="F101" s="54" t="s">
        <v>2230</v>
      </c>
      <c r="G101" s="54">
        <v>8</v>
      </c>
      <c r="H101" s="54" t="s">
        <v>351</v>
      </c>
      <c r="I101" s="54" t="s">
        <v>923</v>
      </c>
      <c r="J101" s="54" t="s">
        <v>3325</v>
      </c>
      <c r="K101" s="54" t="s">
        <v>2800</v>
      </c>
      <c r="L101" s="54" t="s">
        <v>2800</v>
      </c>
      <c r="M101" s="93" t="s">
        <v>2248</v>
      </c>
      <c r="N101" s="164"/>
      <c r="O101" s="180"/>
      <c r="P101" s="83" t="s">
        <v>2800</v>
      </c>
      <c r="Q101" s="18" t="s">
        <v>3934</v>
      </c>
      <c r="R101" s="49"/>
      <c r="S101" s="49"/>
      <c r="T101" s="49"/>
      <c r="U101" s="49"/>
      <c r="V101" s="49"/>
    </row>
    <row r="102" spans="1:35">
      <c r="A102" s="49" t="str">
        <f t="shared" si="32"/>
        <v>|WB1||御身の刃|W/B|1|EVE|E|ｵｰﾗ||||白+1/+2 黒+2/+1|</v>
      </c>
      <c r="B102" s="49" t="s">
        <v>1744</v>
      </c>
      <c r="C102" s="67" t="s">
        <v>2231</v>
      </c>
      <c r="D102" s="68"/>
      <c r="E102" s="51" t="s">
        <v>1492</v>
      </c>
      <c r="F102" s="51" t="s">
        <v>1489</v>
      </c>
      <c r="G102" s="51">
        <v>1</v>
      </c>
      <c r="H102" s="51" t="s">
        <v>358</v>
      </c>
      <c r="I102" s="51" t="s">
        <v>1493</v>
      </c>
      <c r="J102" s="51" t="s">
        <v>3307</v>
      </c>
      <c r="K102" s="51" t="s">
        <v>2800</v>
      </c>
      <c r="L102" s="51" t="s">
        <v>2800</v>
      </c>
      <c r="M102" s="92"/>
      <c r="N102" s="159"/>
      <c r="O102" s="171"/>
      <c r="P102" s="171" t="s">
        <v>3642</v>
      </c>
      <c r="Q102" s="18" t="s">
        <v>3934</v>
      </c>
      <c r="R102" s="49"/>
      <c r="S102" s="49"/>
      <c r="T102" s="49"/>
      <c r="U102" s="49"/>
      <c r="V102" s="49"/>
    </row>
    <row r="103" spans="1:35">
      <c r="A103" s="49" t="str">
        <f t="shared" si="32"/>
        <v>|WB2||亡霊招き|W/B|1|GTC|I|||||墓地1追放 飛行1/1ｽﾋﾟﾘｯﾄ|</v>
      </c>
      <c r="B103" s="49" t="s">
        <v>1744</v>
      </c>
      <c r="C103" s="70" t="s">
        <v>2051</v>
      </c>
      <c r="D103" s="34"/>
      <c r="E103" s="55" t="s">
        <v>1488</v>
      </c>
      <c r="F103" s="55" t="s">
        <v>1489</v>
      </c>
      <c r="G103" s="55">
        <v>1</v>
      </c>
      <c r="H103" s="55" t="s">
        <v>371</v>
      </c>
      <c r="I103" s="55" t="s">
        <v>1490</v>
      </c>
      <c r="J103" s="55" t="s">
        <v>2800</v>
      </c>
      <c r="K103" s="55" t="s">
        <v>2800</v>
      </c>
      <c r="L103" s="55" t="s">
        <v>2800</v>
      </c>
      <c r="M103" s="85"/>
      <c r="N103" s="155"/>
      <c r="O103" s="163"/>
      <c r="P103" s="163" t="s">
        <v>3643</v>
      </c>
      <c r="Q103" s="18" t="s">
        <v>3934</v>
      </c>
      <c r="R103" s="49"/>
      <c r="S103" s="49"/>
      <c r="T103" s="49"/>
      <c r="U103" s="49"/>
      <c r="V103" s="49"/>
    </row>
    <row r="104" spans="1:35" s="49" customFormat="1">
      <c r="A104" s="49" t="str">
        <f t="shared" si="32"/>
        <v>|WB3||哀悼のｽﾗﾙ|1W/B|2|GPT|C|ｽﾗﾙ|||1/1||</v>
      </c>
      <c r="B104" s="49" t="s">
        <v>1744</v>
      </c>
      <c r="C104" s="70" t="s">
        <v>2052</v>
      </c>
      <c r="D104" s="34"/>
      <c r="E104" s="55" t="s">
        <v>3303</v>
      </c>
      <c r="F104" s="55" t="s">
        <v>1508</v>
      </c>
      <c r="G104" s="55">
        <v>2</v>
      </c>
      <c r="H104" s="55" t="s">
        <v>349</v>
      </c>
      <c r="I104" s="55" t="s">
        <v>923</v>
      </c>
      <c r="J104" s="55" t="s">
        <v>3326</v>
      </c>
      <c r="K104" s="55" t="s">
        <v>2800</v>
      </c>
      <c r="L104" s="55" t="s">
        <v>2800</v>
      </c>
      <c r="M104" s="85" t="s">
        <v>1473</v>
      </c>
      <c r="N104" s="157"/>
      <c r="O104" s="166" t="s">
        <v>3644</v>
      </c>
      <c r="P104" s="166"/>
      <c r="Q104" s="18" t="s">
        <v>3934</v>
      </c>
      <c r="W104"/>
      <c r="X104"/>
      <c r="Y104"/>
      <c r="Z104"/>
      <c r="AA104"/>
      <c r="AB104"/>
      <c r="AC104"/>
      <c r="AD104"/>
      <c r="AE104"/>
      <c r="AF104"/>
      <c r="AG104"/>
      <c r="AH104"/>
      <c r="AI104"/>
    </row>
    <row r="105" spans="1:35" s="49" customFormat="1">
      <c r="A105" s="49" t="str">
        <f t="shared" si="32"/>
        <v>|WB4||酷評|WB|2|GPT|S|||||土地でないｶｰﾄﾞ追放ﾊﾝﾃﾞｽ|</v>
      </c>
      <c r="B105" s="49" t="s">
        <v>1744</v>
      </c>
      <c r="C105" s="70" t="s">
        <v>2053</v>
      </c>
      <c r="D105" s="34"/>
      <c r="E105" s="55" t="s">
        <v>1500</v>
      </c>
      <c r="F105" s="55" t="s">
        <v>33</v>
      </c>
      <c r="G105" s="55">
        <v>2</v>
      </c>
      <c r="H105" s="55" t="s">
        <v>349</v>
      </c>
      <c r="I105" s="55" t="s">
        <v>1501</v>
      </c>
      <c r="J105" s="55" t="s">
        <v>2800</v>
      </c>
      <c r="K105" s="55" t="s">
        <v>2800</v>
      </c>
      <c r="L105" s="55" t="s">
        <v>2800</v>
      </c>
      <c r="M105" s="85"/>
      <c r="N105" s="157"/>
      <c r="O105" s="166"/>
      <c r="P105" s="166" t="s">
        <v>3645</v>
      </c>
      <c r="Q105" s="18" t="s">
        <v>3934</v>
      </c>
      <c r="W105"/>
      <c r="X105"/>
      <c r="Y105"/>
      <c r="Z105"/>
      <c r="AA105"/>
      <c r="AB105"/>
      <c r="AC105"/>
      <c r="AD105"/>
      <c r="AE105"/>
      <c r="AF105"/>
      <c r="AG105"/>
      <c r="AH105"/>
      <c r="AI105"/>
    </row>
    <row r="106" spans="1:35">
      <c r="A106" s="49" t="str">
        <f t="shared" si="32"/>
        <v>|WB5||重要人物のﾍﾟｯﾄ|1WB|3|GTC|C|ｽﾗﾙ|||2/2||</v>
      </c>
      <c r="B106" s="49" t="s">
        <v>1744</v>
      </c>
      <c r="C106" s="70" t="s">
        <v>2847</v>
      </c>
      <c r="D106" s="34"/>
      <c r="E106" s="55" t="s">
        <v>2993</v>
      </c>
      <c r="F106" s="55" t="s">
        <v>2857</v>
      </c>
      <c r="G106" s="55">
        <v>3</v>
      </c>
      <c r="H106" s="55" t="s">
        <v>371</v>
      </c>
      <c r="I106" s="55" t="s">
        <v>923</v>
      </c>
      <c r="J106" s="55" t="s">
        <v>3326</v>
      </c>
      <c r="K106" s="55" t="s">
        <v>2800</v>
      </c>
      <c r="L106" s="55" t="s">
        <v>2800</v>
      </c>
      <c r="M106" s="85" t="s">
        <v>1475</v>
      </c>
      <c r="N106" s="157"/>
      <c r="O106" s="166" t="s">
        <v>3646</v>
      </c>
      <c r="P106" s="166"/>
      <c r="Q106" s="18" t="s">
        <v>3934</v>
      </c>
      <c r="R106" s="49"/>
      <c r="S106" s="49"/>
      <c r="T106" s="49"/>
      <c r="U106" s="49"/>
      <c r="V106" s="49"/>
      <c r="AC106" s="49"/>
      <c r="AD106" s="49"/>
      <c r="AE106" s="49"/>
      <c r="AF106" s="49"/>
      <c r="AG106" s="49"/>
      <c r="AH106" s="49"/>
      <c r="AI106" s="49"/>
    </row>
    <row r="107" spans="1:35" ht="14.25" thickBot="1">
      <c r="A107" s="49" t="str">
        <f t="shared" si="32"/>
        <v>|WB6||盲目の狩人|2WB|4|GPT|C|ｺｳﾓﾘ|||2/2||</v>
      </c>
      <c r="B107" s="49" t="s">
        <v>1744</v>
      </c>
      <c r="C107" s="70" t="s">
        <v>2848</v>
      </c>
      <c r="D107" s="73"/>
      <c r="E107" s="54" t="s">
        <v>1533</v>
      </c>
      <c r="F107" s="54" t="s">
        <v>1534</v>
      </c>
      <c r="G107" s="54">
        <v>4</v>
      </c>
      <c r="H107" s="54" t="s">
        <v>349</v>
      </c>
      <c r="I107" s="54" t="s">
        <v>923</v>
      </c>
      <c r="J107" s="54" t="s">
        <v>3327</v>
      </c>
      <c r="K107" s="54" t="s">
        <v>2800</v>
      </c>
      <c r="L107" s="54" t="s">
        <v>2800</v>
      </c>
      <c r="M107" s="93" t="s">
        <v>1475</v>
      </c>
      <c r="N107" s="160" t="s">
        <v>3741</v>
      </c>
      <c r="O107" s="172" t="s">
        <v>3743</v>
      </c>
      <c r="P107" s="172"/>
      <c r="Q107" s="18" t="s">
        <v>3934</v>
      </c>
      <c r="R107" s="49"/>
      <c r="S107" s="49"/>
      <c r="T107" s="49"/>
      <c r="U107" s="49"/>
      <c r="V107" s="49"/>
      <c r="AA107" s="49"/>
      <c r="AB107" s="49"/>
      <c r="AC107" s="49"/>
      <c r="AD107" s="49"/>
      <c r="AE107" s="49"/>
      <c r="AF107" s="49"/>
      <c r="AG107" s="49"/>
      <c r="AH107" s="49"/>
      <c r="AI107" s="49"/>
    </row>
    <row r="108" spans="1:35">
      <c r="A108" s="49" t="str">
        <f t="shared" si="32"/>
        <v>|UR1||天主の勢力|U/R|1|EVE|E|ｵｰﾗ||||青+1/+1被覆 赤+1/+1速攻|</v>
      </c>
      <c r="B108" s="49" t="s">
        <v>1744</v>
      </c>
      <c r="C108" s="67" t="s">
        <v>2232</v>
      </c>
      <c r="D108" s="68"/>
      <c r="E108" s="51" t="s">
        <v>1541</v>
      </c>
      <c r="F108" s="51" t="s">
        <v>1542</v>
      </c>
      <c r="G108" s="51">
        <v>1</v>
      </c>
      <c r="H108" s="51" t="s">
        <v>358</v>
      </c>
      <c r="I108" s="51" t="s">
        <v>1493</v>
      </c>
      <c r="J108" s="51" t="s">
        <v>3307</v>
      </c>
      <c r="K108" s="51" t="s">
        <v>2800</v>
      </c>
      <c r="L108" s="51" t="s">
        <v>2800</v>
      </c>
      <c r="M108" s="92"/>
      <c r="N108" s="159"/>
      <c r="O108" s="171" t="s">
        <v>3754</v>
      </c>
      <c r="P108" s="171" t="s">
        <v>3753</v>
      </c>
      <c r="Q108" s="18" t="s">
        <v>3934</v>
      </c>
      <c r="R108" s="49"/>
      <c r="S108" s="49"/>
      <c r="T108" s="49"/>
      <c r="U108" s="49"/>
      <c r="V108" s="49"/>
      <c r="W108" s="49"/>
      <c r="X108" s="49"/>
      <c r="Y108" s="49"/>
      <c r="Z108" s="49"/>
      <c r="AA108" s="49"/>
      <c r="AB108" s="49"/>
    </row>
    <row r="109" spans="1:35" s="49" customFormat="1">
      <c r="A109" s="49" t="str">
        <f t="shared" si="32"/>
        <v>|UR2||凍結燃焼の奇魔|U/RU/R|2|RTR|C|奇魔|||1/4|U/R:流動石|</v>
      </c>
      <c r="B109" s="49" t="s">
        <v>1744</v>
      </c>
      <c r="C109" s="70" t="s">
        <v>2054</v>
      </c>
      <c r="D109" s="34"/>
      <c r="E109" s="55" t="s">
        <v>1560</v>
      </c>
      <c r="F109" s="55" t="s">
        <v>1561</v>
      </c>
      <c r="G109" s="55">
        <v>2</v>
      </c>
      <c r="H109" s="55" t="s">
        <v>370</v>
      </c>
      <c r="I109" s="55" t="s">
        <v>923</v>
      </c>
      <c r="J109" s="55" t="s">
        <v>1562</v>
      </c>
      <c r="K109" s="55" t="s">
        <v>2800</v>
      </c>
      <c r="L109" s="55" t="s">
        <v>2800</v>
      </c>
      <c r="M109" s="85" t="s">
        <v>1477</v>
      </c>
      <c r="N109" s="157"/>
      <c r="O109" s="166"/>
      <c r="P109" s="166" t="s">
        <v>3647</v>
      </c>
      <c r="Q109" s="18" t="s">
        <v>3934</v>
      </c>
      <c r="AA109"/>
      <c r="AB109"/>
      <c r="AC109"/>
      <c r="AD109"/>
      <c r="AE109"/>
      <c r="AF109"/>
      <c r="AG109"/>
      <c r="AH109"/>
      <c r="AI109"/>
    </row>
    <row r="110" spans="1:35" s="49" customFormat="1">
      <c r="A110" s="49" t="str">
        <f t="shared" si="32"/>
        <v>|UR3||ｺﾞﾌﾞﾘﾝの電術師|UR|2|RTR|C|ｺﾞﾌﾞﾘﾝ|ｳｨｻﾞｰﾄﾞ||2/2|I/Sｺｽﾄ-1|</v>
      </c>
      <c r="B110" s="49" t="s">
        <v>1744</v>
      </c>
      <c r="C110" s="70" t="s">
        <v>2055</v>
      </c>
      <c r="D110" s="34"/>
      <c r="E110" s="55" t="s">
        <v>2990</v>
      </c>
      <c r="F110" s="55" t="s">
        <v>34</v>
      </c>
      <c r="G110" s="55">
        <v>2</v>
      </c>
      <c r="H110" s="55" t="s">
        <v>370</v>
      </c>
      <c r="I110" s="55" t="s">
        <v>923</v>
      </c>
      <c r="J110" s="55" t="s">
        <v>3316</v>
      </c>
      <c r="K110" s="55" t="s">
        <v>3311</v>
      </c>
      <c r="L110" s="55" t="s">
        <v>2800</v>
      </c>
      <c r="M110" s="85" t="s">
        <v>1475</v>
      </c>
      <c r="N110" s="157"/>
      <c r="O110" s="166"/>
      <c r="P110" s="170" t="s">
        <v>3648</v>
      </c>
      <c r="Q110" s="18" t="s">
        <v>3934</v>
      </c>
      <c r="W110"/>
      <c r="X110"/>
      <c r="Y110"/>
      <c r="Z110"/>
      <c r="AA110"/>
      <c r="AB110"/>
      <c r="AC110"/>
      <c r="AD110"/>
      <c r="AE110"/>
      <c r="AF110"/>
      <c r="AG110"/>
      <c r="AH110"/>
      <c r="AI110"/>
    </row>
    <row r="111" spans="1:35" s="49" customFormat="1">
      <c r="A111" s="49" t="str">
        <f t="shared" si="32"/>
        <v>|UR4||裏返し|1U/R|2|EVE|I|||||生物1PT入替 1泥|</v>
      </c>
      <c r="B111" s="49" t="s">
        <v>1744</v>
      </c>
      <c r="C111" s="70" t="s">
        <v>2056</v>
      </c>
      <c r="D111" s="34"/>
      <c r="E111" s="55" t="s">
        <v>1551</v>
      </c>
      <c r="F111" s="55" t="s">
        <v>1552</v>
      </c>
      <c r="G111" s="55">
        <v>2</v>
      </c>
      <c r="H111" s="55" t="s">
        <v>358</v>
      </c>
      <c r="I111" s="55" t="s">
        <v>1490</v>
      </c>
      <c r="J111" s="55" t="s">
        <v>2800</v>
      </c>
      <c r="K111" s="55" t="s">
        <v>2800</v>
      </c>
      <c r="L111" s="55" t="s">
        <v>2800</v>
      </c>
      <c r="M111" s="85"/>
      <c r="N111" s="157"/>
      <c r="O111" s="166"/>
      <c r="P111" s="170" t="s">
        <v>3649</v>
      </c>
      <c r="Q111" s="18" t="s">
        <v>3934</v>
      </c>
      <c r="W111"/>
      <c r="X111"/>
      <c r="Y111"/>
      <c r="Z111"/>
      <c r="AA111"/>
      <c r="AB111"/>
    </row>
    <row r="112" spans="1:35" s="49" customFormat="1">
      <c r="A112" s="49" t="str">
        <f t="shared" si="32"/>
        <v>|UR5||本質の反発|2UR|4|RTR|I|||||生物呪文打消 P分打点|</v>
      </c>
      <c r="B112" s="49" t="s">
        <v>1744</v>
      </c>
      <c r="C112" s="70" t="s">
        <v>2849</v>
      </c>
      <c r="D112" s="66"/>
      <c r="E112" s="60" t="s">
        <v>1575</v>
      </c>
      <c r="F112" s="60" t="s">
        <v>1576</v>
      </c>
      <c r="G112" s="60">
        <v>4</v>
      </c>
      <c r="H112" s="60" t="s">
        <v>370</v>
      </c>
      <c r="I112" s="60" t="s">
        <v>1490</v>
      </c>
      <c r="J112" s="60" t="s">
        <v>2800</v>
      </c>
      <c r="K112" s="60" t="s">
        <v>2800</v>
      </c>
      <c r="L112" s="60" t="s">
        <v>2800</v>
      </c>
      <c r="M112" s="87"/>
      <c r="N112" s="173"/>
      <c r="O112" s="182"/>
      <c r="P112" s="174" t="s">
        <v>3650</v>
      </c>
      <c r="Q112" s="18" t="s">
        <v>3934</v>
      </c>
      <c r="W112"/>
      <c r="X112"/>
      <c r="Y112"/>
      <c r="Z112"/>
    </row>
    <row r="113" spans="1:35" s="49" customFormat="1" ht="14.25" thickBot="1">
      <c r="A113" s="49" t="str">
        <f t="shared" si="32"/>
        <v>|UR6||ｲｾﾞｯﾄの時術師|3UR|5|GPT|C|人間|ｳｨｻﾞｰﾄﾞ||2/2||</v>
      </c>
      <c r="B113" s="49" t="s">
        <v>1744</v>
      </c>
      <c r="C113" s="70" t="s">
        <v>2850</v>
      </c>
      <c r="D113" s="34"/>
      <c r="E113" s="55" t="s">
        <v>2963</v>
      </c>
      <c r="F113" s="55" t="s">
        <v>1586</v>
      </c>
      <c r="G113" s="55">
        <v>5</v>
      </c>
      <c r="H113" s="55" t="s">
        <v>349</v>
      </c>
      <c r="I113" s="55" t="s">
        <v>923</v>
      </c>
      <c r="J113" s="55" t="s">
        <v>1410</v>
      </c>
      <c r="K113" s="55" t="s">
        <v>3311</v>
      </c>
      <c r="L113" s="55" t="s">
        <v>2800</v>
      </c>
      <c r="M113" s="85" t="s">
        <v>1475</v>
      </c>
      <c r="N113" s="157" t="s">
        <v>3744</v>
      </c>
      <c r="O113" s="166"/>
      <c r="P113" s="170"/>
      <c r="Q113" s="18" t="s">
        <v>3934</v>
      </c>
    </row>
    <row r="114" spans="1:35">
      <c r="A114" s="49" t="str">
        <f t="shared" si="32"/>
        <v>|BG1||忌まわしい回収|BG|2|RTR|I|||||DT5からCorL回収残墓地|</v>
      </c>
      <c r="B114" s="49" t="s">
        <v>1744</v>
      </c>
      <c r="C114" s="67" t="s">
        <v>2233</v>
      </c>
      <c r="D114" s="68"/>
      <c r="E114" s="51" t="s">
        <v>1604</v>
      </c>
      <c r="F114" s="51" t="s">
        <v>35</v>
      </c>
      <c r="G114" s="51">
        <v>2</v>
      </c>
      <c r="H114" s="51" t="s">
        <v>370</v>
      </c>
      <c r="I114" s="51" t="s">
        <v>1490</v>
      </c>
      <c r="J114" s="51" t="s">
        <v>2800</v>
      </c>
      <c r="K114" s="51" t="s">
        <v>2800</v>
      </c>
      <c r="L114" s="51" t="s">
        <v>2800</v>
      </c>
      <c r="M114" s="92"/>
      <c r="N114" s="156"/>
      <c r="O114" s="165"/>
      <c r="P114" s="81" t="s">
        <v>1605</v>
      </c>
      <c r="Q114" s="18" t="s">
        <v>3934</v>
      </c>
      <c r="R114" s="49"/>
      <c r="S114" s="49"/>
      <c r="T114" s="49"/>
      <c r="U114" s="49"/>
      <c r="V114" s="49"/>
      <c r="W114" s="49"/>
      <c r="X114" s="49"/>
      <c r="Y114" s="49"/>
      <c r="Z114" s="49"/>
      <c r="AA114" s="49"/>
      <c r="AB114" s="49"/>
      <c r="AC114" s="49"/>
      <c r="AD114" s="49"/>
      <c r="AE114" s="49"/>
      <c r="AF114" s="49"/>
      <c r="AG114" s="49"/>
      <c r="AH114" s="49"/>
      <c r="AI114" s="49"/>
    </row>
    <row r="115" spans="1:35" s="49" customFormat="1">
      <c r="A115" s="49" t="str">
        <f t="shared" si="32"/>
        <v>|BG2||よろめく殻|1BG|3|RAV|C|植物|ｿﾞﾝﾋﾞ||3/1|S:+1/+1C |</v>
      </c>
      <c r="B115" s="49" t="s">
        <v>1744</v>
      </c>
      <c r="C115" s="70" t="s">
        <v>2057</v>
      </c>
      <c r="D115" s="34"/>
      <c r="E115" s="55" t="s">
        <v>1606</v>
      </c>
      <c r="F115" s="55" t="s">
        <v>1607</v>
      </c>
      <c r="G115" s="55">
        <v>3</v>
      </c>
      <c r="H115" s="55" t="s">
        <v>279</v>
      </c>
      <c r="I115" s="55" t="s">
        <v>923</v>
      </c>
      <c r="J115" s="55" t="s">
        <v>1608</v>
      </c>
      <c r="K115" s="55" t="s">
        <v>3317</v>
      </c>
      <c r="L115" s="55" t="s">
        <v>2800</v>
      </c>
      <c r="M115" s="85" t="s">
        <v>1609</v>
      </c>
      <c r="N115" s="157"/>
      <c r="O115" s="166" t="s">
        <v>3746</v>
      </c>
      <c r="P115" s="170" t="s">
        <v>3745</v>
      </c>
      <c r="Q115" s="18" t="s">
        <v>3934</v>
      </c>
    </row>
    <row r="116" spans="1:35" s="49" customFormat="1">
      <c r="A116" s="49" t="str">
        <f t="shared" si="32"/>
        <v>|BG3||水路の蠍|2BG|4|RTR|C|蠍|||2/2||</v>
      </c>
      <c r="B116" s="49" t="s">
        <v>1744</v>
      </c>
      <c r="C116" s="70" t="s">
        <v>2058</v>
      </c>
      <c r="D116" s="34"/>
      <c r="E116" s="55" t="s">
        <v>1625</v>
      </c>
      <c r="F116" s="55" t="s">
        <v>1626</v>
      </c>
      <c r="G116" s="55">
        <v>4</v>
      </c>
      <c r="H116" s="55" t="s">
        <v>370</v>
      </c>
      <c r="I116" s="55" t="s">
        <v>923</v>
      </c>
      <c r="J116" s="55" t="s">
        <v>1627</v>
      </c>
      <c r="K116" s="55" t="s">
        <v>2800</v>
      </c>
      <c r="L116" s="55" t="s">
        <v>2800</v>
      </c>
      <c r="M116" s="85" t="s">
        <v>1475</v>
      </c>
      <c r="N116" s="157"/>
      <c r="O116" s="166" t="s">
        <v>3747</v>
      </c>
      <c r="P116" s="170"/>
      <c r="Q116" s="18" t="s">
        <v>3934</v>
      </c>
      <c r="AC116"/>
      <c r="AD116"/>
      <c r="AE116"/>
      <c r="AF116"/>
      <c r="AG116"/>
      <c r="AH116"/>
      <c r="AI116"/>
    </row>
    <row r="117" spans="1:35" s="49" customFormat="1">
      <c r="A117" s="49" t="str">
        <f t="shared" si="32"/>
        <v>|BG4||冒涜するﾊｯｸﾞ|2B/GB/G|4|EVE|C|ﾊｯｸﾞ|||2/2||</v>
      </c>
      <c r="B117" s="49" t="s">
        <v>1744</v>
      </c>
      <c r="C117" s="70" t="s">
        <v>2059</v>
      </c>
      <c r="D117" s="34"/>
      <c r="E117" s="55" t="s">
        <v>2978</v>
      </c>
      <c r="F117" s="55" t="s">
        <v>1621</v>
      </c>
      <c r="G117" s="55">
        <v>4</v>
      </c>
      <c r="H117" s="55" t="s">
        <v>358</v>
      </c>
      <c r="I117" s="55" t="s">
        <v>923</v>
      </c>
      <c r="J117" s="55" t="s">
        <v>3328</v>
      </c>
      <c r="K117" s="55" t="s">
        <v>2800</v>
      </c>
      <c r="L117" s="55" t="s">
        <v>2800</v>
      </c>
      <c r="M117" s="85" t="s">
        <v>1475</v>
      </c>
      <c r="N117" s="157" t="s">
        <v>3748</v>
      </c>
      <c r="O117" s="166"/>
      <c r="P117" s="170"/>
      <c r="Q117" s="18" t="s">
        <v>3934</v>
      </c>
      <c r="AA117"/>
      <c r="AB117"/>
    </row>
    <row r="118" spans="1:35" s="49" customFormat="1">
      <c r="A118" s="49" t="str">
        <f t="shared" si="32"/>
        <v>|BG5||ｺﾞﾙｺﾞﾝの凝視|3B/G|4|RAV|I|||||生物1再生 接触生物破壊|</v>
      </c>
      <c r="B118" s="49" t="s">
        <v>1744</v>
      </c>
      <c r="C118" s="70" t="s">
        <v>2851</v>
      </c>
      <c r="D118" s="34"/>
      <c r="E118" s="55" t="s">
        <v>2960</v>
      </c>
      <c r="F118" s="55" t="s">
        <v>1630</v>
      </c>
      <c r="G118" s="55">
        <v>4</v>
      </c>
      <c r="H118" s="55" t="s">
        <v>279</v>
      </c>
      <c r="I118" s="55" t="s">
        <v>1490</v>
      </c>
      <c r="J118" s="55" t="s">
        <v>2800</v>
      </c>
      <c r="K118" s="55" t="s">
        <v>2800</v>
      </c>
      <c r="L118" s="55" t="s">
        <v>2800</v>
      </c>
      <c r="M118" s="85"/>
      <c r="N118" s="157"/>
      <c r="O118" s="166" t="s">
        <v>3750</v>
      </c>
      <c r="P118" s="170" t="s">
        <v>3749</v>
      </c>
      <c r="Q118" s="18" t="s">
        <v>3934</v>
      </c>
      <c r="W118"/>
      <c r="X118"/>
      <c r="Y118"/>
      <c r="Z118"/>
    </row>
    <row r="119" spans="1:35" s="49" customFormat="1" ht="14.25" thickBot="1">
      <c r="A119" s="49" t="str">
        <f t="shared" si="32"/>
        <v>|BG6||神性の贈り物|4B/G|5|EVE|E|ｵｰﾗ||||黒+1/+1接死 緑+1/+1ﾙｱｰ|</v>
      </c>
      <c r="B119" s="49" t="s">
        <v>1744</v>
      </c>
      <c r="C119" s="70" t="s">
        <v>2852</v>
      </c>
      <c r="D119" s="73"/>
      <c r="E119" s="54" t="s">
        <v>1632</v>
      </c>
      <c r="F119" s="54" t="s">
        <v>1633</v>
      </c>
      <c r="G119" s="54">
        <v>5</v>
      </c>
      <c r="H119" s="54" t="s">
        <v>358</v>
      </c>
      <c r="I119" s="54" t="s">
        <v>1493</v>
      </c>
      <c r="J119" s="54" t="s">
        <v>3307</v>
      </c>
      <c r="K119" s="54" t="s">
        <v>2800</v>
      </c>
      <c r="L119" s="54" t="s">
        <v>2800</v>
      </c>
      <c r="M119" s="93"/>
      <c r="N119" s="160"/>
      <c r="O119" s="172" t="s">
        <v>3752</v>
      </c>
      <c r="P119" s="175" t="s">
        <v>3751</v>
      </c>
      <c r="Q119" s="18" t="s">
        <v>3934</v>
      </c>
    </row>
    <row r="120" spans="1:35">
      <c r="A120" s="49" t="str">
        <f t="shared" si="32"/>
        <v>|RW1||ﾎﾞﾛｽの補充兵|R/W|1|RAV|C|ｺﾞﾌﾞﾘﾝ|兵士||1/1||</v>
      </c>
      <c r="B120" s="49" t="s">
        <v>1744</v>
      </c>
      <c r="C120" s="67" t="s">
        <v>2234</v>
      </c>
      <c r="D120" s="68"/>
      <c r="E120" s="51" t="s">
        <v>2961</v>
      </c>
      <c r="F120" s="51" t="s">
        <v>1645</v>
      </c>
      <c r="G120" s="51">
        <v>1</v>
      </c>
      <c r="H120" s="51" t="s">
        <v>279</v>
      </c>
      <c r="I120" s="51" t="s">
        <v>923</v>
      </c>
      <c r="J120" s="51" t="s">
        <v>3316</v>
      </c>
      <c r="K120" s="51" t="s">
        <v>1647</v>
      </c>
      <c r="L120" s="51" t="s">
        <v>2800</v>
      </c>
      <c r="M120" s="92" t="s">
        <v>1473</v>
      </c>
      <c r="N120" s="159"/>
      <c r="O120" s="171" t="s">
        <v>1650</v>
      </c>
      <c r="P120" s="176"/>
      <c r="Q120" s="18" t="s">
        <v>3934</v>
      </c>
      <c r="R120" s="49"/>
      <c r="S120" s="49"/>
      <c r="T120" s="49"/>
      <c r="U120" s="49"/>
      <c r="V120" s="49"/>
      <c r="W120" s="49"/>
      <c r="X120" s="49"/>
      <c r="Y120" s="49"/>
      <c r="Z120" s="49"/>
      <c r="AA120" s="49"/>
      <c r="AB120" s="49"/>
      <c r="AC120" s="49"/>
      <c r="AD120" s="49"/>
      <c r="AE120" s="49"/>
      <c r="AF120" s="49"/>
      <c r="AG120" s="49"/>
      <c r="AH120" s="49"/>
      <c r="AI120" s="49"/>
    </row>
    <row r="121" spans="1:35" s="49" customFormat="1">
      <c r="A121" s="49" t="str">
        <f t="shared" si="32"/>
        <v>|RW2||二度裂き|1R/W|2|EVE|I|||||生物1二段|</v>
      </c>
      <c r="B121" s="49" t="s">
        <v>1744</v>
      </c>
      <c r="C121" s="70" t="s">
        <v>2060</v>
      </c>
      <c r="D121" s="34"/>
      <c r="E121" s="55" t="s">
        <v>1655</v>
      </c>
      <c r="F121" s="55" t="s">
        <v>1656</v>
      </c>
      <c r="G121" s="55">
        <v>2</v>
      </c>
      <c r="H121" s="55" t="s">
        <v>358</v>
      </c>
      <c r="I121" s="55" t="s">
        <v>1490</v>
      </c>
      <c r="J121" s="55" t="s">
        <v>2800</v>
      </c>
      <c r="K121" s="55" t="s">
        <v>2800</v>
      </c>
      <c r="L121" s="55" t="s">
        <v>2800</v>
      </c>
      <c r="M121" s="85"/>
      <c r="N121" s="157"/>
      <c r="O121" s="166" t="s">
        <v>3755</v>
      </c>
      <c r="P121" s="170" t="s">
        <v>1657</v>
      </c>
      <c r="Q121" s="18" t="s">
        <v>3934</v>
      </c>
    </row>
    <row r="122" spans="1:35" s="49" customFormat="1">
      <c r="A122" s="49" t="str">
        <f t="shared" si="32"/>
        <v>|RW3||ｳｫｼﾞｪｸの矛槍兵|RW|2|GTC|C|人間|兵士||3/2||</v>
      </c>
      <c r="B122" s="49" t="s">
        <v>1744</v>
      </c>
      <c r="C122" s="70" t="s">
        <v>2061</v>
      </c>
      <c r="D122" s="34"/>
      <c r="E122" s="55" t="s">
        <v>2995</v>
      </c>
      <c r="F122" s="55" t="s">
        <v>36</v>
      </c>
      <c r="G122" s="55">
        <v>2</v>
      </c>
      <c r="H122" s="55" t="s">
        <v>371</v>
      </c>
      <c r="I122" s="55" t="s">
        <v>923</v>
      </c>
      <c r="J122" s="55" t="s">
        <v>1410</v>
      </c>
      <c r="K122" s="55" t="s">
        <v>1647</v>
      </c>
      <c r="L122" s="55" t="s">
        <v>2800</v>
      </c>
      <c r="M122" s="85" t="s">
        <v>1483</v>
      </c>
      <c r="N122" s="157"/>
      <c r="O122" s="166" t="s">
        <v>3756</v>
      </c>
      <c r="P122" s="170"/>
      <c r="Q122" s="18" t="s">
        <v>3934</v>
      </c>
      <c r="AC122"/>
      <c r="AD122"/>
      <c r="AE122"/>
      <c r="AF122"/>
      <c r="AG122"/>
      <c r="AH122"/>
      <c r="AI122"/>
    </row>
    <row r="123" spans="1:35" s="49" customFormat="1">
      <c r="A123" s="49" t="str">
        <f t="shared" si="32"/>
        <v>|RW4||貴神の神罰|2R/W|3|EVE|E|ｵｰﾗ||||赤なら+1/+1+R/W:+1/+0 白なら+1/+1絆魂|</v>
      </c>
      <c r="B123" s="49" t="s">
        <v>1744</v>
      </c>
      <c r="C123" s="70" t="s">
        <v>2062</v>
      </c>
      <c r="D123" s="34"/>
      <c r="E123" s="55" t="s">
        <v>1670</v>
      </c>
      <c r="F123" s="55" t="s">
        <v>1671</v>
      </c>
      <c r="G123" s="55">
        <v>3</v>
      </c>
      <c r="H123" s="55" t="s">
        <v>358</v>
      </c>
      <c r="I123" s="55" t="s">
        <v>1493</v>
      </c>
      <c r="J123" s="55" t="s">
        <v>3307</v>
      </c>
      <c r="K123" s="55" t="s">
        <v>2800</v>
      </c>
      <c r="L123" s="55" t="s">
        <v>2800</v>
      </c>
      <c r="M123" s="85"/>
      <c r="N123" s="157"/>
      <c r="O123" s="166" t="s">
        <v>3757</v>
      </c>
      <c r="P123" s="170" t="s">
        <v>3651</v>
      </c>
      <c r="Q123" s="18" t="s">
        <v>3934</v>
      </c>
      <c r="AA123"/>
      <c r="AB123"/>
    </row>
    <row r="124" spans="1:35" s="49" customFormat="1">
      <c r="A124" s="49" t="str">
        <f t="shared" si="32"/>
        <v>|RW5||ヴｨｰｱｼｰﾉの初太刀|1RW|3|DGM|C|ヴｨｰｱｼｰﾉ|兵士||2/2||</v>
      </c>
      <c r="B124" s="49" t="s">
        <v>1744</v>
      </c>
      <c r="C124" s="70" t="s">
        <v>2853</v>
      </c>
      <c r="D124" s="34"/>
      <c r="E124" s="55" t="s">
        <v>3004</v>
      </c>
      <c r="F124" s="55" t="s">
        <v>1668</v>
      </c>
      <c r="G124" s="55">
        <v>3</v>
      </c>
      <c r="H124" s="55" t="s">
        <v>1504</v>
      </c>
      <c r="I124" s="55" t="s">
        <v>923</v>
      </c>
      <c r="J124" s="55" t="s">
        <v>3329</v>
      </c>
      <c r="K124" s="55" t="s">
        <v>1647</v>
      </c>
      <c r="L124" s="55" t="s">
        <v>2800</v>
      </c>
      <c r="M124" s="85" t="s">
        <v>1475</v>
      </c>
      <c r="N124" s="157" t="s">
        <v>3759</v>
      </c>
      <c r="O124" s="166" t="s">
        <v>3758</v>
      </c>
      <c r="P124" s="170"/>
      <c r="Q124" s="18" t="s">
        <v>3934</v>
      </c>
      <c r="W124"/>
      <c r="X124"/>
      <c r="Y124"/>
      <c r="Z124"/>
    </row>
    <row r="125" spans="1:35" s="49" customFormat="1" ht="14.25" thickBot="1">
      <c r="A125" s="49" t="str">
        <f t="shared" si="32"/>
        <v>|RW6||戦乱の閃光|2RW|4|FRF|I|||||自軍全起+2/+1|</v>
      </c>
      <c r="B125" s="49" t="s">
        <v>1744</v>
      </c>
      <c r="C125" s="70" t="s">
        <v>2854</v>
      </c>
      <c r="D125" s="73"/>
      <c r="E125" s="54" t="s">
        <v>1685</v>
      </c>
      <c r="F125" s="54" t="s">
        <v>1686</v>
      </c>
      <c r="G125" s="54">
        <v>4</v>
      </c>
      <c r="H125" s="54" t="s">
        <v>375</v>
      </c>
      <c r="I125" s="54" t="s">
        <v>1490</v>
      </c>
      <c r="J125" s="54" t="s">
        <v>2800</v>
      </c>
      <c r="K125" s="54" t="s">
        <v>2800</v>
      </c>
      <c r="L125" s="54" t="s">
        <v>2800</v>
      </c>
      <c r="M125" s="93"/>
      <c r="N125" s="160"/>
      <c r="O125" s="172"/>
      <c r="P125" s="175" t="s">
        <v>1687</v>
      </c>
      <c r="Q125" s="18" t="s">
        <v>3934</v>
      </c>
    </row>
    <row r="126" spans="1:35">
      <c r="A126" s="49" t="str">
        <f t="shared" si="32"/>
        <v>|GU1||生体変化|G/U|1|GTC|I|||||_+1/+1C移植|</v>
      </c>
      <c r="B126" s="49" t="s">
        <v>1744</v>
      </c>
      <c r="C126" s="67" t="s">
        <v>2235</v>
      </c>
      <c r="D126" s="68"/>
      <c r="E126" s="51" t="s">
        <v>1689</v>
      </c>
      <c r="F126" s="51" t="s">
        <v>1690</v>
      </c>
      <c r="G126" s="51">
        <v>1</v>
      </c>
      <c r="H126" s="51" t="s">
        <v>371</v>
      </c>
      <c r="I126" s="51" t="s">
        <v>1490</v>
      </c>
      <c r="J126" s="51" t="s">
        <v>2800</v>
      </c>
      <c r="K126" s="51" t="s">
        <v>2800</v>
      </c>
      <c r="L126" s="51" t="s">
        <v>2800</v>
      </c>
      <c r="M126" s="92"/>
      <c r="N126" s="159"/>
      <c r="O126" s="171"/>
      <c r="P126" s="176" t="s">
        <v>1691</v>
      </c>
      <c r="Q126" s="18" t="s">
        <v>3934</v>
      </c>
      <c r="R126" s="49"/>
      <c r="S126" s="49"/>
      <c r="T126" s="49"/>
      <c r="U126" s="49"/>
      <c r="V126" s="49"/>
      <c r="W126" s="49"/>
      <c r="X126" s="49"/>
      <c r="Y126" s="49"/>
      <c r="Z126" s="49"/>
      <c r="AA126" s="49"/>
      <c r="AB126" s="49"/>
      <c r="AC126" s="49"/>
      <c r="AD126" s="49"/>
      <c r="AE126" s="49"/>
      <c r="AF126" s="49"/>
      <c r="AG126" s="49"/>
      <c r="AH126" s="49"/>
      <c r="AI126" s="49"/>
    </row>
    <row r="127" spans="1:35">
      <c r="A127" s="49" t="str">
        <f t="shared" si="32"/>
        <v>|GU2||超者の意向|1G/U|2|EVE|E|ｵｰﾗ||||緑+1/+1警戒 青+1/+1飛行|</v>
      </c>
      <c r="B127" s="49" t="s">
        <v>1744</v>
      </c>
      <c r="C127" s="70" t="s">
        <v>2063</v>
      </c>
      <c r="D127" s="34"/>
      <c r="E127" s="55" t="s">
        <v>1699</v>
      </c>
      <c r="F127" s="55" t="s">
        <v>1697</v>
      </c>
      <c r="G127" s="55">
        <v>2</v>
      </c>
      <c r="H127" s="55" t="s">
        <v>358</v>
      </c>
      <c r="I127" s="55" t="s">
        <v>1493</v>
      </c>
      <c r="J127" s="55" t="s">
        <v>3307</v>
      </c>
      <c r="K127" s="55" t="s">
        <v>2800</v>
      </c>
      <c r="L127" s="55" t="s">
        <v>2800</v>
      </c>
      <c r="M127" s="85"/>
      <c r="N127" s="157"/>
      <c r="O127" s="166" t="s">
        <v>3760</v>
      </c>
      <c r="P127" s="170" t="s">
        <v>3652</v>
      </c>
      <c r="Q127" s="18" t="s">
        <v>3934</v>
      </c>
      <c r="R127" s="49"/>
      <c r="S127" s="49"/>
      <c r="T127" s="49"/>
      <c r="U127" s="49"/>
      <c r="V127" s="49"/>
      <c r="W127" s="49"/>
      <c r="X127" s="49"/>
      <c r="Y127" s="49"/>
      <c r="Z127" s="49"/>
      <c r="AA127" s="49"/>
      <c r="AB127" s="49"/>
      <c r="AC127" s="49"/>
      <c r="AD127" s="49"/>
      <c r="AE127" s="49"/>
      <c r="AF127" s="49"/>
      <c r="AG127" s="49"/>
      <c r="AH127" s="49"/>
      <c r="AI127" s="49"/>
    </row>
    <row r="128" spans="1:35" s="49" customFormat="1">
      <c r="A128" s="49" t="str">
        <f t="shared" si="32"/>
        <v>|GU3||とぐろ巻きの巫女|GU|2|DIS|C|蛇|ｴﾙﾌ||1/1||</v>
      </c>
      <c r="B128" s="49" t="s">
        <v>1744</v>
      </c>
      <c r="C128" s="70" t="s">
        <v>2064</v>
      </c>
      <c r="D128" s="34"/>
      <c r="E128" s="55" t="s">
        <v>1705</v>
      </c>
      <c r="F128" s="55" t="s">
        <v>37</v>
      </c>
      <c r="G128" s="55">
        <v>2</v>
      </c>
      <c r="H128" s="55" t="s">
        <v>350</v>
      </c>
      <c r="I128" s="55" t="s">
        <v>923</v>
      </c>
      <c r="J128" s="55" t="s">
        <v>1706</v>
      </c>
      <c r="K128" s="55" t="s">
        <v>3323</v>
      </c>
      <c r="L128" s="55" t="s">
        <v>2800</v>
      </c>
      <c r="M128" s="85" t="s">
        <v>1473</v>
      </c>
      <c r="N128" s="157" t="s">
        <v>3765</v>
      </c>
      <c r="O128" s="166"/>
      <c r="P128" s="170"/>
      <c r="Q128" s="18" t="s">
        <v>3934</v>
      </c>
      <c r="AC128"/>
      <c r="AD128"/>
      <c r="AE128"/>
      <c r="AF128"/>
      <c r="AG128"/>
      <c r="AH128"/>
      <c r="AI128"/>
    </row>
    <row r="129" spans="1:35" s="49" customFormat="1">
      <c r="A129" s="49" t="str">
        <f t="shared" ref="A129:A148" si="33">B129&amp;C129&amp;B129&amp;D129&amp;B129&amp;E129&amp;B129&amp;F129&amp;B129&amp;G129&amp;B129&amp;H129&amp;B129&amp;I129&amp;B129&amp;J129&amp;B129&amp;K129&amp;B129&amp;L129&amp;B129&amp;M129&amp;B129&amp;P129&amp;B129</f>
        <v>|GU4||ヴｨｸﾞの水植物|1GU|3|DIS|C|植物|ﾐｭｰﾀﾝﾄ||0/0|非戦闘|</v>
      </c>
      <c r="B129" s="49" t="s">
        <v>1744</v>
      </c>
      <c r="C129" s="70" t="s">
        <v>2065</v>
      </c>
      <c r="D129" s="34"/>
      <c r="E129" s="55" t="s">
        <v>2965</v>
      </c>
      <c r="F129" s="55" t="s">
        <v>1710</v>
      </c>
      <c r="G129" s="55">
        <v>3</v>
      </c>
      <c r="H129" s="55" t="s">
        <v>350</v>
      </c>
      <c r="I129" s="55" t="s">
        <v>923</v>
      </c>
      <c r="J129" s="55" t="s">
        <v>1608</v>
      </c>
      <c r="K129" s="55" t="s">
        <v>3313</v>
      </c>
      <c r="L129" s="55" t="s">
        <v>2800</v>
      </c>
      <c r="M129" s="85" t="s">
        <v>1716</v>
      </c>
      <c r="N129" s="157"/>
      <c r="O129" s="166" t="s">
        <v>3761</v>
      </c>
      <c r="P129" s="170" t="s">
        <v>3764</v>
      </c>
      <c r="Q129" s="18" t="s">
        <v>3934</v>
      </c>
      <c r="AA129"/>
      <c r="AB129"/>
      <c r="AC129"/>
      <c r="AD129"/>
      <c r="AE129"/>
      <c r="AF129"/>
      <c r="AG129"/>
      <c r="AH129"/>
      <c r="AI129"/>
    </row>
    <row r="130" spans="1:35">
      <c r="A130" s="49" t="str">
        <f t="shared" si="33"/>
        <v>|GU5||天上の待ち伏せ|3GU|5|FRF|I|||||DT2予示|</v>
      </c>
      <c r="B130" s="49" t="s">
        <v>1744</v>
      </c>
      <c r="C130" s="70" t="s">
        <v>2855</v>
      </c>
      <c r="D130" s="34"/>
      <c r="E130" s="55" t="s">
        <v>1733</v>
      </c>
      <c r="F130" s="55" t="s">
        <v>1734</v>
      </c>
      <c r="G130" s="55">
        <v>5</v>
      </c>
      <c r="H130" s="55" t="s">
        <v>375</v>
      </c>
      <c r="I130" s="55" t="s">
        <v>1490</v>
      </c>
      <c r="J130" s="55" t="s">
        <v>2800</v>
      </c>
      <c r="K130" s="55" t="s">
        <v>2800</v>
      </c>
      <c r="L130" s="55" t="s">
        <v>2800</v>
      </c>
      <c r="M130" s="85"/>
      <c r="N130" s="157"/>
      <c r="O130" s="166" t="s">
        <v>3762</v>
      </c>
      <c r="P130" s="170" t="s">
        <v>1735</v>
      </c>
      <c r="Q130" s="18" t="s">
        <v>3934</v>
      </c>
      <c r="R130" s="49"/>
      <c r="S130" s="49"/>
      <c r="T130" s="49"/>
      <c r="U130" s="49"/>
      <c r="V130" s="49"/>
      <c r="AC130" s="49"/>
      <c r="AD130" s="49"/>
      <c r="AE130" s="49"/>
      <c r="AF130" s="49"/>
      <c r="AG130" s="49"/>
      <c r="AH130" s="49"/>
      <c r="AI130" s="49"/>
    </row>
    <row r="131" spans="1:35" ht="14.25" thickBot="1">
      <c r="A131" s="49" t="str">
        <f t="shared" si="33"/>
        <v>|GU6||罠顎のｹﾙﾋﾟｰ|4G/UG/U|6|EVE|C|ﾋﾞｰｽﾄ|||3/3||</v>
      </c>
      <c r="B131" s="49" t="s">
        <v>1744</v>
      </c>
      <c r="C131" s="118" t="s">
        <v>2856</v>
      </c>
      <c r="D131" s="120"/>
      <c r="E131" s="40" t="s">
        <v>2979</v>
      </c>
      <c r="F131" s="40" t="s">
        <v>1737</v>
      </c>
      <c r="G131" s="40">
        <v>6</v>
      </c>
      <c r="H131" s="40" t="s">
        <v>358</v>
      </c>
      <c r="I131" s="40" t="s">
        <v>923</v>
      </c>
      <c r="J131" s="40" t="s">
        <v>3312</v>
      </c>
      <c r="K131" s="40" t="s">
        <v>2800</v>
      </c>
      <c r="L131" s="40" t="s">
        <v>2800</v>
      </c>
      <c r="M131" s="116" t="s">
        <v>1479</v>
      </c>
      <c r="N131" s="177"/>
      <c r="O131" s="183" t="s">
        <v>3763</v>
      </c>
      <c r="P131" s="178"/>
      <c r="Q131" s="18" t="s">
        <v>3934</v>
      </c>
      <c r="R131" s="49"/>
      <c r="S131" s="49"/>
      <c r="T131" s="49"/>
      <c r="U131" s="49"/>
      <c r="V131" s="49"/>
      <c r="AA131" s="49"/>
      <c r="AB131" s="49"/>
      <c r="AC131" s="49"/>
      <c r="AD131" s="49"/>
      <c r="AE131" s="49"/>
      <c r="AF131" s="49"/>
      <c r="AG131" s="49"/>
      <c r="AH131" s="49"/>
      <c r="AI131" s="49"/>
    </row>
    <row r="132" spans="1:35">
      <c r="A132" s="49" t="str">
        <f t="shared" si="33"/>
        <v>|N01||ｵﾙｿﾞﾌの導き石|3|3|GTC|F|||||T:addW,B|</v>
      </c>
      <c r="B132" s="49" t="s">
        <v>1744</v>
      </c>
      <c r="C132" s="67" t="s">
        <v>2845</v>
      </c>
      <c r="D132" s="68"/>
      <c r="E132" s="51" t="s">
        <v>2998</v>
      </c>
      <c r="F132" s="51">
        <v>3</v>
      </c>
      <c r="G132" s="51">
        <v>3</v>
      </c>
      <c r="H132" s="51" t="s">
        <v>371</v>
      </c>
      <c r="I132" s="51" t="s">
        <v>2237</v>
      </c>
      <c r="J132" s="51" t="s">
        <v>2800</v>
      </c>
      <c r="K132" s="51" t="s">
        <v>2800</v>
      </c>
      <c r="L132" s="51" t="s">
        <v>2800</v>
      </c>
      <c r="M132" s="92"/>
      <c r="N132" s="156"/>
      <c r="O132" s="165"/>
      <c r="P132" s="81" t="s">
        <v>2238</v>
      </c>
      <c r="Q132" s="18" t="s">
        <v>3934</v>
      </c>
      <c r="R132" s="49"/>
      <c r="S132" s="49"/>
      <c r="T132" s="49"/>
      <c r="U132" s="49"/>
      <c r="V132" s="49"/>
      <c r="W132" s="49"/>
      <c r="X132" s="49"/>
      <c r="Y132" s="49"/>
      <c r="Z132" s="49"/>
      <c r="AA132" s="49"/>
      <c r="AB132" s="49"/>
    </row>
    <row r="133" spans="1:35">
      <c r="A133" s="49" t="str">
        <f t="shared" si="33"/>
        <v>|N02||ｲｾﾞｯﾄの導き石|3|3|GTC|F|||||T:addU,R|</v>
      </c>
      <c r="B133" s="49" t="s">
        <v>1744</v>
      </c>
      <c r="C133" s="70" t="s">
        <v>2846</v>
      </c>
      <c r="D133" s="34"/>
      <c r="E133" s="55" t="s">
        <v>2999</v>
      </c>
      <c r="F133" s="55">
        <v>3</v>
      </c>
      <c r="G133" s="55">
        <v>3</v>
      </c>
      <c r="H133" s="55" t="s">
        <v>371</v>
      </c>
      <c r="I133" s="55" t="s">
        <v>2237</v>
      </c>
      <c r="J133" s="55" t="s">
        <v>2800</v>
      </c>
      <c r="K133" s="55" t="s">
        <v>2800</v>
      </c>
      <c r="L133" s="55" t="s">
        <v>2800</v>
      </c>
      <c r="M133" s="85"/>
      <c r="N133" s="155"/>
      <c r="O133" s="163"/>
      <c r="P133" s="82" t="s">
        <v>2239</v>
      </c>
      <c r="Q133" s="18" t="s">
        <v>3934</v>
      </c>
      <c r="R133" s="49"/>
      <c r="S133" s="49"/>
      <c r="T133" s="49"/>
      <c r="U133" s="49"/>
      <c r="V133" s="49"/>
      <c r="W133" s="49"/>
      <c r="X133" s="49"/>
      <c r="Y133" s="49"/>
      <c r="Z133" s="49"/>
    </row>
    <row r="134" spans="1:35">
      <c r="A134" s="49" t="str">
        <f t="shared" si="33"/>
        <v>|N03||ｺﾞﾙｶﾞﾘの導き石|3|3|GTC|F|||||T:addB,G|</v>
      </c>
      <c r="B134" s="49" t="s">
        <v>1744</v>
      </c>
      <c r="C134" s="70" t="s">
        <v>2067</v>
      </c>
      <c r="D134" s="34"/>
      <c r="E134" s="55" t="s">
        <v>3000</v>
      </c>
      <c r="F134" s="55">
        <v>3</v>
      </c>
      <c r="G134" s="55">
        <v>3</v>
      </c>
      <c r="H134" s="55" t="s">
        <v>371</v>
      </c>
      <c r="I134" s="55" t="s">
        <v>2237</v>
      </c>
      <c r="J134" s="55" t="s">
        <v>2800</v>
      </c>
      <c r="K134" s="55" t="s">
        <v>2800</v>
      </c>
      <c r="L134" s="55" t="s">
        <v>2800</v>
      </c>
      <c r="M134" s="85"/>
      <c r="N134" s="155"/>
      <c r="O134" s="163"/>
      <c r="P134" s="82" t="s">
        <v>2240</v>
      </c>
      <c r="Q134" s="18" t="s">
        <v>3934</v>
      </c>
      <c r="R134" s="49"/>
      <c r="S134" s="49"/>
      <c r="T134" s="49"/>
      <c r="U134" s="49"/>
      <c r="V134" s="49"/>
    </row>
    <row r="135" spans="1:35">
      <c r="A135" s="49" t="str">
        <f t="shared" si="33"/>
        <v>|N04||ﾎﾞﾛｽの導き石|3|3|GTC|F|||||T:addR,W|</v>
      </c>
      <c r="B135" s="49" t="s">
        <v>1744</v>
      </c>
      <c r="C135" s="70" t="s">
        <v>2068</v>
      </c>
      <c r="D135" s="34"/>
      <c r="E135" s="55" t="s">
        <v>3001</v>
      </c>
      <c r="F135" s="55">
        <v>3</v>
      </c>
      <c r="G135" s="55">
        <v>3</v>
      </c>
      <c r="H135" s="55" t="s">
        <v>371</v>
      </c>
      <c r="I135" s="55" t="s">
        <v>2237</v>
      </c>
      <c r="J135" s="55" t="s">
        <v>2800</v>
      </c>
      <c r="K135" s="55" t="s">
        <v>2800</v>
      </c>
      <c r="L135" s="55" t="s">
        <v>2800</v>
      </c>
      <c r="M135" s="85"/>
      <c r="N135" s="155"/>
      <c r="O135" s="163"/>
      <c r="P135" s="82" t="s">
        <v>2241</v>
      </c>
      <c r="Q135" s="18" t="s">
        <v>3934</v>
      </c>
      <c r="R135" s="49"/>
      <c r="S135" s="49"/>
      <c r="T135" s="49"/>
      <c r="U135" s="49"/>
      <c r="V135" s="49"/>
    </row>
    <row r="136" spans="1:35">
      <c r="A136" s="49" t="str">
        <f t="shared" si="33"/>
        <v>|N05||ｼﾐｯｸの導き石|3|3|GTC|F|||||T:addG,U|</v>
      </c>
      <c r="B136" s="49" t="s">
        <v>1744</v>
      </c>
      <c r="C136" s="70" t="s">
        <v>2069</v>
      </c>
      <c r="D136" s="34"/>
      <c r="E136" s="55" t="s">
        <v>3002</v>
      </c>
      <c r="F136" s="55">
        <v>3</v>
      </c>
      <c r="G136" s="55">
        <v>3</v>
      </c>
      <c r="H136" s="55" t="s">
        <v>371</v>
      </c>
      <c r="I136" s="55" t="s">
        <v>2237</v>
      </c>
      <c r="J136" s="55" t="s">
        <v>2800</v>
      </c>
      <c r="K136" s="55" t="s">
        <v>2800</v>
      </c>
      <c r="L136" s="55" t="s">
        <v>2800</v>
      </c>
      <c r="M136" s="85"/>
      <c r="N136" s="155"/>
      <c r="O136" s="163"/>
      <c r="P136" s="82" t="s">
        <v>2242</v>
      </c>
      <c r="Q136" s="18" t="s">
        <v>3934</v>
      </c>
      <c r="R136" s="49"/>
      <c r="S136" s="49"/>
      <c r="T136" s="49"/>
      <c r="U136" s="49"/>
      <c r="V136" s="49"/>
    </row>
    <row r="137" spans="1:35">
      <c r="A137" s="49" t="str">
        <f t="shared" si="33"/>
        <v>|N06||ｳﾙ=ｺﾞｰﾚﾑの目|4|4|DST|F|||||T:CC|</v>
      </c>
      <c r="B137" s="49" t="s">
        <v>1744</v>
      </c>
      <c r="C137" s="70" t="s">
        <v>2070</v>
      </c>
      <c r="D137" s="34"/>
      <c r="E137" s="55" t="s">
        <v>2958</v>
      </c>
      <c r="F137" s="55">
        <v>4</v>
      </c>
      <c r="G137" s="55">
        <v>4</v>
      </c>
      <c r="H137" s="55" t="s">
        <v>345</v>
      </c>
      <c r="I137" s="55" t="s">
        <v>2237</v>
      </c>
      <c r="J137" s="55" t="s">
        <v>2800</v>
      </c>
      <c r="K137" s="55" t="s">
        <v>2800</v>
      </c>
      <c r="L137" s="55" t="s">
        <v>2800</v>
      </c>
      <c r="M137" s="85"/>
      <c r="N137" s="155"/>
      <c r="O137" s="163"/>
      <c r="P137" s="82" t="s">
        <v>2468</v>
      </c>
      <c r="Q137" s="18" t="s">
        <v>3934</v>
      </c>
      <c r="R137" s="49"/>
      <c r="S137" s="49"/>
      <c r="T137" s="49"/>
      <c r="U137" s="49"/>
      <c r="V137" s="49"/>
    </row>
    <row r="138" spans="1:35">
      <c r="A138" s="49" t="str">
        <f t="shared" si="33"/>
        <v>|N07||空に届くマンタ|5|5|5DN|FC|飛行機械|||0/0||</v>
      </c>
      <c r="B138" s="49" t="s">
        <v>1744</v>
      </c>
      <c r="C138" s="70" t="s">
        <v>2071</v>
      </c>
      <c r="D138" s="34"/>
      <c r="E138" s="55" t="s">
        <v>3510</v>
      </c>
      <c r="F138" s="55">
        <v>5</v>
      </c>
      <c r="G138" s="55">
        <v>5</v>
      </c>
      <c r="H138" s="55" t="s">
        <v>3511</v>
      </c>
      <c r="I138" s="55" t="s">
        <v>3512</v>
      </c>
      <c r="J138" s="55" t="s">
        <v>3513</v>
      </c>
      <c r="K138" s="55"/>
      <c r="L138" s="55"/>
      <c r="M138" s="85" t="s">
        <v>3514</v>
      </c>
      <c r="N138" s="155"/>
      <c r="O138" s="163" t="s">
        <v>3653</v>
      </c>
      <c r="P138" s="82"/>
      <c r="Q138" s="18" t="s">
        <v>3934</v>
      </c>
      <c r="R138" s="49"/>
      <c r="S138" s="49"/>
      <c r="T138" s="49"/>
      <c r="U138" s="49"/>
      <c r="V138" s="49"/>
    </row>
    <row r="139" spans="1:35" s="49" customFormat="1" ht="14.25" thickBot="1">
      <c r="A139" s="49" t="str">
        <f t="shared" si="33"/>
        <v>|N08||心鍛のｺﾞｰﾚﾑ|6|6|M15|FC|ｺﾞｰﾚﾑ|||4/4||</v>
      </c>
      <c r="B139" s="49" t="s">
        <v>1744</v>
      </c>
      <c r="C139" s="72" t="s">
        <v>3507</v>
      </c>
      <c r="D139" s="73"/>
      <c r="E139" s="54" t="s">
        <v>2954</v>
      </c>
      <c r="F139" s="54">
        <v>6</v>
      </c>
      <c r="G139" s="54">
        <v>6</v>
      </c>
      <c r="H139" s="54" t="s">
        <v>225</v>
      </c>
      <c r="I139" s="54" t="s">
        <v>1518</v>
      </c>
      <c r="J139" s="54" t="s">
        <v>3330</v>
      </c>
      <c r="K139" s="54" t="s">
        <v>2800</v>
      </c>
      <c r="L139" s="54" t="s">
        <v>2800</v>
      </c>
      <c r="M139" s="93" t="s">
        <v>1482</v>
      </c>
      <c r="N139" s="164"/>
      <c r="O139" s="180" t="s">
        <v>2467</v>
      </c>
      <c r="P139" s="83"/>
      <c r="Q139" s="18" t="s">
        <v>3934</v>
      </c>
      <c r="W139"/>
      <c r="X139"/>
      <c r="Y139"/>
      <c r="Z139"/>
      <c r="AA139"/>
      <c r="AB139"/>
      <c r="AC139"/>
      <c r="AD139"/>
      <c r="AE139"/>
      <c r="AF139"/>
      <c r="AG139"/>
      <c r="AH139"/>
      <c r="AI139"/>
    </row>
    <row r="140" spans="1:35">
      <c r="A140" s="49" t="str">
        <f t="shared" si="33"/>
        <v>|L01||未知の岸|||THS|L|||||色ﾏﾅﾌｨﾙﾀｰ|</v>
      </c>
      <c r="B140" s="49" t="s">
        <v>1744</v>
      </c>
      <c r="C140" s="67" t="s">
        <v>2243</v>
      </c>
      <c r="D140" s="68"/>
      <c r="E140" s="51" t="s">
        <v>2752</v>
      </c>
      <c r="F140" s="51"/>
      <c r="G140" s="51"/>
      <c r="H140" s="51" t="s">
        <v>2768</v>
      </c>
      <c r="I140" s="51" t="s">
        <v>249</v>
      </c>
      <c r="J140" s="51" t="s">
        <v>2800</v>
      </c>
      <c r="K140" s="51" t="s">
        <v>2800</v>
      </c>
      <c r="L140" s="51" t="s">
        <v>2800</v>
      </c>
      <c r="M140" s="92"/>
      <c r="N140" s="156"/>
      <c r="O140" s="165"/>
      <c r="P140" s="81" t="s">
        <v>3654</v>
      </c>
      <c r="Q140" s="18" t="s">
        <v>3934</v>
      </c>
      <c r="R140" s="49"/>
      <c r="S140" s="49"/>
      <c r="T140" s="49"/>
      <c r="U140" s="49"/>
      <c r="V140" s="49"/>
    </row>
    <row r="141" spans="1:35">
      <c r="A141" s="49" t="str">
        <f t="shared" si="33"/>
        <v>|L02||進化する未開地|||BFZ|L|||||ﾌｪｯﾁ|</v>
      </c>
      <c r="B141" s="49" t="s">
        <v>1744</v>
      </c>
      <c r="C141" s="70" t="s">
        <v>2072</v>
      </c>
      <c r="D141" s="34"/>
      <c r="E141" s="55" t="s">
        <v>2766</v>
      </c>
      <c r="F141" s="55"/>
      <c r="G141" s="55"/>
      <c r="H141" s="55" t="s">
        <v>2767</v>
      </c>
      <c r="I141" s="55" t="s">
        <v>249</v>
      </c>
      <c r="J141" s="55" t="s">
        <v>2800</v>
      </c>
      <c r="K141" s="55" t="s">
        <v>2800</v>
      </c>
      <c r="L141" s="55" t="s">
        <v>2800</v>
      </c>
      <c r="M141" s="85"/>
      <c r="N141" s="155"/>
      <c r="O141" s="163"/>
      <c r="P141" s="82" t="s">
        <v>3655</v>
      </c>
      <c r="Q141" s="18" t="s">
        <v>3934</v>
      </c>
      <c r="R141" s="49"/>
      <c r="S141" s="49"/>
      <c r="T141" s="49"/>
      <c r="U141" s="49"/>
      <c r="V141" s="49"/>
      <c r="AC141" s="49"/>
      <c r="AD141" s="49"/>
      <c r="AE141" s="49"/>
      <c r="AF141" s="49"/>
      <c r="AG141" s="49"/>
      <c r="AH141" s="49"/>
      <c r="AI141" s="49"/>
    </row>
    <row r="142" spans="1:35" s="49" customFormat="1">
      <c r="A142" s="49" t="str">
        <f t="shared" si="33"/>
        <v>|L03||流砂|||ZEN|L||||||</v>
      </c>
      <c r="B142" s="49" t="s">
        <v>1744</v>
      </c>
      <c r="C142" s="70" t="s">
        <v>2073</v>
      </c>
      <c r="D142" s="34"/>
      <c r="E142" s="55" t="s">
        <v>3515</v>
      </c>
      <c r="F142" s="55"/>
      <c r="G142" s="55"/>
      <c r="H142" s="55" t="s">
        <v>3517</v>
      </c>
      <c r="I142" s="55" t="s">
        <v>3516</v>
      </c>
      <c r="J142" s="55"/>
      <c r="K142" s="55"/>
      <c r="L142" s="55"/>
      <c r="M142" s="85"/>
      <c r="N142" s="155"/>
      <c r="O142" s="163"/>
      <c r="P142" s="82" t="s">
        <v>2800</v>
      </c>
      <c r="Q142" s="18" t="s">
        <v>3934</v>
      </c>
      <c r="W142"/>
      <c r="X142"/>
      <c r="Y142"/>
      <c r="Z142"/>
      <c r="AC142"/>
      <c r="AD142"/>
      <c r="AE142"/>
      <c r="AF142"/>
      <c r="AG142"/>
      <c r="AH142"/>
      <c r="AI142"/>
    </row>
    <row r="143" spans="1:35" s="49" customFormat="1">
      <c r="A143" s="49" t="str">
        <f t="shared" si="33"/>
        <v>|L04||憑依された沼墓|||DKA|L||||||</v>
      </c>
      <c r="B143" s="49" t="s">
        <v>1744</v>
      </c>
      <c r="C143" s="70" t="s">
        <v>2074</v>
      </c>
      <c r="D143" s="34"/>
      <c r="E143" s="55" t="s">
        <v>3518</v>
      </c>
      <c r="F143" s="55"/>
      <c r="G143" s="55"/>
      <c r="H143" s="55" t="s">
        <v>3519</v>
      </c>
      <c r="I143" s="55" t="s">
        <v>3516</v>
      </c>
      <c r="J143" s="55"/>
      <c r="K143" s="55"/>
      <c r="L143" s="55"/>
      <c r="M143" s="85"/>
      <c r="N143" s="155"/>
      <c r="O143" s="163"/>
      <c r="P143" s="82" t="s">
        <v>2800</v>
      </c>
      <c r="Q143" s="18" t="s">
        <v>3934</v>
      </c>
      <c r="AA143"/>
      <c r="AB143"/>
      <c r="AC143"/>
      <c r="AD143"/>
      <c r="AE143"/>
      <c r="AF143"/>
      <c r="AG143"/>
      <c r="AH143"/>
      <c r="AI143"/>
    </row>
    <row r="144" spans="1:35">
      <c r="A144" s="49" t="str">
        <f t="shared" si="33"/>
        <v>|L05||WBL||||L||||||</v>
      </c>
      <c r="B144" s="49" t="s">
        <v>1744</v>
      </c>
      <c r="C144" s="70" t="s">
        <v>2075</v>
      </c>
      <c r="D144" s="34"/>
      <c r="E144" s="55" t="s">
        <v>2078</v>
      </c>
      <c r="F144" s="55"/>
      <c r="G144" s="55"/>
      <c r="H144" s="55"/>
      <c r="I144" s="55" t="s">
        <v>249</v>
      </c>
      <c r="J144" s="55" t="s">
        <v>2800</v>
      </c>
      <c r="K144" s="55" t="s">
        <v>2800</v>
      </c>
      <c r="L144" s="55" t="s">
        <v>2800</v>
      </c>
      <c r="M144" s="85"/>
      <c r="N144" s="155"/>
      <c r="O144" s="163"/>
      <c r="P144" s="82" t="s">
        <v>2800</v>
      </c>
      <c r="Q144" s="18" t="s">
        <v>3934</v>
      </c>
      <c r="R144" s="49"/>
      <c r="S144" s="49"/>
      <c r="T144" s="49"/>
      <c r="U144" s="49"/>
      <c r="V144" s="49"/>
      <c r="AC144" s="49"/>
      <c r="AD144" s="49"/>
      <c r="AE144" s="49"/>
      <c r="AF144" s="49"/>
      <c r="AG144" s="49"/>
      <c r="AH144" s="49"/>
      <c r="AI144" s="49"/>
    </row>
    <row r="145" spans="1:35">
      <c r="A145" s="49" t="str">
        <f t="shared" si="33"/>
        <v>|L06||URL||||L||||||</v>
      </c>
      <c r="B145" s="49" t="s">
        <v>1744</v>
      </c>
      <c r="C145" s="70" t="s">
        <v>2076</v>
      </c>
      <c r="D145" s="34"/>
      <c r="E145" s="55" t="s">
        <v>2079</v>
      </c>
      <c r="F145" s="55"/>
      <c r="G145" s="55"/>
      <c r="H145" s="55"/>
      <c r="I145" s="55" t="s">
        <v>249</v>
      </c>
      <c r="J145" s="55" t="s">
        <v>2800</v>
      </c>
      <c r="K145" s="55" t="s">
        <v>2800</v>
      </c>
      <c r="L145" s="55" t="s">
        <v>2800</v>
      </c>
      <c r="M145" s="85"/>
      <c r="N145" s="155"/>
      <c r="O145" s="163"/>
      <c r="P145" s="82" t="s">
        <v>2800</v>
      </c>
      <c r="Q145" s="18" t="s">
        <v>3934</v>
      </c>
      <c r="R145" s="49"/>
      <c r="S145" s="49"/>
      <c r="T145" s="49"/>
      <c r="U145" s="49"/>
      <c r="V145" s="49"/>
      <c r="AA145" s="49"/>
      <c r="AB145" s="49"/>
      <c r="AC145" s="49"/>
      <c r="AD145" s="49"/>
      <c r="AE145" s="49"/>
      <c r="AF145" s="49"/>
      <c r="AG145" s="49"/>
      <c r="AH145" s="49"/>
      <c r="AI145" s="49"/>
    </row>
    <row r="146" spans="1:35">
      <c r="A146" s="49" t="str">
        <f t="shared" si="33"/>
        <v>|L07||BGL||||L||||||</v>
      </c>
      <c r="B146" s="49" t="s">
        <v>1744</v>
      </c>
      <c r="C146" s="70" t="s">
        <v>2077</v>
      </c>
      <c r="D146" s="34"/>
      <c r="E146" s="55" t="s">
        <v>2080</v>
      </c>
      <c r="F146" s="55"/>
      <c r="G146" s="55"/>
      <c r="H146" s="55"/>
      <c r="I146" s="55" t="s">
        <v>249</v>
      </c>
      <c r="J146" s="55" t="s">
        <v>2800</v>
      </c>
      <c r="K146" s="55" t="s">
        <v>2800</v>
      </c>
      <c r="L146" s="55" t="s">
        <v>2800</v>
      </c>
      <c r="M146" s="85"/>
      <c r="N146" s="155"/>
      <c r="O146" s="163"/>
      <c r="P146" s="82" t="s">
        <v>2800</v>
      </c>
      <c r="Q146" s="18" t="s">
        <v>3934</v>
      </c>
      <c r="R146" s="49"/>
      <c r="S146" s="49"/>
      <c r="T146" s="49"/>
      <c r="U146" s="49"/>
      <c r="V146" s="49"/>
      <c r="W146" s="49"/>
      <c r="X146" s="49"/>
      <c r="Y146" s="49"/>
      <c r="Z146" s="49"/>
      <c r="AA146" s="49"/>
      <c r="AB146" s="49"/>
    </row>
    <row r="147" spans="1:35">
      <c r="A147" s="49" t="str">
        <f t="shared" si="33"/>
        <v>|L08||RWL||||L||||||</v>
      </c>
      <c r="B147" s="49" t="s">
        <v>1744</v>
      </c>
      <c r="C147" s="70" t="s">
        <v>3508</v>
      </c>
      <c r="D147" s="34"/>
      <c r="E147" s="55" t="s">
        <v>2081</v>
      </c>
      <c r="F147" s="55"/>
      <c r="G147" s="55"/>
      <c r="H147" s="55"/>
      <c r="I147" s="55" t="s">
        <v>249</v>
      </c>
      <c r="J147" s="55" t="s">
        <v>2800</v>
      </c>
      <c r="K147" s="55" t="s">
        <v>2800</v>
      </c>
      <c r="L147" s="55" t="s">
        <v>2800</v>
      </c>
      <c r="M147" s="85"/>
      <c r="N147" s="155"/>
      <c r="O147" s="163"/>
      <c r="P147" s="82" t="s">
        <v>2800</v>
      </c>
      <c r="Q147" s="18" t="s">
        <v>3934</v>
      </c>
      <c r="R147" s="49"/>
      <c r="S147" s="49"/>
      <c r="T147" s="49"/>
      <c r="U147" s="49"/>
      <c r="V147" s="49"/>
      <c r="W147" s="49"/>
      <c r="X147" s="49"/>
      <c r="Y147" s="49"/>
      <c r="Z147" s="49"/>
    </row>
    <row r="148" spans="1:35" ht="14.25" thickBot="1">
      <c r="A148" s="49" t="str">
        <f t="shared" si="33"/>
        <v>|L09||GUL||||L||||||</v>
      </c>
      <c r="B148" s="49" t="s">
        <v>1744</v>
      </c>
      <c r="C148" s="72" t="s">
        <v>3509</v>
      </c>
      <c r="D148" s="73"/>
      <c r="E148" s="54" t="s">
        <v>2082</v>
      </c>
      <c r="F148" s="54"/>
      <c r="G148" s="54"/>
      <c r="H148" s="54"/>
      <c r="I148" s="54" t="s">
        <v>249</v>
      </c>
      <c r="J148" s="54" t="s">
        <v>2800</v>
      </c>
      <c r="K148" s="54" t="s">
        <v>2800</v>
      </c>
      <c r="L148" s="54" t="s">
        <v>2800</v>
      </c>
      <c r="M148" s="93"/>
      <c r="N148" s="164"/>
      <c r="O148" s="180"/>
      <c r="P148" s="83" t="s">
        <v>2800</v>
      </c>
      <c r="Q148" s="18" t="s">
        <v>3934</v>
      </c>
      <c r="R148" s="49"/>
      <c r="S148" s="49"/>
      <c r="T148" s="49"/>
      <c r="U148" s="49"/>
      <c r="V148" s="49"/>
    </row>
    <row r="149" spans="1:35">
      <c r="P149" s="18" t="s">
        <v>2800</v>
      </c>
      <c r="Q149" s="18" t="s">
        <v>3934</v>
      </c>
      <c r="R149" s="49"/>
      <c r="S149" s="49"/>
      <c r="T149" s="49"/>
      <c r="U149" s="49"/>
      <c r="V149" s="49"/>
    </row>
    <row r="150" spans="1:35">
      <c r="P150" s="18" t="s">
        <v>2800</v>
      </c>
      <c r="Q150" s="18" t="s">
        <v>3934</v>
      </c>
      <c r="R150" s="49"/>
      <c r="S150" s="49"/>
      <c r="T150" s="49"/>
      <c r="U150" s="49"/>
      <c r="V150" s="49"/>
    </row>
    <row r="151" spans="1:35" ht="14.25" thickBot="1">
      <c r="P151" s="18" t="s">
        <v>2800</v>
      </c>
      <c r="Q151" s="18" t="s">
        <v>3934</v>
      </c>
      <c r="R151" s="49"/>
      <c r="S151" s="49"/>
      <c r="T151" s="49"/>
      <c r="U151" s="49"/>
      <c r="V151" s="49"/>
    </row>
    <row r="152" spans="1:35" ht="14.25" thickBot="1">
      <c r="C152" s="88" t="s">
        <v>2811</v>
      </c>
      <c r="D152" s="89" t="s">
        <v>2104</v>
      </c>
      <c r="E152" s="89" t="s">
        <v>3331</v>
      </c>
      <c r="F152" s="89" t="s">
        <v>3332</v>
      </c>
      <c r="G152" s="89" t="s">
        <v>3333</v>
      </c>
      <c r="H152" s="89" t="s">
        <v>3334</v>
      </c>
      <c r="I152" s="89" t="s">
        <v>3335</v>
      </c>
      <c r="J152" s="89" t="s">
        <v>3336</v>
      </c>
      <c r="K152" s="89" t="s">
        <v>3337</v>
      </c>
      <c r="L152" s="89" t="s">
        <v>3338</v>
      </c>
      <c r="M152" s="90" t="s">
        <v>3339</v>
      </c>
      <c r="N152" s="161"/>
      <c r="O152" s="179"/>
      <c r="P152" s="162" t="s">
        <v>3656</v>
      </c>
      <c r="Q152" s="18" t="s">
        <v>3934</v>
      </c>
      <c r="R152" s="49"/>
      <c r="S152" s="49"/>
      <c r="T152" s="49"/>
      <c r="U152" s="49"/>
      <c r="V152" s="49"/>
    </row>
    <row r="153" spans="1:35">
      <c r="C153" s="50" t="s">
        <v>2131</v>
      </c>
      <c r="D153" s="51" t="s">
        <v>2135</v>
      </c>
      <c r="E153" s="68" t="s">
        <v>2280</v>
      </c>
      <c r="F153" s="68" t="s">
        <v>5</v>
      </c>
      <c r="G153" s="51">
        <v>1</v>
      </c>
      <c r="H153" s="68" t="s">
        <v>350</v>
      </c>
      <c r="I153" s="68" t="s">
        <v>1490</v>
      </c>
      <c r="J153" s="51"/>
      <c r="K153" s="51"/>
      <c r="L153" s="51"/>
      <c r="M153" s="92"/>
      <c r="N153" s="156"/>
      <c r="O153" s="165"/>
      <c r="P153" s="81" t="s">
        <v>3657</v>
      </c>
      <c r="Q153" s="18" t="s">
        <v>3934</v>
      </c>
      <c r="R153" s="49"/>
      <c r="S153" s="49"/>
      <c r="T153" s="49"/>
      <c r="U153" s="49"/>
      <c r="V153" s="49"/>
    </row>
    <row r="154" spans="1:35">
      <c r="C154" s="56" t="s">
        <v>1956</v>
      </c>
      <c r="D154" s="55" t="s">
        <v>36</v>
      </c>
      <c r="E154" s="55" t="s">
        <v>1152</v>
      </c>
      <c r="F154" s="55" t="s">
        <v>1182</v>
      </c>
      <c r="G154" s="55">
        <v>2</v>
      </c>
      <c r="H154" s="55" t="s">
        <v>278</v>
      </c>
      <c r="I154" s="55" t="s">
        <v>923</v>
      </c>
      <c r="J154" s="55" t="s">
        <v>1410</v>
      </c>
      <c r="K154" s="55" t="s">
        <v>2132</v>
      </c>
      <c r="L154" s="55"/>
      <c r="M154" s="85" t="s">
        <v>1475</v>
      </c>
      <c r="N154" s="157"/>
      <c r="O154" s="166" t="s">
        <v>3658</v>
      </c>
      <c r="P154" s="170"/>
      <c r="Q154" s="18" t="s">
        <v>3934</v>
      </c>
      <c r="R154" s="49"/>
      <c r="S154" s="49"/>
      <c r="T154" s="49"/>
      <c r="U154" s="49"/>
      <c r="V154" s="49"/>
    </row>
    <row r="155" spans="1:35">
      <c r="C155" s="56" t="s">
        <v>1957</v>
      </c>
      <c r="D155" s="55" t="s">
        <v>2103</v>
      </c>
      <c r="E155" s="55" t="s">
        <v>1063</v>
      </c>
      <c r="F155" s="55" t="s">
        <v>977</v>
      </c>
      <c r="G155" s="55">
        <v>2</v>
      </c>
      <c r="H155" s="55" t="s">
        <v>352</v>
      </c>
      <c r="I155" s="55" t="s">
        <v>923</v>
      </c>
      <c r="J155" s="55" t="s">
        <v>2087</v>
      </c>
      <c r="K155" s="55"/>
      <c r="L155" s="55"/>
      <c r="M155" s="85" t="s">
        <v>1473</v>
      </c>
      <c r="N155" s="155"/>
      <c r="O155" s="163"/>
      <c r="P155" s="82" t="s">
        <v>3659</v>
      </c>
      <c r="Q155" s="18" t="s">
        <v>3934</v>
      </c>
      <c r="R155" s="49"/>
      <c r="S155" s="49"/>
      <c r="T155" s="49"/>
      <c r="U155" s="49"/>
      <c r="V155" s="49"/>
    </row>
    <row r="156" spans="1:35">
      <c r="C156" s="56" t="s">
        <v>1958</v>
      </c>
      <c r="D156" s="55" t="s">
        <v>2147</v>
      </c>
      <c r="E156" s="55" t="s">
        <v>2253</v>
      </c>
      <c r="F156" s="55" t="s">
        <v>977</v>
      </c>
      <c r="G156" s="55">
        <v>2</v>
      </c>
      <c r="H156" s="55" t="s">
        <v>347</v>
      </c>
      <c r="I156" s="55" t="s">
        <v>1490</v>
      </c>
      <c r="J156" s="55" t="s">
        <v>2147</v>
      </c>
      <c r="K156" s="55"/>
      <c r="L156" s="55"/>
      <c r="M156" s="85"/>
      <c r="N156" s="155"/>
      <c r="O156" s="163"/>
      <c r="P156" s="82" t="s">
        <v>3660</v>
      </c>
      <c r="Q156" s="18" t="s">
        <v>3934</v>
      </c>
      <c r="R156" s="49"/>
      <c r="S156" s="49"/>
      <c r="T156" s="49"/>
      <c r="U156" s="49"/>
      <c r="V156" s="49"/>
    </row>
    <row r="157" spans="1:35">
      <c r="C157" s="56" t="s">
        <v>1959</v>
      </c>
      <c r="D157" s="55" t="s">
        <v>33</v>
      </c>
      <c r="E157" s="55" t="s">
        <v>2086</v>
      </c>
      <c r="F157" s="55" t="s">
        <v>979</v>
      </c>
      <c r="G157" s="55">
        <v>3</v>
      </c>
      <c r="H157" s="55" t="s">
        <v>368</v>
      </c>
      <c r="I157" s="55" t="s">
        <v>1501</v>
      </c>
      <c r="J157" s="55"/>
      <c r="K157" s="55"/>
      <c r="L157" s="55"/>
      <c r="M157" s="85"/>
      <c r="N157" s="155"/>
      <c r="O157" s="163"/>
      <c r="P157" s="82" t="s">
        <v>3661</v>
      </c>
      <c r="Q157" s="18" t="s">
        <v>3934</v>
      </c>
      <c r="R157" s="49"/>
      <c r="S157" s="49"/>
      <c r="T157" s="49"/>
      <c r="U157" s="49"/>
      <c r="V157" s="49"/>
    </row>
    <row r="158" spans="1:35">
      <c r="C158" s="56" t="s">
        <v>1960</v>
      </c>
      <c r="D158" s="55" t="s">
        <v>2135</v>
      </c>
      <c r="E158" s="55" t="s">
        <v>2270</v>
      </c>
      <c r="F158" s="55" t="s">
        <v>979</v>
      </c>
      <c r="G158" s="55">
        <v>3</v>
      </c>
      <c r="H158" s="55" t="s">
        <v>374</v>
      </c>
      <c r="I158" s="55" t="s">
        <v>1493</v>
      </c>
      <c r="J158" s="55"/>
      <c r="K158" s="55"/>
      <c r="L158" s="55"/>
      <c r="M158" s="85"/>
      <c r="N158" s="155"/>
      <c r="O158" s="163"/>
      <c r="P158" s="82" t="s">
        <v>3662</v>
      </c>
      <c r="Q158" s="18" t="s">
        <v>3934</v>
      </c>
      <c r="R158" s="49"/>
      <c r="S158" s="49"/>
      <c r="T158" s="49"/>
      <c r="U158" s="49"/>
      <c r="V158" s="49"/>
    </row>
    <row r="159" spans="1:35">
      <c r="C159" s="56" t="s">
        <v>1961</v>
      </c>
      <c r="D159" s="55" t="s">
        <v>34</v>
      </c>
      <c r="E159" s="55" t="s">
        <v>2272</v>
      </c>
      <c r="F159" s="55" t="s">
        <v>979</v>
      </c>
      <c r="G159" s="55">
        <v>3</v>
      </c>
      <c r="H159" s="55" t="s">
        <v>378</v>
      </c>
      <c r="I159" s="55" t="s">
        <v>1490</v>
      </c>
      <c r="J159" s="55"/>
      <c r="K159" s="55"/>
      <c r="L159" s="55"/>
      <c r="M159" s="85"/>
      <c r="N159" s="155"/>
      <c r="O159" s="163" t="s">
        <v>3769</v>
      </c>
      <c r="P159" s="82" t="s">
        <v>3768</v>
      </c>
      <c r="Q159" s="18" t="s">
        <v>3934</v>
      </c>
      <c r="R159" s="49"/>
      <c r="S159" s="49"/>
      <c r="T159" s="49"/>
      <c r="U159" s="49"/>
      <c r="V159" s="49"/>
    </row>
    <row r="160" spans="1:35">
      <c r="C160" s="56" t="s">
        <v>1962</v>
      </c>
      <c r="D160" s="55" t="s">
        <v>36</v>
      </c>
      <c r="E160" s="55" t="s">
        <v>1172</v>
      </c>
      <c r="F160" s="55" t="s">
        <v>981</v>
      </c>
      <c r="G160" s="55">
        <v>4</v>
      </c>
      <c r="H160" s="55" t="s">
        <v>347</v>
      </c>
      <c r="I160" s="55" t="s">
        <v>923</v>
      </c>
      <c r="J160" s="55" t="s">
        <v>1410</v>
      </c>
      <c r="K160" s="55" t="s">
        <v>2132</v>
      </c>
      <c r="L160" s="55"/>
      <c r="M160" s="55" t="s">
        <v>1479</v>
      </c>
      <c r="N160" s="157"/>
      <c r="O160" s="166" t="s">
        <v>3584</v>
      </c>
      <c r="P160" s="170" t="s">
        <v>3770</v>
      </c>
      <c r="Q160" s="18" t="s">
        <v>3934</v>
      </c>
      <c r="R160" s="49"/>
      <c r="S160" s="49"/>
      <c r="T160" s="49"/>
      <c r="U160" s="49"/>
      <c r="V160" s="49"/>
    </row>
    <row r="161" spans="3:22">
      <c r="C161" s="56" t="s">
        <v>1963</v>
      </c>
      <c r="D161" s="55" t="s">
        <v>2146</v>
      </c>
      <c r="E161" s="55" t="s">
        <v>2256</v>
      </c>
      <c r="F161" s="55" t="s">
        <v>986</v>
      </c>
      <c r="G161" s="55">
        <v>5</v>
      </c>
      <c r="H161" s="55" t="s">
        <v>355</v>
      </c>
      <c r="I161" s="55" t="s">
        <v>923</v>
      </c>
      <c r="J161" s="55" t="s">
        <v>1512</v>
      </c>
      <c r="K161" s="55"/>
      <c r="L161" s="55"/>
      <c r="M161" s="85" t="s">
        <v>1482</v>
      </c>
      <c r="N161" s="155" t="s">
        <v>3781</v>
      </c>
      <c r="O161" s="163" t="s">
        <v>3663</v>
      </c>
      <c r="P161" s="82"/>
      <c r="Q161" s="18" t="s">
        <v>3934</v>
      </c>
      <c r="R161" s="49"/>
      <c r="S161" s="49"/>
      <c r="T161" s="49"/>
      <c r="U161" s="49"/>
      <c r="V161" s="49"/>
    </row>
    <row r="162" spans="3:22">
      <c r="C162" s="56" t="s">
        <v>1964</v>
      </c>
      <c r="D162" s="55" t="s">
        <v>2143</v>
      </c>
      <c r="E162" s="55" t="s">
        <v>2289</v>
      </c>
      <c r="F162" s="55" t="s">
        <v>983</v>
      </c>
      <c r="G162" s="55">
        <v>5</v>
      </c>
      <c r="H162" s="55" t="s">
        <v>351</v>
      </c>
      <c r="I162" s="55" t="s">
        <v>923</v>
      </c>
      <c r="J162" s="55" t="s">
        <v>2290</v>
      </c>
      <c r="K162" s="55"/>
      <c r="L162" s="55"/>
      <c r="M162" s="85" t="s">
        <v>1482</v>
      </c>
      <c r="N162" s="155"/>
      <c r="O162" s="163" t="s">
        <v>3664</v>
      </c>
      <c r="P162" s="82"/>
      <c r="Q162" s="18" t="s">
        <v>3934</v>
      </c>
      <c r="R162" s="49"/>
      <c r="S162" s="49"/>
      <c r="T162" s="49"/>
      <c r="U162" s="49"/>
      <c r="V162" s="49"/>
    </row>
    <row r="163" spans="3:22" ht="14.25" thickBot="1">
      <c r="C163" s="39" t="s">
        <v>1965</v>
      </c>
      <c r="D163" s="40" t="s">
        <v>33</v>
      </c>
      <c r="E163" s="40" t="s">
        <v>1453</v>
      </c>
      <c r="F163" s="40" t="s">
        <v>1185</v>
      </c>
      <c r="G163" s="40">
        <v>6</v>
      </c>
      <c r="H163" s="40" t="s">
        <v>347</v>
      </c>
      <c r="I163" s="40" t="s">
        <v>923</v>
      </c>
      <c r="J163" s="40" t="s">
        <v>1414</v>
      </c>
      <c r="K163" s="40"/>
      <c r="L163" s="40"/>
      <c r="M163" s="116" t="s">
        <v>1483</v>
      </c>
      <c r="N163" s="168"/>
      <c r="O163" s="181" t="s">
        <v>3665</v>
      </c>
      <c r="P163" s="169"/>
      <c r="Q163" s="18" t="s">
        <v>3934</v>
      </c>
      <c r="R163" s="49"/>
      <c r="S163" s="49"/>
      <c r="T163" s="49"/>
      <c r="U163" s="49"/>
      <c r="V163" s="49"/>
    </row>
    <row r="164" spans="3:22">
      <c r="C164" s="50" t="s">
        <v>2151</v>
      </c>
      <c r="D164" s="51" t="s">
        <v>2147</v>
      </c>
      <c r="E164" s="51" t="s">
        <v>2753</v>
      </c>
      <c r="F164" s="51" t="s">
        <v>2154</v>
      </c>
      <c r="G164" s="51">
        <v>2</v>
      </c>
      <c r="H164" s="51" t="s">
        <v>347</v>
      </c>
      <c r="I164" s="51" t="s">
        <v>1490</v>
      </c>
      <c r="J164" s="51" t="s">
        <v>2147</v>
      </c>
      <c r="K164" s="51"/>
      <c r="L164" s="51"/>
      <c r="M164" s="92"/>
      <c r="N164" s="156"/>
      <c r="O164" s="165" t="s">
        <v>3773</v>
      </c>
      <c r="P164" s="81" t="s">
        <v>3772</v>
      </c>
      <c r="Q164" s="18" t="s">
        <v>3934</v>
      </c>
      <c r="R164" s="49"/>
      <c r="S164" s="49"/>
      <c r="T164" s="49"/>
      <c r="U164" s="49"/>
      <c r="V164" s="49"/>
    </row>
    <row r="165" spans="3:22">
      <c r="C165" s="56" t="s">
        <v>1975</v>
      </c>
      <c r="D165" s="55" t="s">
        <v>2135</v>
      </c>
      <c r="E165" s="55" t="s">
        <v>2755</v>
      </c>
      <c r="F165" s="55" t="s">
        <v>2756</v>
      </c>
      <c r="G165" s="55">
        <v>1</v>
      </c>
      <c r="H165" s="34" t="s">
        <v>377</v>
      </c>
      <c r="I165" s="55" t="s">
        <v>1490</v>
      </c>
      <c r="J165" s="55"/>
      <c r="K165" s="55"/>
      <c r="L165" s="55"/>
      <c r="M165" s="85"/>
      <c r="N165" s="155"/>
      <c r="O165" s="163"/>
      <c r="P165" s="82" t="s">
        <v>3771</v>
      </c>
      <c r="Q165" s="18" t="s">
        <v>3934</v>
      </c>
      <c r="R165" s="49"/>
      <c r="S165" s="49"/>
      <c r="T165" s="49"/>
      <c r="U165" s="49"/>
      <c r="V165" s="49"/>
    </row>
    <row r="166" spans="3:22">
      <c r="C166" s="56" t="s">
        <v>1976</v>
      </c>
      <c r="D166" s="55" t="s">
        <v>2146</v>
      </c>
      <c r="E166" s="55" t="s">
        <v>2259</v>
      </c>
      <c r="F166" s="55" t="s">
        <v>2154</v>
      </c>
      <c r="G166" s="55">
        <v>2</v>
      </c>
      <c r="H166" s="55" t="s">
        <v>355</v>
      </c>
      <c r="I166" s="55" t="s">
        <v>923</v>
      </c>
      <c r="J166" s="55" t="s">
        <v>1512</v>
      </c>
      <c r="K166" s="55"/>
      <c r="L166" s="55"/>
      <c r="M166" s="85" t="s">
        <v>1473</v>
      </c>
      <c r="N166" s="155"/>
      <c r="O166" s="163" t="s">
        <v>3776</v>
      </c>
      <c r="P166" s="82" t="s">
        <v>3774</v>
      </c>
      <c r="Q166" s="18" t="s">
        <v>3934</v>
      </c>
      <c r="R166" s="49"/>
      <c r="S166" s="49"/>
      <c r="T166" s="49"/>
      <c r="U166" s="49"/>
      <c r="V166" s="49"/>
    </row>
    <row r="167" spans="3:22">
      <c r="C167" s="56" t="s">
        <v>1977</v>
      </c>
      <c r="D167" s="34" t="s">
        <v>34</v>
      </c>
      <c r="E167" s="55" t="s">
        <v>2263</v>
      </c>
      <c r="F167" s="34" t="s">
        <v>996</v>
      </c>
      <c r="G167" s="34">
        <v>3</v>
      </c>
      <c r="H167" s="34" t="s">
        <v>362</v>
      </c>
      <c r="I167" s="34" t="s">
        <v>923</v>
      </c>
      <c r="J167" s="55" t="s">
        <v>1930</v>
      </c>
      <c r="K167" s="55"/>
      <c r="L167" s="55"/>
      <c r="M167" s="85" t="s">
        <v>1474</v>
      </c>
      <c r="N167" s="155"/>
      <c r="O167" s="163" t="s">
        <v>3778</v>
      </c>
      <c r="P167" s="82" t="s">
        <v>3777</v>
      </c>
      <c r="Q167" s="18" t="s">
        <v>3934</v>
      </c>
      <c r="R167" s="49"/>
      <c r="S167" s="49"/>
      <c r="T167" s="49"/>
      <c r="U167" s="49"/>
      <c r="V167" s="49"/>
    </row>
    <row r="168" spans="3:22">
      <c r="C168" s="56" t="s">
        <v>1978</v>
      </c>
      <c r="D168" s="34" t="s">
        <v>37</v>
      </c>
      <c r="E168" s="55" t="s">
        <v>3342</v>
      </c>
      <c r="F168" s="34" t="s">
        <v>3343</v>
      </c>
      <c r="G168" s="34">
        <v>3</v>
      </c>
      <c r="H168" s="34" t="s">
        <v>3344</v>
      </c>
      <c r="I168" s="55" t="s">
        <v>923</v>
      </c>
      <c r="J168" s="34" t="s">
        <v>3345</v>
      </c>
      <c r="K168" s="55" t="s">
        <v>3346</v>
      </c>
      <c r="L168" s="55"/>
      <c r="M168" s="85" t="s">
        <v>3347</v>
      </c>
      <c r="N168" s="155" t="s">
        <v>3780</v>
      </c>
      <c r="O168" s="163" t="s">
        <v>3779</v>
      </c>
      <c r="P168" s="82"/>
      <c r="Q168" s="18" t="s">
        <v>3934</v>
      </c>
      <c r="R168" s="49"/>
      <c r="S168" s="49"/>
      <c r="T168" s="49"/>
      <c r="U168" s="49"/>
      <c r="V168" s="49"/>
    </row>
    <row r="169" spans="3:22">
      <c r="C169" s="56" t="s">
        <v>1979</v>
      </c>
      <c r="D169" s="55" t="s">
        <v>2135</v>
      </c>
      <c r="E169" s="55" t="s">
        <v>2469</v>
      </c>
      <c r="F169" s="55" t="s">
        <v>2169</v>
      </c>
      <c r="G169" s="55">
        <v>3</v>
      </c>
      <c r="H169" s="55" t="s">
        <v>352</v>
      </c>
      <c r="I169" s="55" t="s">
        <v>1490</v>
      </c>
      <c r="J169" s="55"/>
      <c r="K169" s="55"/>
      <c r="L169" s="55"/>
      <c r="M169" s="85"/>
      <c r="N169" s="155"/>
      <c r="O169" s="163" t="s">
        <v>3783</v>
      </c>
      <c r="P169" s="82" t="s">
        <v>3782</v>
      </c>
      <c r="Q169" s="18" t="s">
        <v>3934</v>
      </c>
      <c r="R169" s="49"/>
      <c r="S169" s="49"/>
      <c r="T169" s="49"/>
      <c r="U169" s="49"/>
      <c r="V169" s="49"/>
    </row>
    <row r="170" spans="3:22">
      <c r="C170" s="56" t="s">
        <v>1980</v>
      </c>
      <c r="D170" s="55" t="s">
        <v>2143</v>
      </c>
      <c r="E170" s="55" t="s">
        <v>2758</v>
      </c>
      <c r="F170" s="55" t="s">
        <v>2169</v>
      </c>
      <c r="G170" s="55">
        <v>3</v>
      </c>
      <c r="H170" s="55" t="s">
        <v>375</v>
      </c>
      <c r="I170" s="55" t="s">
        <v>1493</v>
      </c>
      <c r="J170" s="55"/>
      <c r="K170" s="55"/>
      <c r="L170" s="55"/>
      <c r="M170" s="85"/>
      <c r="N170" s="155"/>
      <c r="O170" s="163" t="s">
        <v>3784</v>
      </c>
      <c r="P170" s="82"/>
      <c r="Q170" s="18" t="s">
        <v>3934</v>
      </c>
      <c r="R170" s="49"/>
      <c r="S170" s="49"/>
      <c r="T170" s="49"/>
      <c r="U170" s="49"/>
      <c r="V170" s="49"/>
    </row>
    <row r="171" spans="3:22">
      <c r="C171" s="56" t="s">
        <v>1981</v>
      </c>
      <c r="D171" s="55" t="s">
        <v>35</v>
      </c>
      <c r="E171" s="34" t="s">
        <v>3211</v>
      </c>
      <c r="F171" s="34" t="s">
        <v>3348</v>
      </c>
      <c r="G171" s="34">
        <v>4</v>
      </c>
      <c r="H171" s="34" t="s">
        <v>366</v>
      </c>
      <c r="I171" s="34" t="s">
        <v>3341</v>
      </c>
      <c r="J171" s="55"/>
      <c r="K171" s="55"/>
      <c r="L171" s="55"/>
      <c r="M171" s="85"/>
      <c r="N171" s="155"/>
      <c r="O171" s="163" t="s">
        <v>3566</v>
      </c>
      <c r="P171" s="82" t="s">
        <v>3785</v>
      </c>
      <c r="Q171" s="18" t="s">
        <v>3934</v>
      </c>
      <c r="R171" s="49"/>
      <c r="S171" s="49"/>
      <c r="T171" s="49"/>
      <c r="U171" s="49"/>
      <c r="V171" s="49"/>
    </row>
    <row r="172" spans="3:22">
      <c r="C172" s="56" t="s">
        <v>1982</v>
      </c>
      <c r="D172" s="34" t="s">
        <v>2103</v>
      </c>
      <c r="E172" s="55" t="s">
        <v>1076</v>
      </c>
      <c r="F172" s="55" t="s">
        <v>998</v>
      </c>
      <c r="G172" s="55">
        <v>4</v>
      </c>
      <c r="H172" s="55" t="s">
        <v>352</v>
      </c>
      <c r="I172" s="55" t="s">
        <v>923</v>
      </c>
      <c r="J172" s="55" t="s">
        <v>2087</v>
      </c>
      <c r="K172" s="55"/>
      <c r="L172" s="55"/>
      <c r="M172" s="85" t="s">
        <v>1475</v>
      </c>
      <c r="N172" s="155"/>
      <c r="O172" s="163"/>
      <c r="P172" s="82" t="s">
        <v>3786</v>
      </c>
      <c r="Q172" s="18" t="s">
        <v>3934</v>
      </c>
      <c r="R172" s="49"/>
      <c r="S172" s="49"/>
      <c r="T172" s="49"/>
      <c r="U172" s="49"/>
      <c r="V172" s="49"/>
    </row>
    <row r="173" spans="3:22">
      <c r="C173" s="56" t="s">
        <v>1983</v>
      </c>
      <c r="D173" s="34" t="s">
        <v>34</v>
      </c>
      <c r="E173" s="34" t="s">
        <v>2264</v>
      </c>
      <c r="F173" s="34" t="s">
        <v>1000</v>
      </c>
      <c r="G173" s="34">
        <v>4</v>
      </c>
      <c r="H173" s="34" t="s">
        <v>378</v>
      </c>
      <c r="I173" s="34" t="s">
        <v>1501</v>
      </c>
      <c r="J173" s="34"/>
      <c r="K173" s="55"/>
      <c r="L173" s="55"/>
      <c r="M173" s="85"/>
      <c r="N173" s="155"/>
      <c r="O173" s="163" t="s">
        <v>3787</v>
      </c>
      <c r="P173" s="82" t="s">
        <v>3785</v>
      </c>
      <c r="Q173" s="18" t="s">
        <v>3934</v>
      </c>
      <c r="R173" s="49"/>
      <c r="S173" s="49"/>
      <c r="T173" s="49"/>
      <c r="U173" s="49"/>
      <c r="V173" s="49"/>
    </row>
    <row r="174" spans="3:22" ht="14.25" thickBot="1">
      <c r="C174" s="53" t="s">
        <v>1984</v>
      </c>
      <c r="D174" s="54" t="s">
        <v>37</v>
      </c>
      <c r="E174" s="73" t="s">
        <v>2471</v>
      </c>
      <c r="F174" s="73" t="s">
        <v>2472</v>
      </c>
      <c r="G174" s="73">
        <v>6</v>
      </c>
      <c r="H174" s="54" t="s">
        <v>371</v>
      </c>
      <c r="I174" s="73" t="s">
        <v>923</v>
      </c>
      <c r="J174" s="54" t="s">
        <v>1712</v>
      </c>
      <c r="K174" s="54"/>
      <c r="L174" s="54"/>
      <c r="M174" s="93" t="s">
        <v>1482</v>
      </c>
      <c r="N174" s="164"/>
      <c r="O174" s="180" t="s">
        <v>3790</v>
      </c>
      <c r="P174" s="83" t="s">
        <v>3788</v>
      </c>
      <c r="Q174" s="18" t="s">
        <v>3934</v>
      </c>
      <c r="R174" s="49"/>
      <c r="S174" s="49"/>
      <c r="T174" s="49"/>
      <c r="U174" s="49"/>
      <c r="V174" s="49"/>
    </row>
    <row r="175" spans="3:22">
      <c r="C175" s="99" t="s">
        <v>2184</v>
      </c>
      <c r="D175" s="60" t="s">
        <v>2135</v>
      </c>
      <c r="E175" s="66" t="s">
        <v>2296</v>
      </c>
      <c r="F175" s="66" t="s">
        <v>3</v>
      </c>
      <c r="G175" s="60">
        <v>1</v>
      </c>
      <c r="H175" s="66" t="s">
        <v>283</v>
      </c>
      <c r="I175" s="66" t="s">
        <v>1501</v>
      </c>
      <c r="J175" s="60"/>
      <c r="K175" s="60"/>
      <c r="L175" s="60"/>
      <c r="M175" s="87"/>
      <c r="N175" s="158"/>
      <c r="O175" s="167"/>
      <c r="P175" s="84" t="s">
        <v>3666</v>
      </c>
      <c r="Q175" s="18" t="s">
        <v>3934</v>
      </c>
      <c r="R175" s="49"/>
      <c r="S175" s="49"/>
      <c r="T175" s="49"/>
      <c r="U175" s="49"/>
      <c r="V175" s="49"/>
    </row>
    <row r="176" spans="3:22">
      <c r="C176" s="56" t="s">
        <v>1994</v>
      </c>
      <c r="D176" s="55" t="s">
        <v>36</v>
      </c>
      <c r="E176" s="55" t="s">
        <v>2474</v>
      </c>
      <c r="F176" s="55" t="s">
        <v>1006</v>
      </c>
      <c r="G176" s="55">
        <v>2</v>
      </c>
      <c r="H176" s="55" t="s">
        <v>373</v>
      </c>
      <c r="I176" s="55" t="s">
        <v>923</v>
      </c>
      <c r="J176" s="55" t="s">
        <v>1596</v>
      </c>
      <c r="K176" s="55"/>
      <c r="L176" s="55"/>
      <c r="M176" s="85" t="s">
        <v>1473</v>
      </c>
      <c r="N176" s="155"/>
      <c r="O176" s="163" t="s">
        <v>3792</v>
      </c>
      <c r="P176" s="82" t="s">
        <v>3791</v>
      </c>
      <c r="Q176" s="18" t="s">
        <v>3934</v>
      </c>
      <c r="R176" s="49"/>
      <c r="S176" s="49"/>
      <c r="T176" s="49"/>
      <c r="U176" s="49"/>
      <c r="V176" s="49"/>
    </row>
    <row r="177" spans="3:22">
      <c r="C177" s="56" t="s">
        <v>1995</v>
      </c>
      <c r="D177" s="55" t="s">
        <v>2135</v>
      </c>
      <c r="E177" s="55" t="s">
        <v>2476</v>
      </c>
      <c r="F177" s="55" t="s">
        <v>1190</v>
      </c>
      <c r="G177" s="55">
        <v>2</v>
      </c>
      <c r="H177" s="55" t="s">
        <v>346</v>
      </c>
      <c r="I177" s="55" t="s">
        <v>1490</v>
      </c>
      <c r="J177" s="55"/>
      <c r="K177" s="55"/>
      <c r="L177" s="55"/>
      <c r="M177" s="85"/>
      <c r="N177" s="155"/>
      <c r="O177" s="163"/>
      <c r="P177" s="82" t="s">
        <v>3667</v>
      </c>
      <c r="Q177" s="18" t="s">
        <v>3934</v>
      </c>
      <c r="R177" s="49"/>
      <c r="S177" s="49"/>
      <c r="T177" s="49"/>
      <c r="U177" s="49"/>
      <c r="V177" s="49"/>
    </row>
    <row r="178" spans="3:22">
      <c r="C178" s="56" t="s">
        <v>1996</v>
      </c>
      <c r="D178" s="55" t="s">
        <v>35</v>
      </c>
      <c r="E178" s="55" t="s">
        <v>1378</v>
      </c>
      <c r="F178" s="55" t="s">
        <v>1191</v>
      </c>
      <c r="G178" s="55">
        <v>3</v>
      </c>
      <c r="H178" s="55" t="s">
        <v>364</v>
      </c>
      <c r="I178" s="55" t="s">
        <v>923</v>
      </c>
      <c r="J178" s="55" t="s">
        <v>2249</v>
      </c>
      <c r="K178" s="55"/>
      <c r="L178" s="55"/>
      <c r="M178" s="85" t="s">
        <v>1474</v>
      </c>
      <c r="N178" s="155" t="s">
        <v>3793</v>
      </c>
      <c r="O178" s="163" t="s">
        <v>3794</v>
      </c>
      <c r="P178" s="82"/>
      <c r="Q178" s="18" t="s">
        <v>3934</v>
      </c>
      <c r="R178" s="49"/>
      <c r="S178" s="49"/>
      <c r="T178" s="49"/>
      <c r="U178" s="49"/>
      <c r="V178" s="49"/>
    </row>
    <row r="179" spans="3:22">
      <c r="C179" s="56" t="s">
        <v>1997</v>
      </c>
      <c r="D179" s="55" t="s">
        <v>2146</v>
      </c>
      <c r="E179" s="55" t="s">
        <v>2260</v>
      </c>
      <c r="F179" s="55" t="s">
        <v>974</v>
      </c>
      <c r="G179" s="55">
        <v>3</v>
      </c>
      <c r="H179" s="55" t="s">
        <v>355</v>
      </c>
      <c r="I179" s="55" t="s">
        <v>923</v>
      </c>
      <c r="J179" s="55" t="s">
        <v>1512</v>
      </c>
      <c r="K179" s="55"/>
      <c r="L179" s="55"/>
      <c r="M179" s="85" t="s">
        <v>1475</v>
      </c>
      <c r="N179" s="155"/>
      <c r="O179" s="163" t="s">
        <v>3775</v>
      </c>
      <c r="P179" s="82" t="s">
        <v>3795</v>
      </c>
      <c r="Q179" s="18" t="s">
        <v>3934</v>
      </c>
      <c r="R179" s="49"/>
      <c r="S179" s="49"/>
      <c r="T179" s="49"/>
      <c r="U179" s="49"/>
      <c r="V179" s="49"/>
    </row>
    <row r="180" spans="3:22">
      <c r="C180" s="56" t="s">
        <v>1998</v>
      </c>
      <c r="D180" s="34" t="s">
        <v>2143</v>
      </c>
      <c r="E180" s="55" t="s">
        <v>790</v>
      </c>
      <c r="F180" s="55" t="s">
        <v>1009</v>
      </c>
      <c r="G180" s="55">
        <v>4</v>
      </c>
      <c r="H180" s="55" t="s">
        <v>352</v>
      </c>
      <c r="I180" s="55" t="s">
        <v>1501</v>
      </c>
      <c r="J180" s="55"/>
      <c r="K180" s="55"/>
      <c r="L180" s="55"/>
      <c r="M180" s="85"/>
      <c r="N180" s="155"/>
      <c r="O180" s="163"/>
      <c r="P180" s="82" t="s">
        <v>3668</v>
      </c>
      <c r="Q180" s="18" t="s">
        <v>3934</v>
      </c>
      <c r="R180" s="49"/>
      <c r="S180" s="49"/>
      <c r="T180" s="49"/>
      <c r="U180" s="49"/>
      <c r="V180" s="49"/>
    </row>
    <row r="181" spans="3:22">
      <c r="C181" s="56" t="s">
        <v>1999</v>
      </c>
      <c r="D181" s="34" t="s">
        <v>2103</v>
      </c>
      <c r="E181" s="55" t="s">
        <v>1091</v>
      </c>
      <c r="F181" s="55" t="s">
        <v>1008</v>
      </c>
      <c r="G181" s="55">
        <v>4</v>
      </c>
      <c r="H181" s="55" t="s">
        <v>352</v>
      </c>
      <c r="I181" s="55" t="s">
        <v>923</v>
      </c>
      <c r="J181" s="55" t="s">
        <v>2087</v>
      </c>
      <c r="K181" s="55"/>
      <c r="L181" s="55"/>
      <c r="M181" s="85" t="s">
        <v>1479</v>
      </c>
      <c r="N181" s="155"/>
      <c r="O181" s="163"/>
      <c r="P181" s="82" t="s">
        <v>2300</v>
      </c>
      <c r="Q181" s="18" t="s">
        <v>3934</v>
      </c>
      <c r="R181" s="49"/>
      <c r="S181" s="49"/>
      <c r="T181" s="49"/>
      <c r="U181" s="49"/>
      <c r="V181" s="49"/>
    </row>
    <row r="182" spans="3:22">
      <c r="C182" s="56" t="s">
        <v>2000</v>
      </c>
      <c r="D182" s="34" t="s">
        <v>2147</v>
      </c>
      <c r="E182" s="55" t="s">
        <v>2301</v>
      </c>
      <c r="F182" s="55" t="s">
        <v>1009</v>
      </c>
      <c r="G182" s="55">
        <v>4</v>
      </c>
      <c r="H182" s="55" t="s">
        <v>347</v>
      </c>
      <c r="I182" s="55" t="s">
        <v>1490</v>
      </c>
      <c r="J182" s="55" t="s">
        <v>2147</v>
      </c>
      <c r="K182" s="55"/>
      <c r="L182" s="55"/>
      <c r="M182" s="85"/>
      <c r="N182" s="155"/>
      <c r="O182" s="163" t="s">
        <v>3797</v>
      </c>
      <c r="P182" s="82" t="s">
        <v>3796</v>
      </c>
      <c r="Q182" s="18" t="s">
        <v>3934</v>
      </c>
      <c r="R182" s="49"/>
      <c r="S182" s="49"/>
      <c r="T182" s="49"/>
      <c r="U182" s="49"/>
      <c r="V182" s="49"/>
    </row>
    <row r="183" spans="3:22">
      <c r="C183" s="56" t="s">
        <v>2001</v>
      </c>
      <c r="D183" s="55" t="s">
        <v>35</v>
      </c>
      <c r="E183" s="55" t="s">
        <v>2478</v>
      </c>
      <c r="F183" s="55" t="s">
        <v>1404</v>
      </c>
      <c r="G183" s="55">
        <v>5</v>
      </c>
      <c r="H183" s="55" t="s">
        <v>357</v>
      </c>
      <c r="I183" s="55" t="s">
        <v>1501</v>
      </c>
      <c r="J183" s="55"/>
      <c r="K183" s="55"/>
      <c r="L183" s="55"/>
      <c r="M183" s="85"/>
      <c r="N183" s="155"/>
      <c r="O183" s="163"/>
      <c r="P183" s="82" t="s">
        <v>3669</v>
      </c>
      <c r="Q183" s="18" t="s">
        <v>3934</v>
      </c>
      <c r="R183" s="49"/>
      <c r="S183" s="49"/>
      <c r="T183" s="49"/>
      <c r="U183" s="49"/>
      <c r="V183" s="49"/>
    </row>
    <row r="184" spans="3:22">
      <c r="C184" s="56" t="s">
        <v>2002</v>
      </c>
      <c r="D184" s="34" t="s">
        <v>33</v>
      </c>
      <c r="E184" s="55" t="s">
        <v>2760</v>
      </c>
      <c r="F184" s="55" t="s">
        <v>1371</v>
      </c>
      <c r="G184" s="55">
        <v>6</v>
      </c>
      <c r="H184" s="55" t="s">
        <v>366</v>
      </c>
      <c r="I184" s="55" t="s">
        <v>1493</v>
      </c>
      <c r="J184" s="55" t="s">
        <v>1494</v>
      </c>
      <c r="K184" s="55"/>
      <c r="L184" s="55"/>
      <c r="M184" s="85"/>
      <c r="N184" s="155"/>
      <c r="O184" s="163"/>
      <c r="P184" s="82" t="s">
        <v>3670</v>
      </c>
      <c r="Q184" s="18" t="s">
        <v>3934</v>
      </c>
      <c r="R184" s="49"/>
      <c r="S184" s="49"/>
      <c r="T184" s="49"/>
      <c r="U184" s="49"/>
      <c r="V184" s="49"/>
    </row>
    <row r="185" spans="3:22" ht="14.25" thickBot="1">
      <c r="C185" s="53" t="s">
        <v>2003</v>
      </c>
      <c r="D185" s="54" t="s">
        <v>33</v>
      </c>
      <c r="E185" s="54" t="s">
        <v>1457</v>
      </c>
      <c r="F185" s="54" t="s">
        <v>1458</v>
      </c>
      <c r="G185" s="54">
        <v>7</v>
      </c>
      <c r="H185" s="54" t="s">
        <v>348</v>
      </c>
      <c r="I185" s="54" t="s">
        <v>923</v>
      </c>
      <c r="J185" s="54" t="s">
        <v>1414</v>
      </c>
      <c r="K185" s="54"/>
      <c r="L185" s="54"/>
      <c r="M185" s="93" t="s">
        <v>1479</v>
      </c>
      <c r="N185" s="164"/>
      <c r="O185" s="180" t="s">
        <v>3799</v>
      </c>
      <c r="P185" s="83" t="s">
        <v>3798</v>
      </c>
      <c r="Q185" s="18" t="s">
        <v>3934</v>
      </c>
      <c r="R185" s="49"/>
      <c r="S185" s="49"/>
      <c r="T185" s="49"/>
      <c r="U185" s="49"/>
      <c r="V185" s="49"/>
    </row>
    <row r="186" spans="3:22">
      <c r="C186" s="50" t="s">
        <v>2200</v>
      </c>
      <c r="D186" s="51" t="s">
        <v>37</v>
      </c>
      <c r="E186" s="51" t="s">
        <v>2480</v>
      </c>
      <c r="F186" s="51" t="s">
        <v>1012</v>
      </c>
      <c r="G186" s="51">
        <v>2</v>
      </c>
      <c r="H186" s="51" t="s">
        <v>222</v>
      </c>
      <c r="I186" s="51" t="s">
        <v>923</v>
      </c>
      <c r="J186" s="51" t="s">
        <v>1410</v>
      </c>
      <c r="K186" s="51" t="s">
        <v>2481</v>
      </c>
      <c r="L186" s="51"/>
      <c r="M186" s="92" t="s">
        <v>1473</v>
      </c>
      <c r="N186" s="156"/>
      <c r="O186" s="165" t="s">
        <v>3671</v>
      </c>
      <c r="P186" s="81"/>
      <c r="Q186" s="18" t="s">
        <v>3934</v>
      </c>
      <c r="R186" s="49"/>
      <c r="S186" s="49"/>
      <c r="T186" s="49"/>
      <c r="U186" s="49"/>
      <c r="V186" s="49"/>
    </row>
    <row r="187" spans="3:22">
      <c r="C187" s="56" t="s">
        <v>2013</v>
      </c>
      <c r="D187" s="55" t="s">
        <v>2135</v>
      </c>
      <c r="E187" s="55" t="s">
        <v>2316</v>
      </c>
      <c r="F187" s="55" t="s">
        <v>1012</v>
      </c>
      <c r="G187" s="55">
        <v>2</v>
      </c>
      <c r="H187" s="55" t="s">
        <v>221</v>
      </c>
      <c r="I187" s="34" t="s">
        <v>1501</v>
      </c>
      <c r="J187" s="55"/>
      <c r="K187" s="55"/>
      <c r="L187" s="55"/>
      <c r="M187" s="85"/>
      <c r="N187" s="157"/>
      <c r="O187" s="166"/>
      <c r="P187" s="170" t="s">
        <v>2317</v>
      </c>
      <c r="Q187" s="18" t="s">
        <v>3934</v>
      </c>
      <c r="R187" s="49"/>
      <c r="S187" s="49"/>
      <c r="T187" s="49"/>
      <c r="U187" s="49"/>
      <c r="V187" s="49"/>
    </row>
    <row r="188" spans="3:22">
      <c r="C188" s="56" t="s">
        <v>2014</v>
      </c>
      <c r="D188" s="34" t="s">
        <v>2147</v>
      </c>
      <c r="E188" s="55" t="s">
        <v>2255</v>
      </c>
      <c r="F188" s="55" t="s">
        <v>1012</v>
      </c>
      <c r="G188" s="55">
        <v>2</v>
      </c>
      <c r="H188" s="55" t="s">
        <v>2304</v>
      </c>
      <c r="I188" s="55" t="s">
        <v>1490</v>
      </c>
      <c r="J188" s="55" t="s">
        <v>2147</v>
      </c>
      <c r="K188" s="55"/>
      <c r="L188" s="55"/>
      <c r="M188" s="85"/>
      <c r="N188" s="157"/>
      <c r="O188" s="166" t="s">
        <v>3801</v>
      </c>
      <c r="P188" s="170" t="s">
        <v>3800</v>
      </c>
      <c r="Q188" s="18" t="s">
        <v>3934</v>
      </c>
      <c r="R188" s="49"/>
      <c r="S188" s="49"/>
      <c r="T188" s="49"/>
      <c r="U188" s="49"/>
      <c r="V188" s="49"/>
    </row>
    <row r="189" spans="3:22">
      <c r="C189" s="56" t="s">
        <v>2015</v>
      </c>
      <c r="D189" s="55" t="s">
        <v>36</v>
      </c>
      <c r="E189" s="55" t="s">
        <v>2313</v>
      </c>
      <c r="F189" s="55" t="s">
        <v>2314</v>
      </c>
      <c r="G189" s="55">
        <v>3</v>
      </c>
      <c r="H189" s="55" t="s">
        <v>373</v>
      </c>
      <c r="I189" s="55" t="s">
        <v>2762</v>
      </c>
      <c r="J189" s="55" t="s">
        <v>1410</v>
      </c>
      <c r="K189" s="55" t="s">
        <v>2187</v>
      </c>
      <c r="L189" s="55"/>
      <c r="M189" s="85" t="s">
        <v>1483</v>
      </c>
      <c r="N189" s="157"/>
      <c r="O189" s="166"/>
      <c r="P189" s="170" t="s">
        <v>3672</v>
      </c>
      <c r="Q189" s="18" t="s">
        <v>3934</v>
      </c>
      <c r="R189" s="49"/>
      <c r="S189" s="49"/>
      <c r="T189" s="49"/>
      <c r="U189" s="49"/>
      <c r="V189" s="49"/>
    </row>
    <row r="190" spans="3:22">
      <c r="C190" s="56" t="s">
        <v>2016</v>
      </c>
      <c r="D190" s="55" t="s">
        <v>36</v>
      </c>
      <c r="E190" s="55" t="s">
        <v>254</v>
      </c>
      <c r="F190" s="55" t="s">
        <v>1014</v>
      </c>
      <c r="G190" s="55">
        <v>3</v>
      </c>
      <c r="H190" s="55" t="s">
        <v>347</v>
      </c>
      <c r="I190" s="55" t="s">
        <v>923</v>
      </c>
      <c r="J190" s="55" t="s">
        <v>1410</v>
      </c>
      <c r="K190" s="55" t="s">
        <v>2132</v>
      </c>
      <c r="L190" s="55"/>
      <c r="M190" s="85" t="s">
        <v>1474</v>
      </c>
      <c r="N190" s="155"/>
      <c r="O190" s="163" t="s">
        <v>3584</v>
      </c>
      <c r="P190" s="82" t="s">
        <v>3802</v>
      </c>
      <c r="Q190" s="18" t="s">
        <v>3934</v>
      </c>
      <c r="R190" s="49"/>
      <c r="S190" s="49"/>
      <c r="T190" s="49"/>
      <c r="U190" s="49"/>
      <c r="V190" s="49"/>
    </row>
    <row r="191" spans="3:22">
      <c r="C191" s="56" t="s">
        <v>2017</v>
      </c>
      <c r="D191" s="34" t="s">
        <v>34</v>
      </c>
      <c r="E191" s="55" t="s">
        <v>2607</v>
      </c>
      <c r="F191" s="55" t="s">
        <v>1014</v>
      </c>
      <c r="G191" s="55">
        <v>3</v>
      </c>
      <c r="H191" s="55" t="s">
        <v>353</v>
      </c>
      <c r="I191" s="55" t="s">
        <v>923</v>
      </c>
      <c r="J191" s="55" t="s">
        <v>1930</v>
      </c>
      <c r="K191" s="55"/>
      <c r="L191" s="55"/>
      <c r="M191" s="85" t="s">
        <v>2308</v>
      </c>
      <c r="N191" s="157"/>
      <c r="O191" s="166" t="s">
        <v>3804</v>
      </c>
      <c r="P191" s="170" t="s">
        <v>3803</v>
      </c>
      <c r="Q191" s="18" t="s">
        <v>3934</v>
      </c>
      <c r="R191" s="49"/>
      <c r="S191" s="49"/>
      <c r="T191" s="49"/>
      <c r="U191" s="49"/>
      <c r="V191" s="49"/>
    </row>
    <row r="192" spans="3:22">
      <c r="C192" s="56" t="s">
        <v>2018</v>
      </c>
      <c r="D192" s="34" t="s">
        <v>2146</v>
      </c>
      <c r="E192" s="55" t="s">
        <v>2257</v>
      </c>
      <c r="F192" s="55" t="s">
        <v>1016</v>
      </c>
      <c r="G192" s="55">
        <v>4</v>
      </c>
      <c r="H192" s="55" t="s">
        <v>355</v>
      </c>
      <c r="I192" s="55" t="s">
        <v>923</v>
      </c>
      <c r="J192" s="55" t="s">
        <v>1512</v>
      </c>
      <c r="K192" s="55"/>
      <c r="L192" s="55"/>
      <c r="M192" s="85" t="s">
        <v>2308</v>
      </c>
      <c r="N192" s="157" t="s">
        <v>3781</v>
      </c>
      <c r="O192" s="166" t="s">
        <v>3673</v>
      </c>
      <c r="P192" s="170"/>
      <c r="Q192" s="18" t="s">
        <v>3934</v>
      </c>
      <c r="R192" s="49"/>
      <c r="S192" s="49"/>
      <c r="T192" s="49"/>
      <c r="U192" s="49"/>
      <c r="V192" s="49"/>
    </row>
    <row r="193" spans="3:22">
      <c r="C193" s="56" t="s">
        <v>2019</v>
      </c>
      <c r="D193" s="34" t="s">
        <v>2143</v>
      </c>
      <c r="E193" s="55" t="s">
        <v>2483</v>
      </c>
      <c r="F193" s="55" t="s">
        <v>1187</v>
      </c>
      <c r="G193" s="55">
        <v>4</v>
      </c>
      <c r="H193" s="55" t="s">
        <v>370</v>
      </c>
      <c r="I193" s="34" t="s">
        <v>923</v>
      </c>
      <c r="J193" s="55" t="s">
        <v>2484</v>
      </c>
      <c r="K193" s="55"/>
      <c r="L193" s="55"/>
      <c r="M193" s="85" t="s">
        <v>1583</v>
      </c>
      <c r="N193" s="155" t="s">
        <v>3805</v>
      </c>
      <c r="O193" s="163" t="s">
        <v>3674</v>
      </c>
      <c r="P193" s="82"/>
      <c r="Q193" s="18" t="s">
        <v>3934</v>
      </c>
      <c r="R193" s="49"/>
      <c r="S193" s="49"/>
      <c r="T193" s="49"/>
      <c r="U193" s="49"/>
      <c r="V193" s="49"/>
    </row>
    <row r="194" spans="3:22">
      <c r="C194" s="56" t="s">
        <v>2020</v>
      </c>
      <c r="D194" s="55" t="s">
        <v>2135</v>
      </c>
      <c r="E194" s="34" t="s">
        <v>2318</v>
      </c>
      <c r="F194" s="34" t="s">
        <v>1016</v>
      </c>
      <c r="G194" s="34">
        <v>4</v>
      </c>
      <c r="H194" s="34" t="s">
        <v>344</v>
      </c>
      <c r="I194" s="34" t="s">
        <v>1490</v>
      </c>
      <c r="J194" s="55"/>
      <c r="K194" s="55"/>
      <c r="L194" s="55"/>
      <c r="M194" s="85"/>
      <c r="N194" s="157"/>
      <c r="O194" s="166" t="s">
        <v>3807</v>
      </c>
      <c r="P194" s="170" t="s">
        <v>3806</v>
      </c>
      <c r="Q194" s="18" t="s">
        <v>3934</v>
      </c>
      <c r="R194" s="49"/>
      <c r="S194" s="49"/>
      <c r="T194" s="49"/>
      <c r="U194" s="49"/>
      <c r="V194" s="49"/>
    </row>
    <row r="195" spans="3:22">
      <c r="C195" s="56" t="s">
        <v>2021</v>
      </c>
      <c r="D195" s="55" t="s">
        <v>2103</v>
      </c>
      <c r="E195" s="55" t="s">
        <v>1102</v>
      </c>
      <c r="F195" s="55" t="s">
        <v>1021</v>
      </c>
      <c r="G195" s="55">
        <v>6</v>
      </c>
      <c r="H195" s="55" t="s">
        <v>352</v>
      </c>
      <c r="I195" s="55" t="s">
        <v>923</v>
      </c>
      <c r="J195" s="55" t="s">
        <v>2087</v>
      </c>
      <c r="K195" s="55"/>
      <c r="L195" s="55"/>
      <c r="M195" s="85" t="s">
        <v>1479</v>
      </c>
      <c r="N195" s="155"/>
      <c r="O195" s="163" t="s">
        <v>2310</v>
      </c>
      <c r="P195" s="82"/>
      <c r="Q195" s="18" t="s">
        <v>3934</v>
      </c>
      <c r="R195" s="49"/>
      <c r="S195" s="49"/>
      <c r="T195" s="49"/>
      <c r="U195" s="49"/>
      <c r="V195" s="49"/>
    </row>
    <row r="196" spans="3:22" ht="14.25" thickBot="1">
      <c r="C196" s="53" t="s">
        <v>2022</v>
      </c>
      <c r="D196" s="54" t="s">
        <v>34</v>
      </c>
      <c r="E196" s="54" t="s">
        <v>2262</v>
      </c>
      <c r="F196" s="54" t="s">
        <v>2311</v>
      </c>
      <c r="G196" s="54">
        <v>6</v>
      </c>
      <c r="H196" s="54" t="s">
        <v>278</v>
      </c>
      <c r="I196" s="54" t="s">
        <v>1501</v>
      </c>
      <c r="J196" s="54"/>
      <c r="K196" s="54"/>
      <c r="L196" s="54"/>
      <c r="M196" s="93"/>
      <c r="N196" s="164"/>
      <c r="O196" s="180"/>
      <c r="P196" s="83" t="s">
        <v>3675</v>
      </c>
      <c r="Q196" s="18" t="s">
        <v>3934</v>
      </c>
      <c r="R196" s="49"/>
      <c r="S196" s="49"/>
      <c r="T196" s="49"/>
      <c r="U196" s="49"/>
      <c r="V196" s="49"/>
    </row>
    <row r="197" spans="3:22">
      <c r="C197" s="50" t="s">
        <v>2217</v>
      </c>
      <c r="D197" s="68" t="s">
        <v>37</v>
      </c>
      <c r="E197" s="68" t="s">
        <v>2329</v>
      </c>
      <c r="F197" s="68" t="s">
        <v>28</v>
      </c>
      <c r="G197" s="68">
        <v>1</v>
      </c>
      <c r="H197" s="68" t="s">
        <v>371</v>
      </c>
      <c r="I197" s="68" t="s">
        <v>923</v>
      </c>
      <c r="J197" s="51" t="s">
        <v>1410</v>
      </c>
      <c r="K197" s="51" t="s">
        <v>2330</v>
      </c>
      <c r="L197" s="51"/>
      <c r="M197" s="92" t="s">
        <v>1473</v>
      </c>
      <c r="N197" s="156"/>
      <c r="O197" s="165" t="s">
        <v>3808</v>
      </c>
      <c r="P197" s="81" t="s">
        <v>3809</v>
      </c>
      <c r="Q197" s="18" t="s">
        <v>3934</v>
      </c>
      <c r="R197" s="49"/>
      <c r="S197" s="49"/>
      <c r="T197" s="49"/>
      <c r="U197" s="49"/>
      <c r="V197" s="49"/>
    </row>
    <row r="198" spans="3:22">
      <c r="C198" s="56" t="s">
        <v>2032</v>
      </c>
      <c r="D198" s="34" t="s">
        <v>2143</v>
      </c>
      <c r="E198" s="55" t="s">
        <v>2764</v>
      </c>
      <c r="F198" s="55" t="s">
        <v>1024</v>
      </c>
      <c r="G198" s="34">
        <v>2</v>
      </c>
      <c r="H198" s="55" t="s">
        <v>359</v>
      </c>
      <c r="I198" s="55" t="s">
        <v>1493</v>
      </c>
      <c r="J198" s="55"/>
      <c r="K198" s="55"/>
      <c r="L198" s="55"/>
      <c r="M198" s="85"/>
      <c r="N198" s="155"/>
      <c r="O198" s="163" t="s">
        <v>1729</v>
      </c>
      <c r="P198" s="82" t="s">
        <v>3810</v>
      </c>
      <c r="Q198" s="18" t="s">
        <v>3934</v>
      </c>
      <c r="R198" s="49"/>
      <c r="S198" s="49"/>
      <c r="T198" s="49"/>
      <c r="U198" s="49"/>
      <c r="V198" s="49"/>
    </row>
    <row r="199" spans="3:22">
      <c r="C199" s="56" t="s">
        <v>2033</v>
      </c>
      <c r="D199" s="55" t="s">
        <v>2135</v>
      </c>
      <c r="E199" s="55" t="s">
        <v>2486</v>
      </c>
      <c r="F199" s="55" t="s">
        <v>1024</v>
      </c>
      <c r="G199" s="55">
        <v>2</v>
      </c>
      <c r="H199" s="55" t="s">
        <v>375</v>
      </c>
      <c r="I199" s="55" t="s">
        <v>1490</v>
      </c>
      <c r="J199" s="55"/>
      <c r="K199" s="55"/>
      <c r="L199" s="55"/>
      <c r="M199" s="85"/>
      <c r="N199" s="155"/>
      <c r="O199" s="163" t="s">
        <v>3811</v>
      </c>
      <c r="P199" s="82" t="s">
        <v>3812</v>
      </c>
      <c r="Q199" s="18" t="s">
        <v>3934</v>
      </c>
      <c r="R199" s="49"/>
      <c r="S199" s="49"/>
      <c r="T199" s="49"/>
      <c r="U199" s="49"/>
      <c r="V199" s="49"/>
    </row>
    <row r="200" spans="3:22">
      <c r="C200" s="56" t="s">
        <v>2034</v>
      </c>
      <c r="D200" s="55" t="s">
        <v>2135</v>
      </c>
      <c r="E200" s="55" t="s">
        <v>2488</v>
      </c>
      <c r="F200" s="55" t="s">
        <v>1026</v>
      </c>
      <c r="G200" s="55">
        <v>3</v>
      </c>
      <c r="H200" s="55" t="s">
        <v>353</v>
      </c>
      <c r="I200" s="55" t="s">
        <v>923</v>
      </c>
      <c r="J200" s="55" t="s">
        <v>1410</v>
      </c>
      <c r="K200" s="55" t="s">
        <v>1519</v>
      </c>
      <c r="L200" s="55"/>
      <c r="M200" s="85" t="s">
        <v>1475</v>
      </c>
      <c r="N200" s="155"/>
      <c r="O200" s="163" t="s">
        <v>3813</v>
      </c>
      <c r="P200" s="82" t="s">
        <v>3814</v>
      </c>
      <c r="Q200" s="18" t="s">
        <v>3934</v>
      </c>
      <c r="R200" s="49"/>
      <c r="S200" s="49"/>
      <c r="T200" s="49"/>
      <c r="U200" s="49"/>
      <c r="V200" s="49"/>
    </row>
    <row r="201" spans="3:22">
      <c r="C201" s="56" t="s">
        <v>2035</v>
      </c>
      <c r="D201" s="55" t="s">
        <v>37</v>
      </c>
      <c r="E201" s="55" t="s">
        <v>2320</v>
      </c>
      <c r="F201" s="55" t="s">
        <v>1027</v>
      </c>
      <c r="G201" s="55">
        <v>4</v>
      </c>
      <c r="H201" s="55" t="s">
        <v>376</v>
      </c>
      <c r="I201" s="55" t="s">
        <v>1501</v>
      </c>
      <c r="J201" s="55"/>
      <c r="K201" s="55"/>
      <c r="L201" s="55"/>
      <c r="M201" s="85"/>
      <c r="N201" s="155"/>
      <c r="O201" s="163"/>
      <c r="P201" s="82" t="s">
        <v>3676</v>
      </c>
      <c r="Q201" s="18" t="s">
        <v>3934</v>
      </c>
      <c r="R201" s="49"/>
      <c r="S201" s="49"/>
      <c r="T201" s="49"/>
      <c r="U201" s="49"/>
      <c r="V201" s="49"/>
    </row>
    <row r="202" spans="3:22">
      <c r="C202" s="56" t="s">
        <v>2036</v>
      </c>
      <c r="D202" s="34" t="s">
        <v>35</v>
      </c>
      <c r="E202" s="55" t="s">
        <v>1382</v>
      </c>
      <c r="F202" s="55" t="s">
        <v>1367</v>
      </c>
      <c r="G202" s="55">
        <v>4</v>
      </c>
      <c r="H202" s="55" t="s">
        <v>366</v>
      </c>
      <c r="I202" s="55" t="s">
        <v>1501</v>
      </c>
      <c r="J202" s="55"/>
      <c r="K202" s="55"/>
      <c r="L202" s="55"/>
      <c r="M202" s="85"/>
      <c r="N202" s="155"/>
      <c r="O202" s="163" t="s">
        <v>1255</v>
      </c>
      <c r="P202" s="82" t="s">
        <v>3815</v>
      </c>
      <c r="Q202" s="18" t="s">
        <v>3934</v>
      </c>
      <c r="R202" s="49"/>
      <c r="S202" s="49"/>
      <c r="T202" s="49"/>
      <c r="U202" s="49"/>
      <c r="V202" s="49"/>
    </row>
    <row r="203" spans="3:22">
      <c r="C203" s="56" t="s">
        <v>2037</v>
      </c>
      <c r="D203" s="34" t="s">
        <v>2146</v>
      </c>
      <c r="E203" s="55" t="s">
        <v>2258</v>
      </c>
      <c r="F203" s="55" t="s">
        <v>1028</v>
      </c>
      <c r="G203" s="55">
        <v>5</v>
      </c>
      <c r="H203" s="55" t="s">
        <v>355</v>
      </c>
      <c r="I203" s="55" t="s">
        <v>923</v>
      </c>
      <c r="J203" s="55" t="s">
        <v>1512</v>
      </c>
      <c r="K203" s="55"/>
      <c r="L203" s="55"/>
      <c r="M203" s="85" t="s">
        <v>2323</v>
      </c>
      <c r="N203" s="155" t="s">
        <v>3781</v>
      </c>
      <c r="O203" s="163" t="s">
        <v>3677</v>
      </c>
      <c r="P203" s="82"/>
      <c r="Q203" s="18" t="s">
        <v>3934</v>
      </c>
      <c r="R203" s="49"/>
      <c r="S203" s="49"/>
      <c r="T203" s="49"/>
      <c r="U203" s="49"/>
      <c r="V203" s="49"/>
    </row>
    <row r="204" spans="3:22">
      <c r="C204" s="56" t="s">
        <v>2038</v>
      </c>
      <c r="D204" s="55" t="s">
        <v>2103</v>
      </c>
      <c r="E204" s="34" t="s">
        <v>1113</v>
      </c>
      <c r="F204" s="34" t="s">
        <v>1028</v>
      </c>
      <c r="G204" s="34">
        <v>5</v>
      </c>
      <c r="H204" s="34" t="s">
        <v>352</v>
      </c>
      <c r="I204" s="55" t="s">
        <v>923</v>
      </c>
      <c r="J204" s="34" t="s">
        <v>2087</v>
      </c>
      <c r="K204" s="34"/>
      <c r="L204" s="55"/>
      <c r="M204" s="85" t="s">
        <v>1475</v>
      </c>
      <c r="N204" s="155"/>
      <c r="O204" s="163"/>
      <c r="P204" s="82" t="s">
        <v>989</v>
      </c>
      <c r="Q204" s="18" t="s">
        <v>3934</v>
      </c>
      <c r="R204" s="49"/>
      <c r="S204" s="49"/>
      <c r="T204" s="49"/>
      <c r="U204" s="49"/>
      <c r="V204" s="49"/>
    </row>
    <row r="205" spans="3:22">
      <c r="C205" s="56" t="s">
        <v>2039</v>
      </c>
      <c r="D205" s="55" t="s">
        <v>2147</v>
      </c>
      <c r="E205" s="55" t="s">
        <v>2325</v>
      </c>
      <c r="F205" s="55" t="s">
        <v>1028</v>
      </c>
      <c r="G205" s="55">
        <v>5</v>
      </c>
      <c r="H205" s="55" t="s">
        <v>347</v>
      </c>
      <c r="I205" s="55" t="s">
        <v>1490</v>
      </c>
      <c r="J205" s="55" t="s">
        <v>2147</v>
      </c>
      <c r="K205" s="55"/>
      <c r="L205" s="55"/>
      <c r="M205" s="85"/>
      <c r="N205" s="155"/>
      <c r="O205" s="163"/>
      <c r="P205" s="82" t="s">
        <v>2326</v>
      </c>
      <c r="Q205" s="18" t="s">
        <v>3934</v>
      </c>
      <c r="R205" s="49"/>
      <c r="S205" s="49"/>
      <c r="T205" s="49"/>
      <c r="U205" s="49"/>
      <c r="V205" s="49"/>
    </row>
    <row r="206" spans="3:22">
      <c r="C206" s="56" t="s">
        <v>2040</v>
      </c>
      <c r="D206" s="55" t="s">
        <v>35</v>
      </c>
      <c r="E206" s="55" t="s">
        <v>1386</v>
      </c>
      <c r="F206" s="55" t="s">
        <v>1387</v>
      </c>
      <c r="G206" s="55">
        <v>6</v>
      </c>
      <c r="H206" s="55" t="s">
        <v>366</v>
      </c>
      <c r="I206" s="55" t="s">
        <v>923</v>
      </c>
      <c r="J206" s="55" t="s">
        <v>1659</v>
      </c>
      <c r="K206" s="55"/>
      <c r="L206" s="55"/>
      <c r="M206" s="85" t="s">
        <v>2327</v>
      </c>
      <c r="N206" s="155"/>
      <c r="O206" s="163" t="s">
        <v>3817</v>
      </c>
      <c r="P206" s="82" t="s">
        <v>3816</v>
      </c>
      <c r="Q206" s="18" t="s">
        <v>3934</v>
      </c>
      <c r="R206" s="49"/>
      <c r="S206" s="49"/>
      <c r="T206" s="49"/>
      <c r="U206" s="49"/>
      <c r="V206" s="49"/>
    </row>
    <row r="207" spans="3:22" ht="14.25" thickBot="1">
      <c r="C207" s="53" t="s">
        <v>2041</v>
      </c>
      <c r="D207" s="54" t="s">
        <v>33</v>
      </c>
      <c r="E207" s="54" t="s">
        <v>1464</v>
      </c>
      <c r="F207" s="54" t="s">
        <v>1465</v>
      </c>
      <c r="G207" s="54">
        <v>9</v>
      </c>
      <c r="H207" s="54" t="s">
        <v>348</v>
      </c>
      <c r="I207" s="54" t="s">
        <v>923</v>
      </c>
      <c r="J207" s="54" t="s">
        <v>1414</v>
      </c>
      <c r="K207" s="54"/>
      <c r="L207" s="54"/>
      <c r="M207" s="93" t="s">
        <v>1486</v>
      </c>
      <c r="N207" s="164"/>
      <c r="O207" s="180" t="s">
        <v>3678</v>
      </c>
      <c r="P207" s="83"/>
      <c r="Q207" s="18" t="s">
        <v>3934</v>
      </c>
      <c r="R207" s="49"/>
      <c r="S207" s="49"/>
      <c r="T207" s="49"/>
      <c r="U207" s="49"/>
      <c r="V207" s="49"/>
    </row>
    <row r="208" spans="3:22">
      <c r="C208" s="50" t="s">
        <v>2332</v>
      </c>
      <c r="D208" s="68" t="s">
        <v>2103</v>
      </c>
      <c r="E208" s="51" t="s">
        <v>1116</v>
      </c>
      <c r="F208" s="51" t="s">
        <v>1032</v>
      </c>
      <c r="G208" s="51">
        <v>3</v>
      </c>
      <c r="H208" s="51" t="s">
        <v>352</v>
      </c>
      <c r="I208" s="51" t="s">
        <v>923</v>
      </c>
      <c r="J208" s="51" t="s">
        <v>2087</v>
      </c>
      <c r="K208" s="51"/>
      <c r="L208" s="51"/>
      <c r="M208" s="92" t="s">
        <v>1475</v>
      </c>
      <c r="N208" s="156"/>
      <c r="O208" s="165"/>
      <c r="P208" s="81" t="s">
        <v>2333</v>
      </c>
      <c r="Q208" s="18" t="s">
        <v>3934</v>
      </c>
      <c r="R208" s="49"/>
      <c r="S208" s="49"/>
      <c r="T208" s="49"/>
      <c r="U208" s="49"/>
      <c r="V208" s="49"/>
    </row>
    <row r="209" spans="3:22">
      <c r="C209" s="56" t="s">
        <v>2334</v>
      </c>
      <c r="D209" s="34" t="s">
        <v>2103</v>
      </c>
      <c r="E209" s="55" t="s">
        <v>1118</v>
      </c>
      <c r="F209" s="55" t="s">
        <v>1034</v>
      </c>
      <c r="G209" s="55">
        <v>5</v>
      </c>
      <c r="H209" s="55" t="s">
        <v>352</v>
      </c>
      <c r="I209" s="55" t="s">
        <v>923</v>
      </c>
      <c r="J209" s="55" t="s">
        <v>2087</v>
      </c>
      <c r="K209" s="55"/>
      <c r="L209" s="55"/>
      <c r="M209" s="85" t="s">
        <v>1479</v>
      </c>
      <c r="N209" s="155"/>
      <c r="O209" s="163"/>
      <c r="P209" s="82" t="s">
        <v>3679</v>
      </c>
      <c r="Q209" s="18" t="s">
        <v>3934</v>
      </c>
      <c r="R209" s="49"/>
      <c r="S209" s="49"/>
      <c r="T209" s="49"/>
      <c r="U209" s="49"/>
      <c r="V209" s="49"/>
    </row>
    <row r="210" spans="3:22">
      <c r="C210" s="56" t="s">
        <v>2335</v>
      </c>
      <c r="D210" s="34" t="s">
        <v>2103</v>
      </c>
      <c r="E210" s="55" t="s">
        <v>1120</v>
      </c>
      <c r="F210" s="55" t="s">
        <v>8</v>
      </c>
      <c r="G210" s="55">
        <v>2</v>
      </c>
      <c r="H210" s="55" t="s">
        <v>352</v>
      </c>
      <c r="I210" s="55" t="s">
        <v>923</v>
      </c>
      <c r="J210" s="55" t="s">
        <v>2087</v>
      </c>
      <c r="K210" s="55"/>
      <c r="L210" s="55"/>
      <c r="M210" s="85" t="s">
        <v>1475</v>
      </c>
      <c r="N210" s="155"/>
      <c r="O210" s="163"/>
      <c r="P210" s="82" t="s">
        <v>2336</v>
      </c>
      <c r="Q210" s="18" t="s">
        <v>3934</v>
      </c>
      <c r="R210" s="49"/>
      <c r="S210" s="49"/>
      <c r="T210" s="49"/>
      <c r="U210" s="49"/>
      <c r="V210" s="49"/>
    </row>
    <row r="211" spans="3:22">
      <c r="C211" s="56" t="s">
        <v>2337</v>
      </c>
      <c r="D211" s="34" t="s">
        <v>2103</v>
      </c>
      <c r="E211" s="55" t="s">
        <v>1121</v>
      </c>
      <c r="F211" s="55" t="s">
        <v>1038</v>
      </c>
      <c r="G211" s="55">
        <v>3</v>
      </c>
      <c r="H211" s="55" t="s">
        <v>352</v>
      </c>
      <c r="I211" s="55" t="s">
        <v>923</v>
      </c>
      <c r="J211" s="55" t="s">
        <v>2087</v>
      </c>
      <c r="K211" s="55"/>
      <c r="L211" s="55"/>
      <c r="M211" s="85" t="s">
        <v>1473</v>
      </c>
      <c r="N211" s="155"/>
      <c r="O211" s="163"/>
      <c r="P211" s="82" t="s">
        <v>3680</v>
      </c>
      <c r="Q211" s="18" t="s">
        <v>3934</v>
      </c>
      <c r="R211" s="49"/>
      <c r="S211" s="49"/>
      <c r="T211" s="49"/>
      <c r="U211" s="49"/>
      <c r="V211" s="49"/>
    </row>
    <row r="212" spans="3:22" ht="14.25" thickBot="1">
      <c r="C212" s="39" t="s">
        <v>2339</v>
      </c>
      <c r="D212" s="120" t="s">
        <v>2103</v>
      </c>
      <c r="E212" s="40" t="s">
        <v>1123</v>
      </c>
      <c r="F212" s="40" t="s">
        <v>1041</v>
      </c>
      <c r="G212" s="40">
        <v>3</v>
      </c>
      <c r="H212" s="40" t="s">
        <v>352</v>
      </c>
      <c r="I212" s="40" t="s">
        <v>923</v>
      </c>
      <c r="J212" s="40" t="s">
        <v>2087</v>
      </c>
      <c r="K212" s="40"/>
      <c r="L212" s="40"/>
      <c r="M212" s="116" t="s">
        <v>1473</v>
      </c>
      <c r="N212" s="168" t="s">
        <v>3818</v>
      </c>
      <c r="O212" s="181"/>
      <c r="P212" s="169"/>
      <c r="Q212" s="18" t="s">
        <v>3934</v>
      </c>
      <c r="R212" s="49"/>
      <c r="S212" s="49"/>
      <c r="T212" s="49"/>
      <c r="U212" s="49"/>
      <c r="V212" s="49"/>
    </row>
    <row r="213" spans="3:22">
      <c r="C213" s="67" t="s">
        <v>2231</v>
      </c>
      <c r="D213" s="68" t="s">
        <v>2103</v>
      </c>
      <c r="E213" s="51" t="s">
        <v>1125</v>
      </c>
      <c r="F213" s="51" t="s">
        <v>1044</v>
      </c>
      <c r="G213" s="51">
        <v>3</v>
      </c>
      <c r="H213" s="51" t="s">
        <v>353</v>
      </c>
      <c r="I213" s="51" t="s">
        <v>923</v>
      </c>
      <c r="J213" s="51" t="s">
        <v>2087</v>
      </c>
      <c r="K213" s="51"/>
      <c r="L213" s="51"/>
      <c r="M213" s="92" t="s">
        <v>1475</v>
      </c>
      <c r="N213" s="159"/>
      <c r="O213" s="171"/>
      <c r="P213" s="176" t="s">
        <v>3681</v>
      </c>
      <c r="Q213" s="18" t="s">
        <v>3934</v>
      </c>
      <c r="R213" s="49"/>
      <c r="S213" s="49"/>
      <c r="T213" s="49"/>
      <c r="U213" s="49"/>
      <c r="V213" s="49"/>
    </row>
    <row r="214" spans="3:22">
      <c r="C214" s="70" t="s">
        <v>2051</v>
      </c>
      <c r="D214" s="34"/>
      <c r="E214" s="34" t="s">
        <v>2266</v>
      </c>
      <c r="F214" s="34" t="s">
        <v>2342</v>
      </c>
      <c r="G214" s="34">
        <v>4</v>
      </c>
      <c r="H214" s="34" t="s">
        <v>358</v>
      </c>
      <c r="I214" s="34" t="s">
        <v>923</v>
      </c>
      <c r="J214" s="34" t="s">
        <v>1930</v>
      </c>
      <c r="K214" s="34"/>
      <c r="L214" s="55"/>
      <c r="M214" s="85" t="s">
        <v>1485</v>
      </c>
      <c r="N214" s="157"/>
      <c r="O214" s="166" t="s">
        <v>3757</v>
      </c>
      <c r="P214" s="170" t="s">
        <v>3820</v>
      </c>
      <c r="Q214" s="18" t="s">
        <v>3934</v>
      </c>
      <c r="R214" s="49"/>
      <c r="S214" s="49"/>
      <c r="T214" s="49"/>
      <c r="U214" s="49"/>
      <c r="V214" s="49"/>
    </row>
    <row r="215" spans="3:22">
      <c r="C215" s="70" t="s">
        <v>2052</v>
      </c>
      <c r="D215" s="34"/>
      <c r="E215" s="55" t="s">
        <v>2344</v>
      </c>
      <c r="F215" s="55" t="s">
        <v>2345</v>
      </c>
      <c r="G215" s="55">
        <v>2</v>
      </c>
      <c r="H215" s="55" t="s">
        <v>1504</v>
      </c>
      <c r="I215" s="55" t="s">
        <v>1490</v>
      </c>
      <c r="J215" s="55"/>
      <c r="K215" s="55"/>
      <c r="L215" s="55"/>
      <c r="M215" s="85"/>
      <c r="N215" s="155"/>
      <c r="O215" s="163" t="s">
        <v>3819</v>
      </c>
      <c r="P215" s="82" t="s">
        <v>3821</v>
      </c>
      <c r="Q215" s="18" t="s">
        <v>3934</v>
      </c>
      <c r="R215" s="49"/>
      <c r="S215" s="49"/>
      <c r="T215" s="49"/>
      <c r="U215" s="49"/>
      <c r="V215" s="49"/>
    </row>
    <row r="216" spans="3:22" ht="14.25" thickBot="1">
      <c r="C216" s="70" t="s">
        <v>2053</v>
      </c>
      <c r="D216" s="73"/>
      <c r="E216" s="54" t="s">
        <v>2897</v>
      </c>
      <c r="F216" s="54" t="s">
        <v>3349</v>
      </c>
      <c r="G216" s="54">
        <v>3</v>
      </c>
      <c r="H216" s="54" t="s">
        <v>3350</v>
      </c>
      <c r="I216" s="54" t="s">
        <v>3340</v>
      </c>
      <c r="J216" s="54"/>
      <c r="K216" s="54"/>
      <c r="L216" s="54"/>
      <c r="M216" s="93"/>
      <c r="N216" s="164"/>
      <c r="O216" s="180"/>
      <c r="P216" s="83" t="s">
        <v>3682</v>
      </c>
      <c r="Q216" s="18" t="s">
        <v>3934</v>
      </c>
      <c r="R216" s="49"/>
      <c r="S216" s="49"/>
      <c r="T216" s="49"/>
      <c r="U216" s="49"/>
      <c r="V216" s="49"/>
    </row>
    <row r="217" spans="3:22">
      <c r="C217" s="67" t="s">
        <v>2232</v>
      </c>
      <c r="D217" s="68" t="s">
        <v>2103</v>
      </c>
      <c r="E217" s="51" t="s">
        <v>1128</v>
      </c>
      <c r="F217" s="51" t="s">
        <v>1048</v>
      </c>
      <c r="G217" s="51">
        <v>3</v>
      </c>
      <c r="H217" s="51" t="s">
        <v>353</v>
      </c>
      <c r="I217" s="51" t="s">
        <v>923</v>
      </c>
      <c r="J217" s="51" t="s">
        <v>2087</v>
      </c>
      <c r="K217" s="51"/>
      <c r="L217" s="51"/>
      <c r="M217" s="92" t="s">
        <v>1475</v>
      </c>
      <c r="N217" s="159"/>
      <c r="O217" s="171"/>
      <c r="P217" s="176" t="s">
        <v>3683</v>
      </c>
      <c r="Q217" s="18" t="s">
        <v>3934</v>
      </c>
      <c r="R217" s="49"/>
      <c r="S217" s="49"/>
      <c r="T217" s="49"/>
      <c r="U217" s="49"/>
      <c r="V217" s="49"/>
    </row>
    <row r="218" spans="3:22">
      <c r="C218" s="70" t="s">
        <v>2054</v>
      </c>
      <c r="D218" s="34"/>
      <c r="E218" s="55" t="s">
        <v>2265</v>
      </c>
      <c r="F218" s="34" t="s">
        <v>1579</v>
      </c>
      <c r="G218" s="34">
        <v>4</v>
      </c>
      <c r="H218" s="34" t="s">
        <v>358</v>
      </c>
      <c r="I218" s="34" t="s">
        <v>923</v>
      </c>
      <c r="J218" s="34" t="s">
        <v>1930</v>
      </c>
      <c r="K218" s="55"/>
      <c r="L218" s="55"/>
      <c r="M218" s="85" t="s">
        <v>1485</v>
      </c>
      <c r="N218" s="157"/>
      <c r="O218" s="166"/>
      <c r="P218" s="170" t="s">
        <v>3684</v>
      </c>
      <c r="Q218" s="18" t="s">
        <v>3934</v>
      </c>
      <c r="R218" s="49"/>
      <c r="S218" s="49"/>
      <c r="T218" s="49"/>
      <c r="U218" s="49"/>
      <c r="V218" s="49"/>
    </row>
    <row r="219" spans="3:22">
      <c r="C219" s="70" t="s">
        <v>2055</v>
      </c>
      <c r="D219" s="34"/>
      <c r="E219" s="55" t="s">
        <v>2348</v>
      </c>
      <c r="F219" s="34" t="s">
        <v>2349</v>
      </c>
      <c r="G219" s="34">
        <v>3</v>
      </c>
      <c r="H219" s="34" t="s">
        <v>1504</v>
      </c>
      <c r="I219" s="34" t="s">
        <v>1490</v>
      </c>
      <c r="J219" s="55"/>
      <c r="K219" s="55"/>
      <c r="L219" s="55"/>
      <c r="M219" s="85"/>
      <c r="N219" s="157"/>
      <c r="O219" s="166" t="s">
        <v>3819</v>
      </c>
      <c r="P219" s="170" t="s">
        <v>3826</v>
      </c>
      <c r="Q219" s="18" t="s">
        <v>3934</v>
      </c>
      <c r="R219" s="49"/>
      <c r="S219" s="49"/>
      <c r="T219" s="49"/>
      <c r="U219" s="49"/>
      <c r="V219" s="49"/>
    </row>
    <row r="220" spans="3:22" ht="14.25" thickBot="1">
      <c r="C220" s="70" t="s">
        <v>2056</v>
      </c>
      <c r="D220" s="73"/>
      <c r="E220" s="54" t="s">
        <v>2902</v>
      </c>
      <c r="F220" s="73" t="s">
        <v>3351</v>
      </c>
      <c r="G220" s="73">
        <v>2</v>
      </c>
      <c r="H220" s="73" t="s">
        <v>3352</v>
      </c>
      <c r="I220" s="73" t="s">
        <v>3340</v>
      </c>
      <c r="J220" s="54"/>
      <c r="K220" s="54"/>
      <c r="L220" s="54"/>
      <c r="M220" s="93"/>
      <c r="N220" s="160"/>
      <c r="O220" s="172"/>
      <c r="P220" s="175" t="s">
        <v>3685</v>
      </c>
      <c r="Q220" s="18" t="s">
        <v>3934</v>
      </c>
      <c r="R220" s="49"/>
      <c r="S220" s="49"/>
      <c r="T220" s="49"/>
      <c r="U220" s="49"/>
      <c r="V220" s="49"/>
    </row>
    <row r="221" spans="3:22">
      <c r="C221" s="67" t="s">
        <v>2233</v>
      </c>
      <c r="D221" s="68" t="s">
        <v>2103</v>
      </c>
      <c r="E221" s="51" t="s">
        <v>1126</v>
      </c>
      <c r="F221" s="51" t="s">
        <v>35</v>
      </c>
      <c r="G221" s="51">
        <v>2</v>
      </c>
      <c r="H221" s="51" t="s">
        <v>353</v>
      </c>
      <c r="I221" s="51" t="s">
        <v>923</v>
      </c>
      <c r="J221" s="51" t="s">
        <v>2087</v>
      </c>
      <c r="K221" s="51"/>
      <c r="L221" s="51"/>
      <c r="M221" s="92" t="s">
        <v>1475</v>
      </c>
      <c r="N221" s="159"/>
      <c r="O221" s="171"/>
      <c r="P221" s="176" t="s">
        <v>3686</v>
      </c>
      <c r="Q221" s="18" t="s">
        <v>3934</v>
      </c>
      <c r="R221" s="49"/>
      <c r="S221" s="49"/>
      <c r="T221" s="49"/>
      <c r="U221" s="49"/>
      <c r="V221" s="49"/>
    </row>
    <row r="222" spans="3:22">
      <c r="C222" s="70" t="s">
        <v>2057</v>
      </c>
      <c r="D222" s="34"/>
      <c r="E222" s="55" t="s">
        <v>2267</v>
      </c>
      <c r="F222" s="34" t="s">
        <v>1630</v>
      </c>
      <c r="G222" s="34">
        <v>4</v>
      </c>
      <c r="H222" s="34" t="s">
        <v>358</v>
      </c>
      <c r="I222" s="34" t="s">
        <v>923</v>
      </c>
      <c r="J222" s="34" t="s">
        <v>1930</v>
      </c>
      <c r="K222" s="55"/>
      <c r="L222" s="55"/>
      <c r="M222" s="85" t="s">
        <v>1485</v>
      </c>
      <c r="N222" s="157"/>
      <c r="O222" s="166" t="s">
        <v>3822</v>
      </c>
      <c r="P222" s="170" t="s">
        <v>3827</v>
      </c>
      <c r="Q222" s="18" t="s">
        <v>3934</v>
      </c>
      <c r="R222" s="49"/>
      <c r="S222" s="49"/>
      <c r="T222" s="49"/>
      <c r="U222" s="49"/>
      <c r="V222" s="49"/>
    </row>
    <row r="223" spans="3:22">
      <c r="C223" s="70" t="s">
        <v>2058</v>
      </c>
      <c r="D223" s="34"/>
      <c r="E223" s="55" t="s">
        <v>2352</v>
      </c>
      <c r="F223" s="34" t="s">
        <v>2353</v>
      </c>
      <c r="G223" s="34">
        <v>4</v>
      </c>
      <c r="H223" s="34" t="s">
        <v>1504</v>
      </c>
      <c r="I223" s="34" t="s">
        <v>1501</v>
      </c>
      <c r="J223" s="55"/>
      <c r="K223" s="55"/>
      <c r="L223" s="55"/>
      <c r="M223" s="85"/>
      <c r="N223" s="157"/>
      <c r="O223" s="166" t="s">
        <v>3819</v>
      </c>
      <c r="P223" s="170" t="s">
        <v>3828</v>
      </c>
      <c r="Q223" s="18" t="s">
        <v>3934</v>
      </c>
      <c r="R223" s="49"/>
      <c r="S223" s="49"/>
      <c r="T223" s="49"/>
      <c r="U223" s="49"/>
      <c r="V223" s="49"/>
    </row>
    <row r="224" spans="3:22" ht="14.25" thickBot="1">
      <c r="C224" s="70" t="s">
        <v>2059</v>
      </c>
      <c r="D224" s="73"/>
      <c r="E224" s="54" t="s">
        <v>3353</v>
      </c>
      <c r="F224" s="73" t="s">
        <v>3354</v>
      </c>
      <c r="G224" s="73">
        <v>5</v>
      </c>
      <c r="H224" s="73" t="s">
        <v>3355</v>
      </c>
      <c r="I224" s="73" t="s">
        <v>3356</v>
      </c>
      <c r="J224" s="54"/>
      <c r="K224" s="54"/>
      <c r="L224" s="54"/>
      <c r="M224" s="93"/>
      <c r="N224" s="160"/>
      <c r="O224" s="172"/>
      <c r="P224" s="175" t="s">
        <v>3687</v>
      </c>
      <c r="Q224" s="18" t="s">
        <v>3934</v>
      </c>
      <c r="R224" s="49"/>
      <c r="S224" s="49"/>
      <c r="T224" s="49"/>
      <c r="U224" s="49"/>
      <c r="V224" s="49"/>
    </row>
    <row r="225" spans="3:22">
      <c r="C225" s="67" t="s">
        <v>2234</v>
      </c>
      <c r="D225" s="68" t="s">
        <v>2103</v>
      </c>
      <c r="E225" s="51" t="s">
        <v>1129</v>
      </c>
      <c r="F225" s="51" t="s">
        <v>36</v>
      </c>
      <c r="G225" s="51">
        <v>2</v>
      </c>
      <c r="H225" s="51" t="s">
        <v>353</v>
      </c>
      <c r="I225" s="51" t="s">
        <v>923</v>
      </c>
      <c r="J225" s="51" t="s">
        <v>2087</v>
      </c>
      <c r="K225" s="51"/>
      <c r="L225" s="51"/>
      <c r="M225" s="92" t="s">
        <v>1475</v>
      </c>
      <c r="N225" s="159"/>
      <c r="O225" s="171"/>
      <c r="P225" s="176" t="s">
        <v>3688</v>
      </c>
      <c r="Q225" s="18" t="s">
        <v>3934</v>
      </c>
      <c r="R225" s="49"/>
      <c r="S225" s="49"/>
      <c r="T225" s="49"/>
      <c r="U225" s="49"/>
      <c r="V225" s="49"/>
    </row>
    <row r="226" spans="3:22">
      <c r="C226" s="70" t="s">
        <v>2060</v>
      </c>
      <c r="D226" s="34"/>
      <c r="E226" s="55" t="s">
        <v>2268</v>
      </c>
      <c r="F226" s="55" t="s">
        <v>2356</v>
      </c>
      <c r="G226" s="55">
        <v>4</v>
      </c>
      <c r="H226" s="55" t="s">
        <v>358</v>
      </c>
      <c r="I226" s="34" t="s">
        <v>923</v>
      </c>
      <c r="J226" s="55" t="s">
        <v>1930</v>
      </c>
      <c r="K226" s="55"/>
      <c r="L226" s="55"/>
      <c r="M226" s="85" t="s">
        <v>1485</v>
      </c>
      <c r="N226" s="155"/>
      <c r="O226" s="163" t="s">
        <v>3823</v>
      </c>
      <c r="P226" s="82" t="s">
        <v>3829</v>
      </c>
      <c r="Q226" s="18" t="s">
        <v>3934</v>
      </c>
      <c r="R226" s="49"/>
      <c r="S226" s="49"/>
      <c r="T226" s="49"/>
      <c r="U226" s="49"/>
      <c r="V226" s="49"/>
    </row>
    <row r="227" spans="3:22">
      <c r="C227" s="70" t="s">
        <v>2061</v>
      </c>
      <c r="D227" s="34"/>
      <c r="E227" s="55" t="s">
        <v>2358</v>
      </c>
      <c r="F227" s="55" t="s">
        <v>2359</v>
      </c>
      <c r="G227" s="55">
        <v>2</v>
      </c>
      <c r="H227" s="55" t="s">
        <v>1504</v>
      </c>
      <c r="I227" s="34" t="s">
        <v>1490</v>
      </c>
      <c r="J227" s="55"/>
      <c r="K227" s="55"/>
      <c r="L227" s="55"/>
      <c r="M227" s="85"/>
      <c r="N227" s="157"/>
      <c r="O227" s="166" t="s">
        <v>3819</v>
      </c>
      <c r="P227" s="170" t="s">
        <v>3830</v>
      </c>
      <c r="Q227" s="18" t="s">
        <v>3934</v>
      </c>
      <c r="R227" s="49"/>
      <c r="S227" s="49"/>
      <c r="T227" s="49"/>
      <c r="U227" s="49"/>
      <c r="V227" s="49"/>
    </row>
    <row r="228" spans="3:22" ht="14.25" thickBot="1">
      <c r="C228" s="70" t="s">
        <v>2062</v>
      </c>
      <c r="D228" s="73"/>
      <c r="E228" s="54" t="s">
        <v>2877</v>
      </c>
      <c r="F228" s="54" t="s">
        <v>3357</v>
      </c>
      <c r="G228" s="54">
        <v>4</v>
      </c>
      <c r="H228" s="54" t="s">
        <v>3358</v>
      </c>
      <c r="I228" s="73" t="s">
        <v>3359</v>
      </c>
      <c r="J228" s="54"/>
      <c r="K228" s="54"/>
      <c r="L228" s="54"/>
      <c r="M228" s="93"/>
      <c r="N228" s="160"/>
      <c r="O228" s="172"/>
      <c r="P228" s="175" t="s">
        <v>3689</v>
      </c>
      <c r="Q228" s="18" t="s">
        <v>3934</v>
      </c>
      <c r="R228" s="49"/>
      <c r="S228" s="49"/>
      <c r="T228" s="49"/>
      <c r="U228" s="49"/>
      <c r="V228" s="49"/>
    </row>
    <row r="229" spans="3:22">
      <c r="C229" s="67" t="s">
        <v>2235</v>
      </c>
      <c r="D229" s="68" t="s">
        <v>2103</v>
      </c>
      <c r="E229" s="51" t="s">
        <v>1127</v>
      </c>
      <c r="F229" s="51" t="s">
        <v>37</v>
      </c>
      <c r="G229" s="51">
        <v>2</v>
      </c>
      <c r="H229" s="51" t="s">
        <v>353</v>
      </c>
      <c r="I229" s="51" t="s">
        <v>923</v>
      </c>
      <c r="J229" s="51" t="s">
        <v>2087</v>
      </c>
      <c r="K229" s="51"/>
      <c r="L229" s="51"/>
      <c r="M229" s="92" t="s">
        <v>1475</v>
      </c>
      <c r="N229" s="156" t="s">
        <v>3831</v>
      </c>
      <c r="O229" s="165" t="s">
        <v>3824</v>
      </c>
      <c r="P229" s="81"/>
      <c r="Q229" s="18" t="s">
        <v>3934</v>
      </c>
      <c r="R229" s="49"/>
      <c r="S229" s="49"/>
      <c r="T229" s="49"/>
      <c r="U229" s="49"/>
      <c r="V229" s="49"/>
    </row>
    <row r="230" spans="3:22">
      <c r="C230" s="70" t="s">
        <v>2063</v>
      </c>
      <c r="D230" s="34"/>
      <c r="E230" s="55" t="s">
        <v>2362</v>
      </c>
      <c r="F230" s="34" t="s">
        <v>2363</v>
      </c>
      <c r="G230" s="55">
        <v>3</v>
      </c>
      <c r="H230" s="34" t="s">
        <v>1504</v>
      </c>
      <c r="I230" s="34" t="s">
        <v>1501</v>
      </c>
      <c r="J230" s="34"/>
      <c r="K230" s="34"/>
      <c r="L230" s="34"/>
      <c r="M230" s="97"/>
      <c r="N230" s="157"/>
      <c r="O230" s="166" t="s">
        <v>3819</v>
      </c>
      <c r="P230" s="170" t="s">
        <v>3832</v>
      </c>
      <c r="Q230" s="18" t="s">
        <v>3934</v>
      </c>
      <c r="R230" s="49"/>
      <c r="S230" s="49"/>
      <c r="T230" s="49"/>
      <c r="U230" s="49"/>
      <c r="V230" s="49"/>
    </row>
    <row r="231" spans="3:22">
      <c r="C231" s="70" t="s">
        <v>2064</v>
      </c>
      <c r="D231" s="34"/>
      <c r="E231" s="55" t="s">
        <v>2269</v>
      </c>
      <c r="F231" s="55" t="s">
        <v>1731</v>
      </c>
      <c r="G231" s="55">
        <v>4</v>
      </c>
      <c r="H231" s="55" t="s">
        <v>358</v>
      </c>
      <c r="I231" s="55" t="s">
        <v>923</v>
      </c>
      <c r="J231" s="55" t="s">
        <v>1930</v>
      </c>
      <c r="K231" s="55"/>
      <c r="L231" s="55"/>
      <c r="M231" s="85" t="s">
        <v>1485</v>
      </c>
      <c r="N231" s="157"/>
      <c r="O231" s="166" t="s">
        <v>3825</v>
      </c>
      <c r="P231" s="170" t="s">
        <v>3833</v>
      </c>
      <c r="Q231" s="18" t="s">
        <v>3934</v>
      </c>
      <c r="R231" s="49"/>
      <c r="S231" s="49"/>
      <c r="T231" s="49"/>
      <c r="U231" s="49"/>
      <c r="V231" s="49"/>
    </row>
    <row r="232" spans="3:22" ht="14.25" thickBot="1">
      <c r="C232" s="118" t="s">
        <v>2065</v>
      </c>
      <c r="D232" s="120"/>
      <c r="E232" s="40" t="s">
        <v>3360</v>
      </c>
      <c r="F232" s="40" t="s">
        <v>3361</v>
      </c>
      <c r="G232" s="40">
        <v>2</v>
      </c>
      <c r="H232" s="40" t="s">
        <v>3362</v>
      </c>
      <c r="I232" s="40" t="s">
        <v>3363</v>
      </c>
      <c r="J232" s="40" t="s">
        <v>3364</v>
      </c>
      <c r="K232" s="40" t="s">
        <v>3365</v>
      </c>
      <c r="L232" s="40" t="s">
        <v>2885</v>
      </c>
      <c r="M232" s="116" t="s">
        <v>3366</v>
      </c>
      <c r="N232" s="177"/>
      <c r="O232" s="183" t="s">
        <v>3834</v>
      </c>
      <c r="P232" s="178"/>
      <c r="Q232" s="18" t="s">
        <v>3934</v>
      </c>
      <c r="R232" s="49"/>
      <c r="S232" s="49"/>
      <c r="T232" s="49"/>
      <c r="U232" s="49"/>
      <c r="V232" s="49"/>
    </row>
    <row r="233" spans="3:22">
      <c r="C233" s="67" t="s">
        <v>2236</v>
      </c>
      <c r="D233" s="68"/>
      <c r="E233" s="51" t="s">
        <v>2490</v>
      </c>
      <c r="F233" s="51">
        <v>0</v>
      </c>
      <c r="G233" s="51">
        <v>0</v>
      </c>
      <c r="H233" s="51" t="s">
        <v>362</v>
      </c>
      <c r="I233" s="68" t="s">
        <v>2237</v>
      </c>
      <c r="J233" s="51"/>
      <c r="K233" s="51"/>
      <c r="L233" s="51"/>
      <c r="M233" s="92"/>
      <c r="N233" s="156"/>
      <c r="O233" s="165" t="s">
        <v>3835</v>
      </c>
      <c r="P233" s="81" t="s">
        <v>3836</v>
      </c>
      <c r="Q233" s="18" t="s">
        <v>3934</v>
      </c>
      <c r="R233" s="49"/>
      <c r="S233" s="49"/>
      <c r="T233" s="49"/>
      <c r="U233" s="49"/>
      <c r="V233" s="49"/>
    </row>
    <row r="234" spans="3:22">
      <c r="C234" s="70" t="s">
        <v>2066</v>
      </c>
      <c r="D234" s="34"/>
      <c r="E234" s="55" t="s">
        <v>2492</v>
      </c>
      <c r="F234" s="55">
        <v>1</v>
      </c>
      <c r="G234" s="55">
        <v>1</v>
      </c>
      <c r="H234" s="55" t="s">
        <v>365</v>
      </c>
      <c r="I234" s="55" t="s">
        <v>1518</v>
      </c>
      <c r="J234" s="55" t="s">
        <v>2493</v>
      </c>
      <c r="K234" s="55"/>
      <c r="L234" s="55"/>
      <c r="M234" s="85" t="s">
        <v>1415</v>
      </c>
      <c r="N234" s="155"/>
      <c r="O234" s="163" t="s">
        <v>3838</v>
      </c>
      <c r="P234" s="82" t="s">
        <v>3837</v>
      </c>
      <c r="Q234" s="18" t="s">
        <v>3934</v>
      </c>
      <c r="R234" s="49"/>
      <c r="S234" s="49"/>
      <c r="T234" s="49"/>
      <c r="U234" s="49"/>
      <c r="V234" s="49"/>
    </row>
    <row r="235" spans="3:22">
      <c r="C235" s="70" t="s">
        <v>2067</v>
      </c>
      <c r="D235" s="34"/>
      <c r="E235" s="55" t="s">
        <v>1392</v>
      </c>
      <c r="F235" s="55">
        <v>4</v>
      </c>
      <c r="G235" s="55">
        <v>4</v>
      </c>
      <c r="H235" s="55" t="s">
        <v>364</v>
      </c>
      <c r="I235" s="34" t="s">
        <v>2237</v>
      </c>
      <c r="J235" s="34" t="s">
        <v>2366</v>
      </c>
      <c r="K235" s="55"/>
      <c r="L235" s="55"/>
      <c r="M235" s="85"/>
      <c r="N235" s="155"/>
      <c r="O235" s="163" t="s">
        <v>3844</v>
      </c>
      <c r="P235" s="82" t="s">
        <v>3843</v>
      </c>
      <c r="Q235" s="18" t="s">
        <v>3934</v>
      </c>
      <c r="R235" s="49"/>
      <c r="S235" s="49"/>
      <c r="T235" s="49"/>
      <c r="U235" s="49"/>
      <c r="V235" s="49"/>
    </row>
    <row r="236" spans="3:22">
      <c r="C236" s="70" t="s">
        <v>2068</v>
      </c>
      <c r="D236" s="34"/>
      <c r="E236" s="55" t="s">
        <v>2368</v>
      </c>
      <c r="F236" s="55">
        <v>4</v>
      </c>
      <c r="G236" s="55">
        <v>4</v>
      </c>
      <c r="H236" s="55" t="s">
        <v>360</v>
      </c>
      <c r="I236" s="55" t="s">
        <v>2237</v>
      </c>
      <c r="J236" s="55" t="s">
        <v>2366</v>
      </c>
      <c r="K236" s="55"/>
      <c r="L236" s="55"/>
      <c r="M236" s="85"/>
      <c r="N236" s="155"/>
      <c r="O236" s="163" t="s">
        <v>3839</v>
      </c>
      <c r="P236" s="82" t="s">
        <v>3842</v>
      </c>
      <c r="Q236" s="18" t="s">
        <v>3934</v>
      </c>
      <c r="R236" s="49"/>
      <c r="S236" s="49"/>
      <c r="T236" s="49"/>
      <c r="U236" s="49"/>
      <c r="V236" s="49"/>
    </row>
    <row r="237" spans="3:22" ht="14.25" thickBot="1">
      <c r="C237" s="72" t="s">
        <v>2069</v>
      </c>
      <c r="D237" s="73"/>
      <c r="E237" s="54" t="s">
        <v>206</v>
      </c>
      <c r="F237" s="54">
        <v>5</v>
      </c>
      <c r="G237" s="54">
        <v>5</v>
      </c>
      <c r="H237" s="54" t="s">
        <v>377</v>
      </c>
      <c r="I237" s="54" t="s">
        <v>2237</v>
      </c>
      <c r="J237" s="54"/>
      <c r="K237" s="54"/>
      <c r="L237" s="54"/>
      <c r="M237" s="93"/>
      <c r="N237" s="164" t="s">
        <v>3840</v>
      </c>
      <c r="O237" s="180"/>
      <c r="P237" s="83" t="s">
        <v>3841</v>
      </c>
      <c r="Q237" s="18" t="s">
        <v>3934</v>
      </c>
      <c r="R237" s="49"/>
      <c r="S237" s="49"/>
      <c r="T237" s="49"/>
      <c r="U237" s="49"/>
      <c r="V237" s="49"/>
    </row>
    <row r="238" spans="3:22">
      <c r="C238" s="75" t="s">
        <v>2243</v>
      </c>
      <c r="D238" s="66"/>
      <c r="E238" s="60" t="s">
        <v>2370</v>
      </c>
      <c r="F238" s="60"/>
      <c r="G238" s="60"/>
      <c r="H238" s="60"/>
      <c r="I238" s="60" t="s">
        <v>249</v>
      </c>
      <c r="J238" s="60"/>
      <c r="K238" s="60"/>
      <c r="L238" s="60"/>
      <c r="M238" s="87"/>
      <c r="N238" s="158"/>
      <c r="O238" s="167"/>
      <c r="P238" s="84" t="s">
        <v>2800</v>
      </c>
      <c r="Q238" s="18" t="s">
        <v>3934</v>
      </c>
      <c r="R238" s="49"/>
      <c r="S238" s="49"/>
      <c r="T238" s="49"/>
      <c r="U238" s="49"/>
      <c r="V238" s="49"/>
    </row>
    <row r="239" spans="3:22">
      <c r="C239" s="70" t="s">
        <v>2072</v>
      </c>
      <c r="D239" s="34"/>
      <c r="E239" s="55" t="s">
        <v>2371</v>
      </c>
      <c r="F239" s="55"/>
      <c r="G239" s="55"/>
      <c r="H239" s="55"/>
      <c r="I239" s="55" t="s">
        <v>249</v>
      </c>
      <c r="J239" s="55"/>
      <c r="K239" s="55"/>
      <c r="L239" s="55"/>
      <c r="M239" s="85"/>
      <c r="N239" s="155"/>
      <c r="O239" s="163"/>
      <c r="P239" s="82" t="s">
        <v>2800</v>
      </c>
      <c r="Q239" s="18" t="s">
        <v>3934</v>
      </c>
      <c r="R239" s="49"/>
      <c r="S239" s="49"/>
      <c r="T239" s="49"/>
      <c r="U239" s="49"/>
      <c r="V239" s="49"/>
    </row>
    <row r="240" spans="3:22">
      <c r="C240" s="70" t="s">
        <v>2073</v>
      </c>
      <c r="D240" s="34"/>
      <c r="E240" s="55" t="s">
        <v>2372</v>
      </c>
      <c r="F240" s="55"/>
      <c r="G240" s="55"/>
      <c r="H240" s="55"/>
      <c r="I240" s="55" t="s">
        <v>249</v>
      </c>
      <c r="J240" s="55"/>
      <c r="K240" s="55"/>
      <c r="L240" s="55"/>
      <c r="M240" s="85"/>
      <c r="N240" s="155"/>
      <c r="O240" s="163"/>
      <c r="P240" s="82" t="s">
        <v>2800</v>
      </c>
      <c r="Q240" s="18" t="s">
        <v>3934</v>
      </c>
      <c r="R240" s="49"/>
      <c r="S240" s="49"/>
      <c r="T240" s="49"/>
      <c r="U240" s="49"/>
      <c r="V240" s="49"/>
    </row>
    <row r="241" spans="3:22">
      <c r="C241" s="70" t="s">
        <v>2074</v>
      </c>
      <c r="D241" s="34"/>
      <c r="E241" s="34" t="s">
        <v>2373</v>
      </c>
      <c r="F241" s="55"/>
      <c r="G241" s="55"/>
      <c r="H241" s="55"/>
      <c r="I241" s="55" t="s">
        <v>249</v>
      </c>
      <c r="J241" s="55"/>
      <c r="K241" s="55"/>
      <c r="L241" s="55"/>
      <c r="M241" s="85"/>
      <c r="N241" s="155"/>
      <c r="O241" s="163"/>
      <c r="P241" s="82" t="s">
        <v>2800</v>
      </c>
      <c r="Q241" s="18" t="s">
        <v>3934</v>
      </c>
      <c r="R241" s="49"/>
      <c r="S241" s="49"/>
      <c r="T241" s="49"/>
      <c r="U241" s="49"/>
      <c r="V241" s="49"/>
    </row>
    <row r="242" spans="3:22">
      <c r="C242" s="70" t="s">
        <v>2075</v>
      </c>
      <c r="D242" s="34"/>
      <c r="E242" s="34" t="s">
        <v>2374</v>
      </c>
      <c r="F242" s="55"/>
      <c r="G242" s="55"/>
      <c r="H242" s="55"/>
      <c r="I242" s="55" t="s">
        <v>249</v>
      </c>
      <c r="J242" s="55"/>
      <c r="K242" s="55"/>
      <c r="L242" s="55"/>
      <c r="M242" s="85"/>
      <c r="N242" s="155"/>
      <c r="O242" s="163"/>
      <c r="P242" s="82" t="s">
        <v>2800</v>
      </c>
      <c r="Q242" s="18" t="s">
        <v>3934</v>
      </c>
      <c r="R242" s="49"/>
      <c r="S242" s="49"/>
      <c r="T242" s="49"/>
      <c r="U242" s="49"/>
      <c r="V242" s="49"/>
    </row>
    <row r="243" spans="3:22">
      <c r="P243" s="18" t="s">
        <v>2800</v>
      </c>
      <c r="Q243" s="18" t="s">
        <v>3934</v>
      </c>
      <c r="R243" s="49"/>
      <c r="S243" s="49"/>
      <c r="T243" s="49"/>
      <c r="U243" s="49"/>
      <c r="V243" s="49"/>
    </row>
    <row r="244" spans="3:22">
      <c r="P244" s="18" t="s">
        <v>2800</v>
      </c>
      <c r="Q244" s="18" t="s">
        <v>3934</v>
      </c>
      <c r="R244" s="49"/>
      <c r="S244" s="49"/>
      <c r="T244" s="49"/>
      <c r="U244" s="49"/>
      <c r="V244" s="49"/>
    </row>
    <row r="245" spans="3:22" ht="14.25" thickBot="1">
      <c r="P245" s="18" t="s">
        <v>2800</v>
      </c>
      <c r="Q245" s="18" t="s">
        <v>3934</v>
      </c>
      <c r="R245" s="49"/>
      <c r="S245" s="49"/>
      <c r="T245" s="49"/>
      <c r="U245" s="49"/>
      <c r="V245" s="49"/>
    </row>
    <row r="246" spans="3:22" ht="14.25" thickBot="1">
      <c r="C246" s="88"/>
      <c r="D246" s="89" t="s">
        <v>2104</v>
      </c>
      <c r="E246" s="89" t="s">
        <v>3331</v>
      </c>
      <c r="F246" s="89" t="s">
        <v>3367</v>
      </c>
      <c r="G246" s="89" t="s">
        <v>3368</v>
      </c>
      <c r="H246" s="89" t="s">
        <v>3369</v>
      </c>
      <c r="I246" s="89" t="s">
        <v>3370</v>
      </c>
      <c r="J246" s="89" t="s">
        <v>3371</v>
      </c>
      <c r="K246" s="89" t="s">
        <v>3372</v>
      </c>
      <c r="L246" s="89" t="s">
        <v>3373</v>
      </c>
      <c r="M246" s="90" t="s">
        <v>3374</v>
      </c>
      <c r="N246" s="161"/>
      <c r="O246" s="179"/>
      <c r="P246" s="162" t="s">
        <v>3656</v>
      </c>
      <c r="Q246" s="18" t="s">
        <v>3934</v>
      </c>
      <c r="R246" s="49"/>
      <c r="S246" s="49"/>
      <c r="T246" s="49"/>
      <c r="U246" s="49"/>
      <c r="V246" s="49"/>
    </row>
    <row r="247" spans="3:22">
      <c r="C247" s="50" t="s">
        <v>2131</v>
      </c>
      <c r="D247" s="51" t="s">
        <v>33</v>
      </c>
      <c r="E247" s="68" t="s">
        <v>3375</v>
      </c>
      <c r="F247" s="68" t="s">
        <v>3376</v>
      </c>
      <c r="G247" s="51">
        <v>1</v>
      </c>
      <c r="H247" s="68" t="s">
        <v>3377</v>
      </c>
      <c r="I247" s="68" t="s">
        <v>3378</v>
      </c>
      <c r="J247" s="51"/>
      <c r="K247" s="51"/>
      <c r="L247" s="51"/>
      <c r="M247" s="92"/>
      <c r="N247" s="159"/>
      <c r="O247" s="171" t="s">
        <v>3783</v>
      </c>
      <c r="P247" s="176" t="s">
        <v>3845</v>
      </c>
      <c r="Q247" s="18" t="s">
        <v>3934</v>
      </c>
      <c r="R247" s="49"/>
      <c r="S247" s="49"/>
      <c r="T247" s="49"/>
      <c r="U247" s="49"/>
      <c r="V247" s="49"/>
    </row>
    <row r="248" spans="3:22">
      <c r="C248" s="56" t="s">
        <v>1956</v>
      </c>
      <c r="D248" s="34" t="s">
        <v>36</v>
      </c>
      <c r="E248" s="55" t="s">
        <v>253</v>
      </c>
      <c r="F248" s="55" t="s">
        <v>977</v>
      </c>
      <c r="G248" s="55">
        <v>2</v>
      </c>
      <c r="H248" s="55" t="s">
        <v>347</v>
      </c>
      <c r="I248" s="34" t="s">
        <v>923</v>
      </c>
      <c r="J248" s="55" t="s">
        <v>2138</v>
      </c>
      <c r="K248" s="55" t="s">
        <v>2132</v>
      </c>
      <c r="L248" s="55"/>
      <c r="M248" s="55" t="s">
        <v>1474</v>
      </c>
      <c r="N248" s="157"/>
      <c r="O248" s="166" t="s">
        <v>3584</v>
      </c>
      <c r="P248" s="170" t="s">
        <v>3846</v>
      </c>
      <c r="Q248" s="18" t="s">
        <v>3934</v>
      </c>
      <c r="R248" s="49"/>
      <c r="S248" s="49"/>
      <c r="T248" s="49"/>
      <c r="U248" s="49"/>
      <c r="V248" s="49"/>
    </row>
    <row r="249" spans="3:22">
      <c r="C249" s="56" t="s">
        <v>1957</v>
      </c>
      <c r="D249" s="55" t="s">
        <v>33</v>
      </c>
      <c r="E249" s="34" t="s">
        <v>3380</v>
      </c>
      <c r="F249" s="34" t="s">
        <v>3381</v>
      </c>
      <c r="G249" s="55">
        <v>2</v>
      </c>
      <c r="H249" s="34" t="s">
        <v>3382</v>
      </c>
      <c r="I249" s="34" t="s">
        <v>3379</v>
      </c>
      <c r="J249" s="34" t="s">
        <v>3383</v>
      </c>
      <c r="K249" s="34" t="s">
        <v>920</v>
      </c>
      <c r="L249" s="55"/>
      <c r="M249" s="85" t="s">
        <v>3384</v>
      </c>
      <c r="N249" s="155"/>
      <c r="O249" s="163" t="s">
        <v>3848</v>
      </c>
      <c r="P249" s="82" t="s">
        <v>3847</v>
      </c>
      <c r="Q249" s="18" t="s">
        <v>3934</v>
      </c>
      <c r="R249" s="49"/>
      <c r="S249" s="49"/>
      <c r="T249" s="49"/>
      <c r="U249" s="49"/>
      <c r="V249" s="49"/>
    </row>
    <row r="250" spans="3:22">
      <c r="C250" s="56" t="s">
        <v>1958</v>
      </c>
      <c r="D250" s="34" t="s">
        <v>34</v>
      </c>
      <c r="E250" s="55" t="s">
        <v>2271</v>
      </c>
      <c r="F250" s="34" t="s">
        <v>977</v>
      </c>
      <c r="G250" s="55">
        <v>2</v>
      </c>
      <c r="H250" s="34" t="s">
        <v>355</v>
      </c>
      <c r="I250" s="34" t="s">
        <v>1493</v>
      </c>
      <c r="J250" s="55"/>
      <c r="K250" s="55"/>
      <c r="L250" s="55"/>
      <c r="M250" s="85"/>
      <c r="N250" s="155"/>
      <c r="O250" s="163"/>
      <c r="P250" s="82" t="s">
        <v>3690</v>
      </c>
      <c r="Q250" s="18" t="s">
        <v>3934</v>
      </c>
      <c r="R250" s="49"/>
      <c r="S250" s="49"/>
      <c r="T250" s="49"/>
      <c r="U250" s="49"/>
      <c r="V250" s="49"/>
    </row>
    <row r="251" spans="3:22">
      <c r="C251" s="56" t="s">
        <v>1959</v>
      </c>
      <c r="D251" s="34" t="s">
        <v>2143</v>
      </c>
      <c r="E251" s="34" t="s">
        <v>2660</v>
      </c>
      <c r="F251" s="34" t="s">
        <v>3386</v>
      </c>
      <c r="G251" s="34">
        <v>3</v>
      </c>
      <c r="H251" s="34" t="s">
        <v>3387</v>
      </c>
      <c r="I251" s="34" t="s">
        <v>3385</v>
      </c>
      <c r="J251" s="55"/>
      <c r="K251" s="55"/>
      <c r="L251" s="55"/>
      <c r="M251" s="55"/>
      <c r="N251" s="157"/>
      <c r="O251" s="166"/>
      <c r="P251" s="170" t="s">
        <v>3691</v>
      </c>
      <c r="Q251" s="18" t="s">
        <v>3934</v>
      </c>
      <c r="R251" s="49"/>
      <c r="S251" s="49"/>
      <c r="T251" s="49"/>
      <c r="U251" s="49"/>
      <c r="V251" s="49"/>
    </row>
    <row r="252" spans="3:22">
      <c r="C252" s="56" t="s">
        <v>1960</v>
      </c>
      <c r="D252" s="34" t="s">
        <v>2143</v>
      </c>
      <c r="E252" s="34" t="s">
        <v>3388</v>
      </c>
      <c r="F252" s="34" t="s">
        <v>3389</v>
      </c>
      <c r="G252" s="34">
        <v>4</v>
      </c>
      <c r="H252" s="34" t="s">
        <v>3390</v>
      </c>
      <c r="I252" s="34" t="s">
        <v>3363</v>
      </c>
      <c r="J252" s="34" t="s">
        <v>3391</v>
      </c>
      <c r="K252" s="55"/>
      <c r="L252" s="55"/>
      <c r="M252" s="85" t="s">
        <v>3392</v>
      </c>
      <c r="N252" s="157" t="s">
        <v>3849</v>
      </c>
      <c r="O252" s="166" t="s">
        <v>3789</v>
      </c>
      <c r="P252" s="170"/>
      <c r="Q252" s="18" t="s">
        <v>3934</v>
      </c>
      <c r="R252" s="49"/>
      <c r="S252" s="49"/>
      <c r="T252" s="49"/>
      <c r="U252" s="49"/>
      <c r="V252" s="49"/>
    </row>
    <row r="253" spans="3:22">
      <c r="C253" s="56" t="s">
        <v>1961</v>
      </c>
      <c r="D253" s="34" t="s">
        <v>2135</v>
      </c>
      <c r="E253" s="34" t="s">
        <v>2378</v>
      </c>
      <c r="F253" s="34" t="s">
        <v>2379</v>
      </c>
      <c r="G253" s="34">
        <v>4</v>
      </c>
      <c r="H253" s="34" t="s">
        <v>351</v>
      </c>
      <c r="I253" s="34" t="s">
        <v>1501</v>
      </c>
      <c r="J253" s="55"/>
      <c r="K253" s="55"/>
      <c r="L253" s="55"/>
      <c r="M253" s="85"/>
      <c r="N253" s="157"/>
      <c r="O253" s="166"/>
      <c r="P253" s="170" t="s">
        <v>3692</v>
      </c>
      <c r="Q253" s="18" t="s">
        <v>3934</v>
      </c>
      <c r="R253" s="49"/>
      <c r="S253" s="49"/>
      <c r="T253" s="49"/>
      <c r="U253" s="49"/>
      <c r="V253" s="49"/>
    </row>
    <row r="254" spans="3:22">
      <c r="C254" s="56" t="s">
        <v>1962</v>
      </c>
      <c r="D254" s="55" t="s">
        <v>2103</v>
      </c>
      <c r="E254" s="55" t="s">
        <v>1068</v>
      </c>
      <c r="F254" s="55" t="s">
        <v>983</v>
      </c>
      <c r="G254" s="34">
        <v>5</v>
      </c>
      <c r="H254" s="55" t="s">
        <v>352</v>
      </c>
      <c r="I254" s="55" t="s">
        <v>923</v>
      </c>
      <c r="J254" s="55" t="s">
        <v>2087</v>
      </c>
      <c r="K254" s="55"/>
      <c r="L254" s="55"/>
      <c r="M254" s="85" t="s">
        <v>1479</v>
      </c>
      <c r="N254" s="155"/>
      <c r="O254" s="163" t="s">
        <v>3851</v>
      </c>
      <c r="P254" s="82" t="s">
        <v>3850</v>
      </c>
      <c r="Q254" s="18" t="s">
        <v>3934</v>
      </c>
      <c r="R254" s="49"/>
      <c r="S254" s="49"/>
      <c r="T254" s="49"/>
      <c r="U254" s="49"/>
      <c r="V254" s="49"/>
    </row>
    <row r="255" spans="3:22" ht="14.25" thickBot="1">
      <c r="C255" s="53" t="s">
        <v>1963</v>
      </c>
      <c r="D255" s="73" t="s">
        <v>36</v>
      </c>
      <c r="E255" s="54" t="s">
        <v>3393</v>
      </c>
      <c r="F255" s="54" t="s">
        <v>1185</v>
      </c>
      <c r="G255" s="54">
        <v>6</v>
      </c>
      <c r="H255" s="54" t="s">
        <v>347</v>
      </c>
      <c r="I255" s="73" t="s">
        <v>923</v>
      </c>
      <c r="J255" s="54" t="s">
        <v>1410</v>
      </c>
      <c r="K255" s="54" t="s">
        <v>2132</v>
      </c>
      <c r="L255" s="54"/>
      <c r="M255" s="54" t="s">
        <v>1479</v>
      </c>
      <c r="N255" s="160"/>
      <c r="O255" s="172" t="s">
        <v>3853</v>
      </c>
      <c r="P255" s="175" t="s">
        <v>3852</v>
      </c>
      <c r="Q255" s="18" t="s">
        <v>3934</v>
      </c>
      <c r="R255" s="49"/>
      <c r="S255" s="49"/>
      <c r="T255" s="49"/>
      <c r="U255" s="49"/>
      <c r="V255" s="49"/>
    </row>
    <row r="256" spans="3:22">
      <c r="C256" s="50" t="s">
        <v>2151</v>
      </c>
      <c r="D256" s="68" t="s">
        <v>2143</v>
      </c>
      <c r="E256" s="68" t="s">
        <v>2530</v>
      </c>
      <c r="F256" s="68" t="s">
        <v>3394</v>
      </c>
      <c r="G256" s="51">
        <v>1</v>
      </c>
      <c r="H256" s="68" t="s">
        <v>3395</v>
      </c>
      <c r="I256" s="68" t="s">
        <v>3396</v>
      </c>
      <c r="J256" s="68" t="s">
        <v>3397</v>
      </c>
      <c r="K256" s="51"/>
      <c r="L256" s="51"/>
      <c r="M256" s="92" t="s">
        <v>3398</v>
      </c>
      <c r="N256" s="156"/>
      <c r="O256" s="165" t="s">
        <v>3855</v>
      </c>
      <c r="P256" s="81" t="s">
        <v>3854</v>
      </c>
      <c r="Q256" s="18" t="s">
        <v>3934</v>
      </c>
      <c r="R256" s="49"/>
      <c r="S256" s="49"/>
      <c r="T256" s="49"/>
      <c r="U256" s="49"/>
      <c r="V256" s="49"/>
    </row>
    <row r="257" spans="3:22">
      <c r="C257" s="56" t="s">
        <v>1975</v>
      </c>
      <c r="D257" s="55" t="s">
        <v>34</v>
      </c>
      <c r="E257" s="34" t="s">
        <v>3399</v>
      </c>
      <c r="F257" s="34" t="s">
        <v>3400</v>
      </c>
      <c r="G257" s="55">
        <v>2</v>
      </c>
      <c r="H257" s="34" t="s">
        <v>3401</v>
      </c>
      <c r="I257" s="55" t="s">
        <v>3363</v>
      </c>
      <c r="J257" s="34" t="s">
        <v>3402</v>
      </c>
      <c r="K257" s="55"/>
      <c r="L257" s="55"/>
      <c r="M257" s="85" t="s">
        <v>3403</v>
      </c>
      <c r="N257" s="155"/>
      <c r="O257" s="163" t="s">
        <v>2450</v>
      </c>
      <c r="P257" s="82" t="s">
        <v>3856</v>
      </c>
      <c r="Q257" s="18" t="s">
        <v>3934</v>
      </c>
      <c r="R257" s="49"/>
      <c r="S257" s="49"/>
      <c r="T257" s="49"/>
      <c r="U257" s="49"/>
      <c r="V257" s="49"/>
    </row>
    <row r="258" spans="3:22">
      <c r="C258" s="56" t="s">
        <v>1976</v>
      </c>
      <c r="D258" s="34" t="s">
        <v>2135</v>
      </c>
      <c r="E258" s="55" t="s">
        <v>2644</v>
      </c>
      <c r="F258" s="34" t="s">
        <v>3404</v>
      </c>
      <c r="G258" s="34">
        <v>2</v>
      </c>
      <c r="H258" s="34" t="s">
        <v>3401</v>
      </c>
      <c r="I258" s="34" t="s">
        <v>3356</v>
      </c>
      <c r="J258" s="55"/>
      <c r="K258" s="55"/>
      <c r="L258" s="55"/>
      <c r="M258" s="85"/>
      <c r="N258" s="155"/>
      <c r="O258" s="163"/>
      <c r="P258" s="82" t="s">
        <v>3693</v>
      </c>
      <c r="Q258" s="18" t="s">
        <v>3934</v>
      </c>
      <c r="R258" s="49"/>
      <c r="S258" s="49"/>
      <c r="T258" s="49"/>
      <c r="U258" s="49"/>
      <c r="V258" s="49"/>
    </row>
    <row r="259" spans="3:22">
      <c r="C259" s="56" t="s">
        <v>1977</v>
      </c>
      <c r="D259" s="55" t="s">
        <v>34</v>
      </c>
      <c r="E259" s="34" t="s">
        <v>3405</v>
      </c>
      <c r="F259" s="34" t="s">
        <v>3406</v>
      </c>
      <c r="G259" s="34">
        <v>3</v>
      </c>
      <c r="H259" s="34" t="s">
        <v>3362</v>
      </c>
      <c r="I259" s="34" t="s">
        <v>3359</v>
      </c>
      <c r="J259" s="55"/>
      <c r="K259" s="55"/>
      <c r="L259" s="55"/>
      <c r="M259" s="85"/>
      <c r="N259" s="155"/>
      <c r="O259" s="163" t="s">
        <v>3858</v>
      </c>
      <c r="P259" s="82" t="s">
        <v>3857</v>
      </c>
      <c r="Q259" s="18" t="s">
        <v>3934</v>
      </c>
      <c r="R259" s="49"/>
      <c r="S259" s="49"/>
      <c r="T259" s="49"/>
      <c r="U259" s="49"/>
      <c r="V259" s="49"/>
    </row>
    <row r="260" spans="3:22">
      <c r="C260" s="56" t="s">
        <v>1978</v>
      </c>
      <c r="D260" s="34" t="s">
        <v>37</v>
      </c>
      <c r="E260" s="34" t="s">
        <v>3408</v>
      </c>
      <c r="F260" s="34" t="s">
        <v>3406</v>
      </c>
      <c r="G260" s="34">
        <v>3</v>
      </c>
      <c r="H260" s="34" t="s">
        <v>3409</v>
      </c>
      <c r="I260" s="34" t="s">
        <v>3359</v>
      </c>
      <c r="J260" s="55"/>
      <c r="K260" s="55"/>
      <c r="L260" s="55"/>
      <c r="M260" s="85"/>
      <c r="N260" s="155"/>
      <c r="O260" s="163" t="s">
        <v>3860</v>
      </c>
      <c r="P260" s="82" t="s">
        <v>3859</v>
      </c>
      <c r="Q260" s="18" t="s">
        <v>3934</v>
      </c>
      <c r="R260" s="49"/>
      <c r="S260" s="49"/>
      <c r="T260" s="49"/>
      <c r="U260" s="49"/>
      <c r="V260" s="49"/>
    </row>
    <row r="261" spans="3:22">
      <c r="C261" s="56" t="s">
        <v>1979</v>
      </c>
      <c r="D261" s="34" t="s">
        <v>37</v>
      </c>
      <c r="E261" s="34" t="s">
        <v>3410</v>
      </c>
      <c r="F261" s="34" t="s">
        <v>3411</v>
      </c>
      <c r="G261" s="34">
        <v>4</v>
      </c>
      <c r="H261" s="34" t="s">
        <v>3412</v>
      </c>
      <c r="I261" s="34" t="s">
        <v>3356</v>
      </c>
      <c r="J261" s="55"/>
      <c r="K261" s="55"/>
      <c r="L261" s="55"/>
      <c r="M261" s="85"/>
      <c r="N261" s="155"/>
      <c r="O261" s="163" t="s">
        <v>3862</v>
      </c>
      <c r="P261" s="82" t="s">
        <v>3861</v>
      </c>
      <c r="Q261" s="18" t="s">
        <v>3934</v>
      </c>
      <c r="R261" s="49"/>
      <c r="S261" s="49"/>
      <c r="T261" s="49"/>
      <c r="U261" s="49"/>
      <c r="V261" s="49"/>
    </row>
    <row r="262" spans="3:22">
      <c r="C262" s="56" t="s">
        <v>1980</v>
      </c>
      <c r="D262" s="34" t="s">
        <v>2143</v>
      </c>
      <c r="E262" s="55" t="s">
        <v>2496</v>
      </c>
      <c r="F262" s="55" t="s">
        <v>2182</v>
      </c>
      <c r="G262" s="55">
        <v>5</v>
      </c>
      <c r="H262" s="55" t="s">
        <v>353</v>
      </c>
      <c r="I262" s="55" t="s">
        <v>923</v>
      </c>
      <c r="J262" s="55" t="s">
        <v>2497</v>
      </c>
      <c r="K262" s="55"/>
      <c r="L262" s="55"/>
      <c r="M262" s="85" t="s">
        <v>1469</v>
      </c>
      <c r="N262" s="155"/>
      <c r="O262" s="163" t="s">
        <v>3864</v>
      </c>
      <c r="P262" s="82" t="s">
        <v>3863</v>
      </c>
      <c r="Q262" s="18" t="s">
        <v>3934</v>
      </c>
      <c r="R262" s="49"/>
      <c r="S262" s="49"/>
      <c r="T262" s="49"/>
      <c r="U262" s="49"/>
      <c r="V262" s="49"/>
    </row>
    <row r="263" spans="3:22">
      <c r="C263" s="56" t="s">
        <v>1981</v>
      </c>
      <c r="D263" s="55" t="s">
        <v>2103</v>
      </c>
      <c r="E263" s="55" t="s">
        <v>1079</v>
      </c>
      <c r="F263" s="55" t="s">
        <v>1002</v>
      </c>
      <c r="G263" s="55">
        <v>5</v>
      </c>
      <c r="H263" s="55" t="s">
        <v>352</v>
      </c>
      <c r="I263" s="55" t="s">
        <v>923</v>
      </c>
      <c r="J263" s="55" t="s">
        <v>2087</v>
      </c>
      <c r="K263" s="55"/>
      <c r="L263" s="55"/>
      <c r="M263" s="85" t="s">
        <v>1475</v>
      </c>
      <c r="N263" s="155" t="s">
        <v>3865</v>
      </c>
      <c r="O263" s="163"/>
      <c r="P263" s="82" t="s">
        <v>3694</v>
      </c>
      <c r="Q263" s="18" t="s">
        <v>3934</v>
      </c>
      <c r="R263" s="49"/>
      <c r="S263" s="49"/>
      <c r="T263" s="49"/>
      <c r="U263" s="49"/>
      <c r="V263" s="49"/>
    </row>
    <row r="264" spans="3:22" ht="14.25" thickBot="1">
      <c r="C264" s="53" t="s">
        <v>1982</v>
      </c>
      <c r="D264" s="73" t="s">
        <v>35</v>
      </c>
      <c r="E264" s="73" t="s">
        <v>3866</v>
      </c>
      <c r="F264" s="73" t="s">
        <v>3413</v>
      </c>
      <c r="G264" s="73">
        <v>8</v>
      </c>
      <c r="H264" s="73" t="s">
        <v>3867</v>
      </c>
      <c r="I264" s="73" t="s">
        <v>3363</v>
      </c>
      <c r="J264" s="73" t="s">
        <v>3414</v>
      </c>
      <c r="K264" s="54"/>
      <c r="L264" s="54"/>
      <c r="M264" s="93" t="s">
        <v>3868</v>
      </c>
      <c r="N264" s="164"/>
      <c r="O264" s="180" t="s">
        <v>3869</v>
      </c>
      <c r="P264" s="83" t="s">
        <v>3870</v>
      </c>
      <c r="Q264" s="18" t="s">
        <v>3934</v>
      </c>
      <c r="R264" s="49"/>
      <c r="S264" s="49"/>
      <c r="T264" s="49"/>
      <c r="U264" s="49"/>
      <c r="V264" s="49"/>
    </row>
    <row r="265" spans="3:22">
      <c r="C265" s="50" t="s">
        <v>2184</v>
      </c>
      <c r="D265" s="51" t="s">
        <v>33</v>
      </c>
      <c r="E265" s="68" t="s">
        <v>3415</v>
      </c>
      <c r="F265" s="68" t="s">
        <v>3416</v>
      </c>
      <c r="G265" s="68">
        <v>2</v>
      </c>
      <c r="H265" s="68" t="s">
        <v>3409</v>
      </c>
      <c r="I265" s="68" t="s">
        <v>3363</v>
      </c>
      <c r="J265" s="68" t="s">
        <v>1195</v>
      </c>
      <c r="K265" s="68" t="s">
        <v>3417</v>
      </c>
      <c r="L265" s="51"/>
      <c r="M265" s="92" t="s">
        <v>3418</v>
      </c>
      <c r="N265" s="156"/>
      <c r="O265" s="165" t="s">
        <v>3872</v>
      </c>
      <c r="P265" s="81" t="s">
        <v>3871</v>
      </c>
      <c r="Q265" s="18" t="s">
        <v>3934</v>
      </c>
      <c r="R265" s="49"/>
      <c r="S265" s="49"/>
      <c r="T265" s="49"/>
      <c r="U265" s="49"/>
      <c r="V265" s="49"/>
    </row>
    <row r="266" spans="3:22">
      <c r="C266" s="56" t="s">
        <v>1994</v>
      </c>
      <c r="D266" s="34" t="s">
        <v>36</v>
      </c>
      <c r="E266" s="34" t="s">
        <v>3419</v>
      </c>
      <c r="F266" s="34" t="s">
        <v>3420</v>
      </c>
      <c r="G266" s="34">
        <v>2</v>
      </c>
      <c r="H266" s="34" t="s">
        <v>3421</v>
      </c>
      <c r="I266" s="34" t="s">
        <v>3356</v>
      </c>
      <c r="J266" s="55"/>
      <c r="K266" s="55"/>
      <c r="L266" s="55"/>
      <c r="M266" s="85"/>
      <c r="N266" s="155"/>
      <c r="O266" s="163"/>
      <c r="P266" s="82" t="s">
        <v>3695</v>
      </c>
      <c r="Q266" s="18" t="s">
        <v>3934</v>
      </c>
      <c r="R266" s="49"/>
      <c r="S266" s="49"/>
      <c r="T266" s="49"/>
      <c r="U266" s="49"/>
      <c r="V266" s="49"/>
    </row>
    <row r="267" spans="3:22">
      <c r="C267" s="56" t="s">
        <v>1995</v>
      </c>
      <c r="D267" s="34" t="s">
        <v>2143</v>
      </c>
      <c r="E267" s="34" t="s">
        <v>3422</v>
      </c>
      <c r="F267" s="34" t="s">
        <v>3423</v>
      </c>
      <c r="G267" s="34">
        <v>3</v>
      </c>
      <c r="H267" s="34" t="s">
        <v>3424</v>
      </c>
      <c r="I267" s="34" t="s">
        <v>3359</v>
      </c>
      <c r="J267" s="55"/>
      <c r="K267" s="55"/>
      <c r="L267" s="55"/>
      <c r="M267" s="85"/>
      <c r="N267" s="155"/>
      <c r="O267" s="163"/>
      <c r="P267" s="82" t="s">
        <v>3696</v>
      </c>
      <c r="Q267" s="18" t="s">
        <v>3934</v>
      </c>
      <c r="R267" s="49"/>
      <c r="S267" s="49"/>
      <c r="T267" s="49"/>
      <c r="U267" s="49"/>
      <c r="V267" s="49"/>
    </row>
    <row r="268" spans="3:22">
      <c r="C268" s="56" t="s">
        <v>1996</v>
      </c>
      <c r="D268" s="55" t="s">
        <v>35</v>
      </c>
      <c r="E268" s="55" t="s">
        <v>1397</v>
      </c>
      <c r="F268" s="55" t="s">
        <v>1008</v>
      </c>
      <c r="G268" s="34">
        <v>4</v>
      </c>
      <c r="H268" s="55" t="s">
        <v>364</v>
      </c>
      <c r="I268" s="55" t="s">
        <v>923</v>
      </c>
      <c r="J268" s="55" t="s">
        <v>1596</v>
      </c>
      <c r="K268" s="55"/>
      <c r="L268" s="55"/>
      <c r="M268" s="55" t="s">
        <v>1754</v>
      </c>
      <c r="N268" s="155"/>
      <c r="O268" s="163" t="s">
        <v>1255</v>
      </c>
      <c r="P268" s="82" t="s">
        <v>3873</v>
      </c>
      <c r="Q268" s="18" t="s">
        <v>3934</v>
      </c>
      <c r="R268" s="49"/>
      <c r="S268" s="49"/>
      <c r="T268" s="49"/>
      <c r="U268" s="49"/>
      <c r="V268" s="49"/>
    </row>
    <row r="269" spans="3:22">
      <c r="C269" s="56" t="s">
        <v>1997</v>
      </c>
      <c r="D269" s="55" t="s">
        <v>2103</v>
      </c>
      <c r="E269" s="55" t="s">
        <v>1090</v>
      </c>
      <c r="F269" s="55" t="s">
        <v>1009</v>
      </c>
      <c r="G269" s="55">
        <v>4</v>
      </c>
      <c r="H269" s="55" t="s">
        <v>352</v>
      </c>
      <c r="I269" s="55" t="s">
        <v>923</v>
      </c>
      <c r="J269" s="55" t="s">
        <v>2087</v>
      </c>
      <c r="K269" s="55"/>
      <c r="L269" s="55"/>
      <c r="M269" s="85" t="s">
        <v>2244</v>
      </c>
      <c r="N269" s="155"/>
      <c r="O269" s="163"/>
      <c r="P269" s="82" t="s">
        <v>3697</v>
      </c>
      <c r="Q269" s="18" t="s">
        <v>3934</v>
      </c>
      <c r="R269" s="49"/>
      <c r="S269" s="49"/>
      <c r="T269" s="49"/>
      <c r="U269" s="49"/>
      <c r="V269" s="49"/>
    </row>
    <row r="270" spans="3:22">
      <c r="C270" s="56" t="s">
        <v>1998</v>
      </c>
      <c r="D270" s="34" t="s">
        <v>2135</v>
      </c>
      <c r="E270" s="55" t="s">
        <v>2405</v>
      </c>
      <c r="F270" s="55" t="s">
        <v>1009</v>
      </c>
      <c r="G270" s="55">
        <v>4</v>
      </c>
      <c r="H270" s="55" t="s">
        <v>349</v>
      </c>
      <c r="I270" s="55" t="s">
        <v>1490</v>
      </c>
      <c r="J270" s="55"/>
      <c r="K270" s="55"/>
      <c r="L270" s="55"/>
      <c r="M270" s="85"/>
      <c r="N270" s="155"/>
      <c r="O270" s="163" t="s">
        <v>3742</v>
      </c>
      <c r="P270" s="82" t="s">
        <v>3880</v>
      </c>
      <c r="Q270" s="18" t="s">
        <v>3934</v>
      </c>
      <c r="R270" s="49"/>
      <c r="S270" s="49"/>
      <c r="T270" s="49"/>
      <c r="U270" s="49"/>
      <c r="V270" s="49"/>
    </row>
    <row r="271" spans="3:22">
      <c r="C271" s="56" t="s">
        <v>1999</v>
      </c>
      <c r="D271" s="55" t="s">
        <v>33</v>
      </c>
      <c r="E271" s="55" t="s">
        <v>1471</v>
      </c>
      <c r="F271" s="55" t="s">
        <v>1011</v>
      </c>
      <c r="G271" s="55">
        <v>5</v>
      </c>
      <c r="H271" s="55" t="s">
        <v>347</v>
      </c>
      <c r="I271" s="55" t="s">
        <v>923</v>
      </c>
      <c r="J271" s="55" t="s">
        <v>1414</v>
      </c>
      <c r="K271" s="55"/>
      <c r="L271" s="55"/>
      <c r="M271" s="55" t="s">
        <v>1483</v>
      </c>
      <c r="N271" s="155"/>
      <c r="O271" s="163" t="s">
        <v>3874</v>
      </c>
      <c r="P271" s="82" t="s">
        <v>3875</v>
      </c>
      <c r="Q271" s="18" t="s">
        <v>3934</v>
      </c>
      <c r="R271" s="49"/>
      <c r="S271" s="49"/>
      <c r="T271" s="49"/>
      <c r="U271" s="49"/>
      <c r="V271" s="49"/>
    </row>
    <row r="272" spans="3:22">
      <c r="C272" s="56" t="s">
        <v>2000</v>
      </c>
      <c r="D272" s="34" t="s">
        <v>2143</v>
      </c>
      <c r="E272" s="34" t="s">
        <v>3282</v>
      </c>
      <c r="F272" s="34" t="s">
        <v>3425</v>
      </c>
      <c r="G272" s="55">
        <v>5</v>
      </c>
      <c r="H272" s="34" t="s">
        <v>3426</v>
      </c>
      <c r="I272" s="34" t="s">
        <v>3407</v>
      </c>
      <c r="J272" s="55"/>
      <c r="K272" s="55"/>
      <c r="L272" s="55"/>
      <c r="M272" s="85"/>
      <c r="N272" s="155"/>
      <c r="O272" s="163"/>
      <c r="P272" s="82" t="s">
        <v>3698</v>
      </c>
      <c r="Q272" s="18" t="s">
        <v>3934</v>
      </c>
      <c r="R272" s="49"/>
      <c r="S272" s="49"/>
      <c r="T272" s="49"/>
      <c r="U272" s="49"/>
      <c r="V272" s="49"/>
    </row>
    <row r="273" spans="3:22" ht="14.25" thickBot="1">
      <c r="C273" s="53" t="s">
        <v>2001</v>
      </c>
      <c r="D273" s="54" t="s">
        <v>35</v>
      </c>
      <c r="E273" s="54" t="s">
        <v>2499</v>
      </c>
      <c r="F273" s="54" t="s">
        <v>2500</v>
      </c>
      <c r="G273" s="54">
        <v>8</v>
      </c>
      <c r="H273" s="54" t="s">
        <v>354</v>
      </c>
      <c r="I273" s="54" t="s">
        <v>923</v>
      </c>
      <c r="J273" s="54" t="s">
        <v>2501</v>
      </c>
      <c r="K273" s="54"/>
      <c r="L273" s="54"/>
      <c r="M273" s="93" t="s">
        <v>1485</v>
      </c>
      <c r="N273" s="164"/>
      <c r="O273" s="180" t="s">
        <v>3699</v>
      </c>
      <c r="P273" s="83"/>
      <c r="Q273" s="18" t="s">
        <v>3934</v>
      </c>
      <c r="R273" s="49"/>
      <c r="S273" s="49"/>
      <c r="T273" s="49"/>
      <c r="U273" s="49"/>
      <c r="V273" s="49"/>
    </row>
    <row r="274" spans="3:22">
      <c r="C274" s="50" t="s">
        <v>2200</v>
      </c>
      <c r="D274" s="68" t="s">
        <v>2135</v>
      </c>
      <c r="E274" s="68" t="s">
        <v>3279</v>
      </c>
      <c r="F274" s="68" t="s">
        <v>3427</v>
      </c>
      <c r="G274" s="51">
        <v>1</v>
      </c>
      <c r="H274" s="68" t="s">
        <v>3428</v>
      </c>
      <c r="I274" s="68" t="s">
        <v>3356</v>
      </c>
      <c r="J274" s="51"/>
      <c r="K274" s="51"/>
      <c r="L274" s="51"/>
      <c r="M274" s="92"/>
      <c r="N274" s="159"/>
      <c r="O274" s="171" t="s">
        <v>3877</v>
      </c>
      <c r="P274" s="176" t="s">
        <v>3876</v>
      </c>
      <c r="Q274" s="18" t="s">
        <v>3934</v>
      </c>
      <c r="R274" s="49"/>
      <c r="S274" s="49"/>
      <c r="T274" s="49"/>
      <c r="U274" s="49"/>
      <c r="V274" s="49"/>
    </row>
    <row r="275" spans="3:22">
      <c r="C275" s="56" t="s">
        <v>2013</v>
      </c>
      <c r="D275" s="55" t="s">
        <v>34</v>
      </c>
      <c r="E275" s="34" t="s">
        <v>3429</v>
      </c>
      <c r="F275" s="34" t="s">
        <v>3430</v>
      </c>
      <c r="G275" s="34">
        <v>2</v>
      </c>
      <c r="H275" s="34" t="s">
        <v>3431</v>
      </c>
      <c r="I275" s="34" t="s">
        <v>3356</v>
      </c>
      <c r="J275" s="55"/>
      <c r="K275" s="55"/>
      <c r="L275" s="55"/>
      <c r="M275" s="85"/>
      <c r="N275" s="157"/>
      <c r="O275" s="166" t="s">
        <v>3879</v>
      </c>
      <c r="P275" s="170" t="s">
        <v>3878</v>
      </c>
      <c r="Q275" s="18" t="s">
        <v>3934</v>
      </c>
      <c r="R275" s="49"/>
      <c r="S275" s="49"/>
      <c r="T275" s="49"/>
      <c r="U275" s="49"/>
      <c r="V275" s="49"/>
    </row>
    <row r="276" spans="3:22">
      <c r="C276" s="56" t="s">
        <v>2014</v>
      </c>
      <c r="D276" s="34" t="s">
        <v>34</v>
      </c>
      <c r="E276" s="55" t="s">
        <v>1922</v>
      </c>
      <c r="F276" s="55" t="s">
        <v>1014</v>
      </c>
      <c r="G276" s="55">
        <v>3</v>
      </c>
      <c r="H276" s="55" t="s">
        <v>3432</v>
      </c>
      <c r="I276" s="34" t="s">
        <v>923</v>
      </c>
      <c r="J276" s="55" t="s">
        <v>1930</v>
      </c>
      <c r="K276" s="55" t="s">
        <v>2201</v>
      </c>
      <c r="L276" s="55"/>
      <c r="M276" s="85" t="s">
        <v>1475</v>
      </c>
      <c r="N276" s="157"/>
      <c r="O276" s="166"/>
      <c r="P276" s="170" t="s">
        <v>3700</v>
      </c>
      <c r="Q276" s="18" t="s">
        <v>3934</v>
      </c>
      <c r="R276" s="49"/>
      <c r="S276" s="49"/>
      <c r="T276" s="49"/>
      <c r="U276" s="49"/>
      <c r="V276" s="49"/>
    </row>
    <row r="277" spans="3:22">
      <c r="C277" s="56" t="s">
        <v>2015</v>
      </c>
      <c r="D277" s="55" t="s">
        <v>2103</v>
      </c>
      <c r="E277" s="55" t="s">
        <v>1097</v>
      </c>
      <c r="F277" s="55" t="s">
        <v>1014</v>
      </c>
      <c r="G277" s="55">
        <v>3</v>
      </c>
      <c r="H277" s="55" t="s">
        <v>352</v>
      </c>
      <c r="I277" s="55" t="s">
        <v>923</v>
      </c>
      <c r="J277" s="55" t="s">
        <v>2087</v>
      </c>
      <c r="K277" s="55"/>
      <c r="L277" s="55"/>
      <c r="M277" s="85" t="s">
        <v>1475</v>
      </c>
      <c r="N277" s="155"/>
      <c r="O277" s="163" t="s">
        <v>3750</v>
      </c>
      <c r="P277" s="82" t="s">
        <v>3886</v>
      </c>
      <c r="Q277" s="18" t="s">
        <v>3934</v>
      </c>
      <c r="R277" s="49"/>
      <c r="S277" s="49"/>
      <c r="T277" s="49"/>
      <c r="U277" s="49"/>
      <c r="V277" s="49"/>
    </row>
    <row r="278" spans="3:22">
      <c r="C278" s="56" t="s">
        <v>2016</v>
      </c>
      <c r="D278" s="55" t="s">
        <v>36</v>
      </c>
      <c r="E278" s="55" t="s">
        <v>1171</v>
      </c>
      <c r="F278" s="55" t="s">
        <v>1187</v>
      </c>
      <c r="G278" s="55">
        <v>4</v>
      </c>
      <c r="H278" s="55" t="s">
        <v>348</v>
      </c>
      <c r="I278" s="55" t="s">
        <v>923</v>
      </c>
      <c r="J278" s="55" t="s">
        <v>1410</v>
      </c>
      <c r="K278" s="55" t="s">
        <v>2132</v>
      </c>
      <c r="L278" s="55"/>
      <c r="M278" s="55" t="s">
        <v>1483</v>
      </c>
      <c r="N278" s="157"/>
      <c r="O278" s="166" t="s">
        <v>3885</v>
      </c>
      <c r="P278" s="170" t="s">
        <v>3884</v>
      </c>
      <c r="Q278" s="18" t="s">
        <v>3934</v>
      </c>
      <c r="R278" s="49"/>
      <c r="S278" s="49"/>
      <c r="T278" s="49"/>
      <c r="U278" s="49"/>
      <c r="V278" s="49"/>
    </row>
    <row r="279" spans="3:22">
      <c r="C279" s="56" t="s">
        <v>2017</v>
      </c>
      <c r="D279" s="55" t="s">
        <v>36</v>
      </c>
      <c r="E279" s="55" t="s">
        <v>251</v>
      </c>
      <c r="F279" s="55" t="s">
        <v>1188</v>
      </c>
      <c r="G279" s="55">
        <v>5</v>
      </c>
      <c r="H279" s="55" t="s">
        <v>278</v>
      </c>
      <c r="I279" s="55" t="s">
        <v>923</v>
      </c>
      <c r="J279" s="55" t="s">
        <v>1410</v>
      </c>
      <c r="K279" s="34" t="s">
        <v>2132</v>
      </c>
      <c r="L279" s="55"/>
      <c r="M279" s="55" t="s">
        <v>1479</v>
      </c>
      <c r="N279" s="157"/>
      <c r="O279" s="166" t="s">
        <v>3882</v>
      </c>
      <c r="P279" s="170" t="s">
        <v>3881</v>
      </c>
      <c r="Q279" s="18" t="s">
        <v>3934</v>
      </c>
      <c r="R279" s="49"/>
      <c r="S279" s="49"/>
      <c r="T279" s="49"/>
      <c r="U279" s="49"/>
      <c r="V279" s="49"/>
    </row>
    <row r="280" spans="3:22">
      <c r="C280" s="56" t="s">
        <v>2018</v>
      </c>
      <c r="D280" s="34" t="s">
        <v>2143</v>
      </c>
      <c r="E280" s="34" t="s">
        <v>2385</v>
      </c>
      <c r="F280" s="34" t="s">
        <v>2215</v>
      </c>
      <c r="G280" s="55">
        <v>6</v>
      </c>
      <c r="H280" s="34" t="s">
        <v>2386</v>
      </c>
      <c r="I280" s="34" t="s">
        <v>923</v>
      </c>
      <c r="J280" s="34" t="s">
        <v>2387</v>
      </c>
      <c r="K280" s="55"/>
      <c r="L280" s="55"/>
      <c r="M280" s="85" t="s">
        <v>2244</v>
      </c>
      <c r="N280" s="157"/>
      <c r="O280" s="166" t="s">
        <v>3789</v>
      </c>
      <c r="P280" s="170" t="s">
        <v>3883</v>
      </c>
      <c r="Q280" s="18" t="s">
        <v>3934</v>
      </c>
      <c r="R280" s="49"/>
      <c r="S280" s="49"/>
      <c r="T280" s="49"/>
      <c r="U280" s="49"/>
      <c r="V280" s="49"/>
    </row>
    <row r="281" spans="3:22">
      <c r="C281" s="56" t="s">
        <v>2019</v>
      </c>
      <c r="D281" s="34" t="s">
        <v>2143</v>
      </c>
      <c r="E281" s="34" t="s">
        <v>2523</v>
      </c>
      <c r="F281" s="34" t="s">
        <v>3433</v>
      </c>
      <c r="G281" s="55">
        <v>6</v>
      </c>
      <c r="H281" s="34" t="s">
        <v>3434</v>
      </c>
      <c r="I281" s="34" t="s">
        <v>3407</v>
      </c>
      <c r="J281" s="55"/>
      <c r="K281" s="55"/>
      <c r="L281" s="55"/>
      <c r="M281" s="85"/>
      <c r="N281" s="155"/>
      <c r="O281" s="163"/>
      <c r="P281" s="82" t="s">
        <v>3701</v>
      </c>
      <c r="Q281" s="18" t="s">
        <v>3934</v>
      </c>
      <c r="R281" s="49"/>
      <c r="S281" s="49"/>
      <c r="T281" s="49"/>
      <c r="U281" s="49"/>
      <c r="V281" s="49"/>
    </row>
    <row r="282" spans="3:22" ht="14.25" thickBot="1">
      <c r="C282" s="53" t="s">
        <v>2020</v>
      </c>
      <c r="D282" s="73" t="s">
        <v>37</v>
      </c>
      <c r="E282" s="73" t="s">
        <v>3435</v>
      </c>
      <c r="F282" s="73" t="s">
        <v>3436</v>
      </c>
      <c r="G282" s="73">
        <v>6</v>
      </c>
      <c r="H282" s="73" t="s">
        <v>3437</v>
      </c>
      <c r="I282" s="73" t="s">
        <v>3359</v>
      </c>
      <c r="J282" s="54"/>
      <c r="K282" s="54"/>
      <c r="L282" s="54"/>
      <c r="M282" s="93"/>
      <c r="N282" s="160"/>
      <c r="O282" s="172"/>
      <c r="P282" s="175" t="s">
        <v>3702</v>
      </c>
      <c r="Q282" s="18" t="s">
        <v>3934</v>
      </c>
      <c r="R282" s="49"/>
      <c r="S282" s="49"/>
      <c r="T282" s="49"/>
      <c r="U282" s="49"/>
      <c r="V282" s="49"/>
    </row>
    <row r="283" spans="3:22">
      <c r="C283" s="50" t="s">
        <v>2217</v>
      </c>
      <c r="D283" s="68" t="s">
        <v>37</v>
      </c>
      <c r="E283" s="68" t="s">
        <v>792</v>
      </c>
      <c r="F283" s="68" t="s">
        <v>28</v>
      </c>
      <c r="G283" s="68">
        <v>1</v>
      </c>
      <c r="H283" s="68" t="s">
        <v>351</v>
      </c>
      <c r="I283" s="68" t="s">
        <v>923</v>
      </c>
      <c r="J283" s="68" t="s">
        <v>2157</v>
      </c>
      <c r="K283" s="51"/>
      <c r="L283" s="51"/>
      <c r="M283" s="92" t="s">
        <v>1415</v>
      </c>
      <c r="N283" s="156"/>
      <c r="O283" s="165"/>
      <c r="P283" s="81" t="s">
        <v>3638</v>
      </c>
      <c r="Q283" s="18" t="s">
        <v>3934</v>
      </c>
      <c r="R283" s="49"/>
      <c r="S283" s="49"/>
      <c r="T283" s="49"/>
      <c r="U283" s="49"/>
      <c r="V283" s="49"/>
    </row>
    <row r="284" spans="3:22">
      <c r="C284" s="56" t="s">
        <v>2032</v>
      </c>
      <c r="D284" s="55" t="s">
        <v>2143</v>
      </c>
      <c r="E284" s="34" t="s">
        <v>2537</v>
      </c>
      <c r="F284" s="34" t="s">
        <v>3438</v>
      </c>
      <c r="G284" s="55">
        <v>1</v>
      </c>
      <c r="H284" s="34" t="s">
        <v>3355</v>
      </c>
      <c r="I284" s="34" t="s">
        <v>3407</v>
      </c>
      <c r="J284" s="55"/>
      <c r="K284" s="55"/>
      <c r="L284" s="55"/>
      <c r="M284" s="85"/>
      <c r="N284" s="155"/>
      <c r="O284" s="163"/>
      <c r="P284" s="82" t="s">
        <v>3703</v>
      </c>
      <c r="Q284" s="18" t="s">
        <v>3934</v>
      </c>
      <c r="R284" s="49"/>
      <c r="S284" s="49"/>
      <c r="T284" s="49"/>
      <c r="U284" s="49"/>
      <c r="V284" s="49"/>
    </row>
    <row r="285" spans="3:22">
      <c r="C285" s="56" t="s">
        <v>2033</v>
      </c>
      <c r="D285" s="34" t="s">
        <v>3439</v>
      </c>
      <c r="E285" s="34" t="s">
        <v>2735</v>
      </c>
      <c r="F285" s="34" t="s">
        <v>3440</v>
      </c>
      <c r="G285" s="34">
        <v>2</v>
      </c>
      <c r="H285" s="34" t="s">
        <v>3395</v>
      </c>
      <c r="I285" s="34" t="s">
        <v>3359</v>
      </c>
      <c r="J285" s="55"/>
      <c r="K285" s="55"/>
      <c r="L285" s="55"/>
      <c r="M285" s="85"/>
      <c r="N285" s="155"/>
      <c r="O285" s="163" t="s">
        <v>3889</v>
      </c>
      <c r="P285" s="82" t="s">
        <v>3888</v>
      </c>
      <c r="Q285" s="18" t="s">
        <v>3934</v>
      </c>
      <c r="R285" s="49"/>
      <c r="S285" s="49"/>
      <c r="T285" s="49"/>
      <c r="U285" s="49"/>
      <c r="V285" s="49"/>
    </row>
    <row r="286" spans="3:22">
      <c r="C286" s="56" t="s">
        <v>2034</v>
      </c>
      <c r="D286" s="34" t="s">
        <v>2143</v>
      </c>
      <c r="E286" s="55" t="s">
        <v>816</v>
      </c>
      <c r="F286" s="55" t="s">
        <v>2390</v>
      </c>
      <c r="G286" s="55">
        <v>3</v>
      </c>
      <c r="H286" s="55" t="s">
        <v>364</v>
      </c>
      <c r="I286" s="55" t="s">
        <v>1501</v>
      </c>
      <c r="J286" s="55"/>
      <c r="K286" s="55"/>
      <c r="L286" s="55"/>
      <c r="M286" s="85"/>
      <c r="N286" s="155"/>
      <c r="O286" s="163"/>
      <c r="P286" s="82" t="s">
        <v>3704</v>
      </c>
      <c r="Q286" s="18" t="s">
        <v>3934</v>
      </c>
      <c r="R286" s="49"/>
      <c r="S286" s="49"/>
      <c r="T286" s="49"/>
      <c r="U286" s="49"/>
      <c r="V286" s="49"/>
    </row>
    <row r="287" spans="3:22">
      <c r="C287" s="56" t="s">
        <v>2035</v>
      </c>
      <c r="D287" s="55" t="s">
        <v>2103</v>
      </c>
      <c r="E287" s="55" t="s">
        <v>1111</v>
      </c>
      <c r="F287" s="55" t="s">
        <v>1027</v>
      </c>
      <c r="G287" s="55">
        <v>4</v>
      </c>
      <c r="H287" s="55" t="s">
        <v>352</v>
      </c>
      <c r="I287" s="55" t="s">
        <v>923</v>
      </c>
      <c r="J287" s="55" t="s">
        <v>2087</v>
      </c>
      <c r="K287" s="55"/>
      <c r="L287" s="55"/>
      <c r="M287" s="85" t="s">
        <v>1475</v>
      </c>
      <c r="N287" s="155"/>
      <c r="O287" s="163"/>
      <c r="P287" s="82" t="s">
        <v>2394</v>
      </c>
      <c r="Q287" s="18" t="s">
        <v>3934</v>
      </c>
      <c r="R287" s="49"/>
      <c r="S287" s="49"/>
      <c r="T287" s="49"/>
      <c r="U287" s="49"/>
      <c r="V287" s="49"/>
    </row>
    <row r="288" spans="3:22">
      <c r="C288" s="56" t="s">
        <v>2036</v>
      </c>
      <c r="D288" s="34" t="s">
        <v>37</v>
      </c>
      <c r="E288" s="55" t="s">
        <v>2466</v>
      </c>
      <c r="F288" s="55" t="s">
        <v>1027</v>
      </c>
      <c r="G288" s="34">
        <v>4</v>
      </c>
      <c r="H288" s="55" t="s">
        <v>378</v>
      </c>
      <c r="I288" s="55" t="s">
        <v>923</v>
      </c>
      <c r="J288" s="55" t="s">
        <v>1930</v>
      </c>
      <c r="K288" s="55"/>
      <c r="L288" s="55"/>
      <c r="M288" s="85" t="s">
        <v>1475</v>
      </c>
      <c r="N288" s="155"/>
      <c r="O288" s="163" t="s">
        <v>3887</v>
      </c>
      <c r="P288" s="82"/>
      <c r="Q288" s="18" t="s">
        <v>3934</v>
      </c>
      <c r="R288" s="49"/>
      <c r="S288" s="49"/>
      <c r="T288" s="49"/>
      <c r="U288" s="49"/>
      <c r="V288" s="49"/>
    </row>
    <row r="289" spans="3:22">
      <c r="C289" s="56" t="s">
        <v>2037</v>
      </c>
      <c r="D289" s="55" t="s">
        <v>35</v>
      </c>
      <c r="E289" s="55" t="s">
        <v>788</v>
      </c>
      <c r="F289" s="55" t="s">
        <v>1028</v>
      </c>
      <c r="G289" s="55">
        <v>5</v>
      </c>
      <c r="H289" s="55" t="s">
        <v>279</v>
      </c>
      <c r="I289" s="55" t="s">
        <v>923</v>
      </c>
      <c r="J289" s="55" t="s">
        <v>1593</v>
      </c>
      <c r="K289" s="55" t="s">
        <v>2392</v>
      </c>
      <c r="L289" s="55"/>
      <c r="M289" s="85" t="s">
        <v>1716</v>
      </c>
      <c r="N289" s="155"/>
      <c r="O289" s="163" t="s">
        <v>3891</v>
      </c>
      <c r="P289" s="82" t="s">
        <v>3892</v>
      </c>
      <c r="Q289" s="18" t="s">
        <v>3934</v>
      </c>
      <c r="R289" s="49"/>
      <c r="S289" s="49"/>
      <c r="T289" s="49"/>
      <c r="U289" s="49"/>
      <c r="V289" s="49"/>
    </row>
    <row r="290" spans="3:22">
      <c r="C290" s="56" t="s">
        <v>2038</v>
      </c>
      <c r="D290" s="55" t="s">
        <v>35</v>
      </c>
      <c r="E290" s="34" t="s">
        <v>1402</v>
      </c>
      <c r="F290" s="34" t="s">
        <v>1387</v>
      </c>
      <c r="G290" s="34">
        <v>6</v>
      </c>
      <c r="H290" s="34" t="s">
        <v>366</v>
      </c>
      <c r="I290" s="34" t="s">
        <v>923</v>
      </c>
      <c r="J290" s="34" t="s">
        <v>1272</v>
      </c>
      <c r="K290" s="34" t="s">
        <v>2125</v>
      </c>
      <c r="L290" s="55"/>
      <c r="M290" s="55" t="s">
        <v>1756</v>
      </c>
      <c r="N290" s="155"/>
      <c r="O290" s="163"/>
      <c r="P290" s="82" t="s">
        <v>3890</v>
      </c>
      <c r="Q290" s="18" t="s">
        <v>3934</v>
      </c>
      <c r="R290" s="49"/>
      <c r="S290" s="49"/>
      <c r="T290" s="49"/>
      <c r="U290" s="49"/>
      <c r="V290" s="49"/>
    </row>
    <row r="291" spans="3:22" ht="14.25" thickBot="1">
      <c r="C291" s="53" t="s">
        <v>2039</v>
      </c>
      <c r="D291" s="73" t="s">
        <v>3441</v>
      </c>
      <c r="E291" s="73" t="s">
        <v>2741</v>
      </c>
      <c r="F291" s="73" t="s">
        <v>3442</v>
      </c>
      <c r="G291" s="73">
        <v>6</v>
      </c>
      <c r="H291" s="73" t="s">
        <v>3362</v>
      </c>
      <c r="I291" s="73" t="s">
        <v>3356</v>
      </c>
      <c r="J291" s="54"/>
      <c r="K291" s="54"/>
      <c r="L291" s="54"/>
      <c r="M291" s="93"/>
      <c r="N291" s="164"/>
      <c r="O291" s="180"/>
      <c r="P291" s="83" t="s">
        <v>3705</v>
      </c>
      <c r="Q291" s="18" t="s">
        <v>3934</v>
      </c>
      <c r="R291" s="49"/>
      <c r="S291" s="49"/>
      <c r="T291" s="49"/>
      <c r="U291" s="49"/>
      <c r="V291" s="49"/>
    </row>
    <row r="292" spans="3:22">
      <c r="C292" s="67" t="s">
        <v>2231</v>
      </c>
      <c r="D292" s="68"/>
      <c r="E292" s="51" t="s">
        <v>2505</v>
      </c>
      <c r="F292" s="51" t="s">
        <v>1044</v>
      </c>
      <c r="G292" s="51">
        <v>3</v>
      </c>
      <c r="H292" s="51" t="s">
        <v>349</v>
      </c>
      <c r="I292" s="51" t="s">
        <v>923</v>
      </c>
      <c r="J292" s="51" t="s">
        <v>1410</v>
      </c>
      <c r="K292" s="51" t="s">
        <v>2506</v>
      </c>
      <c r="L292" s="51"/>
      <c r="M292" s="92" t="s">
        <v>1480</v>
      </c>
      <c r="N292" s="159"/>
      <c r="O292" s="171"/>
      <c r="P292" s="176" t="s">
        <v>3706</v>
      </c>
      <c r="Q292" s="18" t="s">
        <v>3934</v>
      </c>
      <c r="R292" s="49"/>
      <c r="S292" s="49"/>
      <c r="T292" s="49"/>
      <c r="U292" s="49"/>
      <c r="V292" s="49"/>
    </row>
    <row r="293" spans="3:22">
      <c r="C293" s="70" t="s">
        <v>2051</v>
      </c>
      <c r="D293" s="34"/>
      <c r="E293" s="55" t="s">
        <v>3443</v>
      </c>
      <c r="F293" s="55" t="s">
        <v>3444</v>
      </c>
      <c r="G293" s="55">
        <v>5</v>
      </c>
      <c r="H293" s="55" t="s">
        <v>3445</v>
      </c>
      <c r="I293" s="55" t="s">
        <v>3356</v>
      </c>
      <c r="J293" s="34"/>
      <c r="K293" s="55"/>
      <c r="L293" s="55"/>
      <c r="M293" s="85"/>
      <c r="N293" s="157"/>
      <c r="O293" s="166"/>
      <c r="P293" s="170" t="s">
        <v>3707</v>
      </c>
      <c r="Q293" s="18" t="s">
        <v>3934</v>
      </c>
      <c r="R293" s="49"/>
      <c r="S293" s="49"/>
      <c r="T293" s="49"/>
      <c r="U293" s="49"/>
      <c r="V293" s="49"/>
    </row>
    <row r="294" spans="3:22">
      <c r="C294" s="70" t="s">
        <v>2232</v>
      </c>
      <c r="D294" s="34"/>
      <c r="E294" s="55" t="s">
        <v>2508</v>
      </c>
      <c r="F294" s="55" t="s">
        <v>2509</v>
      </c>
      <c r="G294" s="55">
        <v>7</v>
      </c>
      <c r="H294" s="55" t="s">
        <v>358</v>
      </c>
      <c r="I294" s="55" t="s">
        <v>1501</v>
      </c>
      <c r="J294" s="55"/>
      <c r="K294" s="55"/>
      <c r="L294" s="55"/>
      <c r="M294" s="85"/>
      <c r="N294" s="157"/>
      <c r="O294" s="166" t="s">
        <v>3894</v>
      </c>
      <c r="P294" s="170" t="s">
        <v>3893</v>
      </c>
      <c r="Q294" s="18" t="s">
        <v>3934</v>
      </c>
      <c r="R294" s="49"/>
      <c r="S294" s="49"/>
      <c r="T294" s="49"/>
      <c r="U294" s="49"/>
      <c r="V294" s="49"/>
    </row>
    <row r="295" spans="3:22">
      <c r="C295" s="70" t="s">
        <v>2054</v>
      </c>
      <c r="D295" s="34"/>
      <c r="E295" s="55" t="s">
        <v>2927</v>
      </c>
      <c r="F295" s="55" t="s">
        <v>3446</v>
      </c>
      <c r="G295" s="55">
        <v>3</v>
      </c>
      <c r="H295" s="55" t="s">
        <v>3431</v>
      </c>
      <c r="I295" s="55" t="s">
        <v>3359</v>
      </c>
      <c r="J295" s="34"/>
      <c r="K295" s="55"/>
      <c r="L295" s="55"/>
      <c r="M295" s="85"/>
      <c r="N295" s="157"/>
      <c r="O295" s="166" t="s">
        <v>3896</v>
      </c>
      <c r="P295" s="170" t="s">
        <v>3895</v>
      </c>
      <c r="Q295" s="18" t="s">
        <v>3934</v>
      </c>
      <c r="R295" s="49"/>
      <c r="S295" s="49"/>
      <c r="T295" s="49"/>
      <c r="U295" s="49"/>
      <c r="V295" s="49"/>
    </row>
    <row r="296" spans="3:22">
      <c r="C296" s="70" t="s">
        <v>2233</v>
      </c>
      <c r="D296" s="34"/>
      <c r="E296" s="55" t="s">
        <v>2511</v>
      </c>
      <c r="F296" s="55" t="s">
        <v>2512</v>
      </c>
      <c r="G296" s="55">
        <v>3</v>
      </c>
      <c r="H296" s="55" t="s">
        <v>1504</v>
      </c>
      <c r="I296" s="55" t="s">
        <v>1501</v>
      </c>
      <c r="J296" s="55"/>
      <c r="K296" s="55"/>
      <c r="L296" s="55"/>
      <c r="M296" s="85"/>
      <c r="N296" s="157"/>
      <c r="O296" s="166"/>
      <c r="P296" s="170" t="s">
        <v>2513</v>
      </c>
      <c r="Q296" s="18" t="s">
        <v>3934</v>
      </c>
      <c r="R296" s="49"/>
      <c r="S296" s="49"/>
      <c r="T296" s="49"/>
      <c r="U296" s="49"/>
      <c r="V296" s="49"/>
    </row>
    <row r="297" spans="3:22">
      <c r="C297" s="70" t="s">
        <v>2057</v>
      </c>
      <c r="D297" s="34"/>
      <c r="E297" s="55" t="s">
        <v>2933</v>
      </c>
      <c r="F297" s="55" t="s">
        <v>3447</v>
      </c>
      <c r="G297" s="55">
        <v>4</v>
      </c>
      <c r="H297" s="55" t="s">
        <v>3431</v>
      </c>
      <c r="I297" s="55" t="s">
        <v>3356</v>
      </c>
      <c r="J297" s="34"/>
      <c r="K297" s="55"/>
      <c r="L297" s="55"/>
      <c r="M297" s="85"/>
      <c r="N297" s="157"/>
      <c r="O297" s="166"/>
      <c r="P297" s="170" t="s">
        <v>3708</v>
      </c>
      <c r="Q297" s="18" t="s">
        <v>3934</v>
      </c>
      <c r="R297" s="49"/>
      <c r="S297" s="49"/>
      <c r="T297" s="49"/>
      <c r="U297" s="49"/>
      <c r="V297" s="49"/>
    </row>
    <row r="298" spans="3:22">
      <c r="C298" s="70" t="s">
        <v>2234</v>
      </c>
      <c r="D298" s="34"/>
      <c r="E298" s="55" t="s">
        <v>2514</v>
      </c>
      <c r="F298" s="55" t="s">
        <v>1686</v>
      </c>
      <c r="G298" s="55">
        <v>4</v>
      </c>
      <c r="H298" s="55" t="s">
        <v>371</v>
      </c>
      <c r="I298" s="55" t="s">
        <v>923</v>
      </c>
      <c r="J298" s="55" t="s">
        <v>2290</v>
      </c>
      <c r="K298" s="55"/>
      <c r="L298" s="55"/>
      <c r="M298" s="85" t="s">
        <v>1479</v>
      </c>
      <c r="N298" s="157"/>
      <c r="O298" s="166" t="s">
        <v>3897</v>
      </c>
      <c r="P298" s="170"/>
      <c r="Q298" s="18" t="s">
        <v>3934</v>
      </c>
      <c r="R298" s="49"/>
      <c r="S298" s="49"/>
      <c r="T298" s="49"/>
      <c r="U298" s="49"/>
      <c r="V298" s="49"/>
    </row>
    <row r="299" spans="3:22">
      <c r="C299" s="70" t="s">
        <v>2060</v>
      </c>
      <c r="D299" s="34"/>
      <c r="E299" s="55" t="s">
        <v>3448</v>
      </c>
      <c r="F299" s="55" t="s">
        <v>3449</v>
      </c>
      <c r="G299" s="55">
        <v>5</v>
      </c>
      <c r="H299" s="55" t="s">
        <v>3358</v>
      </c>
      <c r="I299" s="55" t="s">
        <v>3407</v>
      </c>
      <c r="J299" s="34"/>
      <c r="K299" s="55"/>
      <c r="L299" s="55"/>
      <c r="M299" s="85"/>
      <c r="N299" s="157"/>
      <c r="O299" s="166"/>
      <c r="P299" s="170" t="s">
        <v>3709</v>
      </c>
      <c r="Q299" s="18" t="s">
        <v>3934</v>
      </c>
      <c r="R299" s="49"/>
      <c r="S299" s="49"/>
      <c r="T299" s="49"/>
      <c r="U299" s="49"/>
      <c r="V299" s="49"/>
    </row>
    <row r="300" spans="3:22">
      <c r="C300" s="70" t="s">
        <v>2235</v>
      </c>
      <c r="D300" s="34"/>
      <c r="E300" s="55" t="s">
        <v>2516</v>
      </c>
      <c r="F300" s="55" t="s">
        <v>2517</v>
      </c>
      <c r="G300" s="55">
        <v>4</v>
      </c>
      <c r="H300" s="55" t="s">
        <v>380</v>
      </c>
      <c r="I300" s="55" t="s">
        <v>923</v>
      </c>
      <c r="J300" s="55"/>
      <c r="K300" s="55"/>
      <c r="L300" s="55"/>
      <c r="M300" s="85" t="s">
        <v>3366</v>
      </c>
      <c r="N300" s="157"/>
      <c r="O300" s="166"/>
      <c r="P300" s="170" t="s">
        <v>3710</v>
      </c>
      <c r="Q300" s="18" t="s">
        <v>3934</v>
      </c>
      <c r="R300" s="49"/>
      <c r="S300" s="49"/>
      <c r="T300" s="49"/>
      <c r="U300" s="49"/>
      <c r="V300" s="49"/>
    </row>
    <row r="301" spans="3:22" ht="14.25" thickBot="1">
      <c r="C301" s="72" t="s">
        <v>2063</v>
      </c>
      <c r="D301" s="73"/>
      <c r="E301" s="54" t="s">
        <v>2936</v>
      </c>
      <c r="F301" s="54" t="s">
        <v>3450</v>
      </c>
      <c r="G301" s="54">
        <v>5</v>
      </c>
      <c r="H301" s="54" t="s">
        <v>3362</v>
      </c>
      <c r="I301" s="54" t="s">
        <v>3356</v>
      </c>
      <c r="J301" s="73"/>
      <c r="K301" s="54"/>
      <c r="L301" s="54"/>
      <c r="M301" s="93"/>
      <c r="N301" s="160"/>
      <c r="O301" s="172" t="s">
        <v>3898</v>
      </c>
      <c r="P301" s="175"/>
      <c r="Q301" s="18" t="s">
        <v>3934</v>
      </c>
      <c r="R301" s="49"/>
      <c r="S301" s="49"/>
      <c r="T301" s="49"/>
      <c r="U301" s="49"/>
      <c r="V301" s="49"/>
    </row>
    <row r="302" spans="3:22">
      <c r="C302" s="75" t="s">
        <v>901</v>
      </c>
      <c r="D302" s="66"/>
      <c r="E302" s="66" t="s">
        <v>2395</v>
      </c>
      <c r="F302" s="60" t="s">
        <v>2518</v>
      </c>
      <c r="G302" s="60">
        <v>6</v>
      </c>
      <c r="H302" s="60" t="s">
        <v>353</v>
      </c>
      <c r="I302" s="60" t="s">
        <v>923</v>
      </c>
      <c r="J302" s="66" t="s">
        <v>3451</v>
      </c>
      <c r="K302" s="60"/>
      <c r="L302" s="60"/>
      <c r="M302" s="87" t="s">
        <v>1485</v>
      </c>
      <c r="N302" s="173"/>
      <c r="O302" s="182" t="s">
        <v>3561</v>
      </c>
      <c r="P302" s="174" t="s">
        <v>3711</v>
      </c>
      <c r="Q302" s="18" t="s">
        <v>3934</v>
      </c>
      <c r="R302" s="49"/>
      <c r="S302" s="49"/>
      <c r="T302" s="49"/>
      <c r="U302" s="49"/>
      <c r="V302" s="49"/>
    </row>
    <row r="303" spans="3:22">
      <c r="C303" s="70" t="s">
        <v>903</v>
      </c>
      <c r="D303" s="34"/>
      <c r="E303" s="34" t="s">
        <v>2396</v>
      </c>
      <c r="F303" s="55" t="s">
        <v>2519</v>
      </c>
      <c r="G303" s="55">
        <v>6</v>
      </c>
      <c r="H303" s="55" t="s">
        <v>353</v>
      </c>
      <c r="I303" s="55" t="s">
        <v>923</v>
      </c>
      <c r="J303" s="34" t="s">
        <v>3451</v>
      </c>
      <c r="K303" s="55"/>
      <c r="L303" s="55"/>
      <c r="M303" s="85" t="s">
        <v>1485</v>
      </c>
      <c r="N303" s="157"/>
      <c r="O303" s="182" t="s">
        <v>3561</v>
      </c>
      <c r="P303" s="170" t="s">
        <v>3711</v>
      </c>
      <c r="Q303" s="18" t="s">
        <v>3934</v>
      </c>
      <c r="R303" s="49"/>
      <c r="S303" s="49"/>
      <c r="T303" s="49"/>
      <c r="U303" s="49"/>
      <c r="V303" s="49"/>
    </row>
    <row r="304" spans="3:22">
      <c r="C304" s="70" t="s">
        <v>905</v>
      </c>
      <c r="D304" s="34"/>
      <c r="E304" s="34" t="s">
        <v>2397</v>
      </c>
      <c r="F304" s="55" t="s">
        <v>2520</v>
      </c>
      <c r="G304" s="55">
        <v>6</v>
      </c>
      <c r="H304" s="55" t="s">
        <v>353</v>
      </c>
      <c r="I304" s="55" t="s">
        <v>923</v>
      </c>
      <c r="J304" s="34" t="s">
        <v>3451</v>
      </c>
      <c r="K304" s="55"/>
      <c r="L304" s="55"/>
      <c r="M304" s="85" t="s">
        <v>1485</v>
      </c>
      <c r="N304" s="157"/>
      <c r="O304" s="182" t="s">
        <v>3561</v>
      </c>
      <c r="P304" s="170" t="s">
        <v>3711</v>
      </c>
      <c r="Q304" s="18" t="s">
        <v>3934</v>
      </c>
      <c r="R304" s="49"/>
      <c r="S304" s="49"/>
      <c r="T304" s="49"/>
      <c r="U304" s="49"/>
      <c r="V304" s="49"/>
    </row>
    <row r="305" spans="3:22">
      <c r="C305" s="70" t="s">
        <v>907</v>
      </c>
      <c r="D305" s="34"/>
      <c r="E305" s="34" t="s">
        <v>2398</v>
      </c>
      <c r="F305" s="55" t="s">
        <v>2521</v>
      </c>
      <c r="G305" s="55">
        <v>6</v>
      </c>
      <c r="H305" s="55" t="s">
        <v>353</v>
      </c>
      <c r="I305" s="55" t="s">
        <v>923</v>
      </c>
      <c r="J305" s="34" t="s">
        <v>3451</v>
      </c>
      <c r="K305" s="55"/>
      <c r="L305" s="55"/>
      <c r="M305" s="85" t="s">
        <v>1485</v>
      </c>
      <c r="N305" s="157"/>
      <c r="O305" s="182" t="s">
        <v>3561</v>
      </c>
      <c r="P305" s="170" t="s">
        <v>3711</v>
      </c>
      <c r="Q305" s="18" t="s">
        <v>3934</v>
      </c>
      <c r="R305" s="49"/>
      <c r="S305" s="49"/>
      <c r="T305" s="49"/>
      <c r="U305" s="49"/>
      <c r="V305" s="49"/>
    </row>
    <row r="306" spans="3:22">
      <c r="C306" s="70" t="s">
        <v>899</v>
      </c>
      <c r="D306" s="34"/>
      <c r="E306" s="34" t="s">
        <v>2399</v>
      </c>
      <c r="F306" s="55" t="s">
        <v>2522</v>
      </c>
      <c r="G306" s="55">
        <v>6</v>
      </c>
      <c r="H306" s="55" t="s">
        <v>353</v>
      </c>
      <c r="I306" s="55" t="s">
        <v>923</v>
      </c>
      <c r="J306" s="34" t="s">
        <v>3451</v>
      </c>
      <c r="K306" s="55"/>
      <c r="L306" s="55"/>
      <c r="M306" s="85" t="s">
        <v>1485</v>
      </c>
      <c r="N306" s="157"/>
      <c r="O306" s="182" t="s">
        <v>3561</v>
      </c>
      <c r="P306" s="170" t="s">
        <v>3711</v>
      </c>
      <c r="Q306" s="18" t="s">
        <v>3934</v>
      </c>
      <c r="R306" s="49"/>
      <c r="S306" s="49"/>
      <c r="T306" s="49"/>
      <c r="U306" s="49"/>
      <c r="V306" s="49"/>
    </row>
    <row r="307" spans="3:22" ht="14.25" thickBot="1">
      <c r="C307" s="72" t="s">
        <v>918</v>
      </c>
      <c r="D307" s="73" t="s">
        <v>2103</v>
      </c>
      <c r="E307" s="54" t="s">
        <v>1130</v>
      </c>
      <c r="F307" s="54" t="s">
        <v>1029</v>
      </c>
      <c r="G307" s="54">
        <v>5</v>
      </c>
      <c r="H307" s="54" t="s">
        <v>354</v>
      </c>
      <c r="I307" s="54" t="s">
        <v>923</v>
      </c>
      <c r="J307" s="54" t="s">
        <v>2087</v>
      </c>
      <c r="K307" s="54"/>
      <c r="L307" s="54"/>
      <c r="M307" s="93" t="s">
        <v>2323</v>
      </c>
      <c r="N307" s="164"/>
      <c r="O307" s="180"/>
      <c r="P307" s="83" t="s">
        <v>2800</v>
      </c>
      <c r="Q307" s="18" t="s">
        <v>3934</v>
      </c>
      <c r="R307" s="49"/>
      <c r="S307" s="49"/>
      <c r="T307" s="49"/>
      <c r="U307" s="49"/>
      <c r="V307" s="49"/>
    </row>
    <row r="308" spans="3:22">
      <c r="C308" s="67" t="s">
        <v>2236</v>
      </c>
      <c r="D308" s="68"/>
      <c r="E308" s="51" t="s">
        <v>2400</v>
      </c>
      <c r="F308" s="51">
        <v>2</v>
      </c>
      <c r="G308" s="51">
        <v>2</v>
      </c>
      <c r="H308" s="51" t="s">
        <v>352</v>
      </c>
      <c r="I308" s="68" t="s">
        <v>2237</v>
      </c>
      <c r="J308" s="51"/>
      <c r="K308" s="51"/>
      <c r="L308" s="51"/>
      <c r="M308" s="92"/>
      <c r="N308" s="156"/>
      <c r="O308" s="165"/>
      <c r="P308" s="81" t="s">
        <v>2401</v>
      </c>
      <c r="Q308" s="18" t="s">
        <v>3934</v>
      </c>
      <c r="R308" s="49"/>
      <c r="S308" s="49"/>
      <c r="T308" s="49"/>
      <c r="U308" s="49"/>
      <c r="V308" s="49"/>
    </row>
    <row r="309" spans="3:22">
      <c r="C309" s="70" t="s">
        <v>2066</v>
      </c>
      <c r="D309" s="34"/>
      <c r="E309" s="34" t="s">
        <v>3452</v>
      </c>
      <c r="F309" s="55">
        <v>2</v>
      </c>
      <c r="G309" s="34">
        <v>2</v>
      </c>
      <c r="H309" s="34" t="s">
        <v>3401</v>
      </c>
      <c r="I309" s="34" t="s">
        <v>2237</v>
      </c>
      <c r="J309" s="34" t="s">
        <v>1327</v>
      </c>
      <c r="K309" s="55"/>
      <c r="L309" s="55"/>
      <c r="M309" s="85"/>
      <c r="N309" s="157"/>
      <c r="O309" s="166" t="s">
        <v>3900</v>
      </c>
      <c r="P309" s="170" t="s">
        <v>3899</v>
      </c>
      <c r="Q309" s="18" t="s">
        <v>3934</v>
      </c>
      <c r="R309" s="49"/>
      <c r="S309" s="49"/>
      <c r="T309" s="49"/>
      <c r="U309" s="49"/>
      <c r="V309" s="49"/>
    </row>
    <row r="310" spans="3:22">
      <c r="C310" s="70" t="s">
        <v>2067</v>
      </c>
      <c r="D310" s="34"/>
      <c r="E310" s="34" t="s">
        <v>2731</v>
      </c>
      <c r="F310" s="55">
        <v>4</v>
      </c>
      <c r="G310" s="34">
        <v>4</v>
      </c>
      <c r="H310" s="34" t="s">
        <v>3453</v>
      </c>
      <c r="I310" s="34" t="s">
        <v>3454</v>
      </c>
      <c r="J310" s="34"/>
      <c r="K310" s="55"/>
      <c r="L310" s="55"/>
      <c r="M310" s="85" t="s">
        <v>3403</v>
      </c>
      <c r="N310" s="157" t="s">
        <v>3726</v>
      </c>
      <c r="O310" s="166"/>
      <c r="P310" s="170" t="s">
        <v>3901</v>
      </c>
      <c r="Q310" s="18" t="s">
        <v>3934</v>
      </c>
      <c r="R310" s="49"/>
      <c r="S310" s="49"/>
      <c r="T310" s="49"/>
      <c r="U310" s="49"/>
      <c r="V310" s="49"/>
    </row>
    <row r="311" spans="3:22" ht="14.25" thickBot="1">
      <c r="C311" s="72" t="s">
        <v>2068</v>
      </c>
      <c r="D311" s="73"/>
      <c r="E311" s="73" t="s">
        <v>3455</v>
      </c>
      <c r="F311" s="54">
        <v>5</v>
      </c>
      <c r="G311" s="73">
        <v>5</v>
      </c>
      <c r="H311" s="73" t="s">
        <v>3456</v>
      </c>
      <c r="I311" s="73" t="s">
        <v>2237</v>
      </c>
      <c r="J311" s="54"/>
      <c r="K311" s="54"/>
      <c r="L311" s="54"/>
      <c r="M311" s="93"/>
      <c r="N311" s="164"/>
      <c r="O311" s="180"/>
      <c r="P311" s="83" t="s">
        <v>3902</v>
      </c>
      <c r="Q311" s="18" t="s">
        <v>3934</v>
      </c>
      <c r="R311" s="49"/>
      <c r="S311" s="49"/>
      <c r="T311" s="49"/>
      <c r="U311" s="49"/>
      <c r="V311" s="49"/>
    </row>
    <row r="312" spans="3:22">
      <c r="C312" s="75" t="s">
        <v>2243</v>
      </c>
      <c r="D312" s="66"/>
      <c r="E312" s="60" t="s">
        <v>2403</v>
      </c>
      <c r="F312" s="60"/>
      <c r="G312" s="60"/>
      <c r="H312" s="66" t="s">
        <v>3457</v>
      </c>
      <c r="I312" s="60" t="s">
        <v>249</v>
      </c>
      <c r="J312" s="60"/>
      <c r="K312" s="60"/>
      <c r="L312" s="60"/>
      <c r="M312" s="87"/>
      <c r="N312" s="158"/>
      <c r="O312" s="167"/>
      <c r="P312" s="84" t="s">
        <v>3712</v>
      </c>
      <c r="Q312" s="18" t="s">
        <v>3934</v>
      </c>
      <c r="R312" s="49"/>
      <c r="S312" s="49"/>
      <c r="T312" s="49"/>
      <c r="U312" s="49"/>
      <c r="V312" s="49"/>
    </row>
    <row r="313" spans="3:22">
      <c r="C313" s="70" t="s">
        <v>2072</v>
      </c>
      <c r="D313" s="34"/>
      <c r="E313" s="55" t="s">
        <v>2402</v>
      </c>
      <c r="F313" s="55"/>
      <c r="G313" s="55"/>
      <c r="H313" s="34" t="s">
        <v>3424</v>
      </c>
      <c r="I313" s="55" t="s">
        <v>249</v>
      </c>
      <c r="J313" s="55"/>
      <c r="K313" s="55"/>
      <c r="L313" s="55"/>
      <c r="M313" s="85"/>
      <c r="N313" s="155"/>
      <c r="O313" s="163"/>
      <c r="P313" s="82" t="s">
        <v>2800</v>
      </c>
      <c r="Q313" s="18" t="s">
        <v>3934</v>
      </c>
      <c r="R313" s="49"/>
      <c r="S313" s="49"/>
      <c r="T313" s="49"/>
      <c r="U313" s="49"/>
      <c r="V313" s="49"/>
    </row>
    <row r="314" spans="3:22">
      <c r="C314" s="70" t="s">
        <v>2073</v>
      </c>
      <c r="D314" s="34"/>
      <c r="E314" s="34" t="s">
        <v>1260</v>
      </c>
      <c r="F314" s="55"/>
      <c r="G314" s="55"/>
      <c r="H314" s="34" t="s">
        <v>3421</v>
      </c>
      <c r="I314" s="55" t="s">
        <v>249</v>
      </c>
      <c r="J314" s="55"/>
      <c r="K314" s="55"/>
      <c r="L314" s="55"/>
      <c r="M314" s="85"/>
      <c r="N314" s="155"/>
      <c r="O314" s="163"/>
      <c r="P314" s="82" t="s">
        <v>2800</v>
      </c>
      <c r="Q314" s="18" t="s">
        <v>3934</v>
      </c>
      <c r="R314" s="49"/>
      <c r="S314" s="49"/>
      <c r="T314" s="49"/>
      <c r="U314" s="49"/>
      <c r="V314" s="49"/>
    </row>
    <row r="315" spans="3:22">
      <c r="C315" s="70" t="s">
        <v>2074</v>
      </c>
      <c r="D315" s="34"/>
      <c r="E315" s="34" t="s">
        <v>2640</v>
      </c>
      <c r="F315" s="55"/>
      <c r="G315" s="55"/>
      <c r="H315" s="55" t="s">
        <v>3395</v>
      </c>
      <c r="I315" s="34" t="s">
        <v>249</v>
      </c>
      <c r="J315" s="55"/>
      <c r="K315" s="55"/>
      <c r="L315" s="55"/>
      <c r="M315" s="85"/>
      <c r="N315" s="155"/>
      <c r="O315" s="163"/>
      <c r="P315" s="82" t="s">
        <v>2800</v>
      </c>
      <c r="Q315" s="18" t="s">
        <v>3934</v>
      </c>
      <c r="R315" s="49"/>
      <c r="S315" s="49"/>
      <c r="T315" s="49"/>
      <c r="U315" s="49"/>
      <c r="V315" s="49"/>
    </row>
    <row r="316" spans="3:22" ht="14.25" thickBot="1">
      <c r="C316" s="72" t="s">
        <v>2075</v>
      </c>
      <c r="D316" s="73"/>
      <c r="E316" s="73" t="s">
        <v>3458</v>
      </c>
      <c r="F316" s="54"/>
      <c r="G316" s="54"/>
      <c r="H316" s="54" t="s">
        <v>3459</v>
      </c>
      <c r="I316" s="73" t="s">
        <v>249</v>
      </c>
      <c r="J316" s="54"/>
      <c r="K316" s="54"/>
      <c r="L316" s="54"/>
      <c r="M316" s="93"/>
      <c r="N316" s="164"/>
      <c r="O316" s="180"/>
      <c r="P316" s="83" t="s">
        <v>2800</v>
      </c>
      <c r="Q316" s="18" t="s">
        <v>3934</v>
      </c>
      <c r="R316" s="49"/>
      <c r="S316" s="49"/>
      <c r="T316" s="49"/>
      <c r="U316" s="49"/>
      <c r="V316" s="49"/>
    </row>
    <row r="317" spans="3:22" ht="14.25" thickBot="1">
      <c r="C317" s="49"/>
      <c r="E317" s="49"/>
      <c r="F317" s="49"/>
      <c r="H317" s="49"/>
      <c r="I317" s="49"/>
      <c r="J317" s="49"/>
      <c r="P317" s="18" t="s">
        <v>2800</v>
      </c>
      <c r="Q317" s="18" t="s">
        <v>3934</v>
      </c>
      <c r="R317" s="49"/>
      <c r="S317" s="49"/>
      <c r="T317" s="49"/>
      <c r="U317" s="49"/>
      <c r="V317" s="49"/>
    </row>
    <row r="318" spans="3:22">
      <c r="C318" s="50" t="s">
        <v>2543</v>
      </c>
      <c r="D318" s="51"/>
      <c r="E318" s="51" t="s">
        <v>1181</v>
      </c>
      <c r="F318" s="51" t="s">
        <v>1186</v>
      </c>
      <c r="G318" s="51">
        <v>7</v>
      </c>
      <c r="H318" s="51" t="s">
        <v>347</v>
      </c>
      <c r="I318" s="51" t="s">
        <v>923</v>
      </c>
      <c r="J318" s="51" t="s">
        <v>1195</v>
      </c>
      <c r="K318" s="51" t="s">
        <v>1149</v>
      </c>
      <c r="L318" s="51"/>
      <c r="M318" s="51" t="s">
        <v>1753</v>
      </c>
      <c r="N318" s="159"/>
      <c r="O318" s="171" t="s">
        <v>3904</v>
      </c>
      <c r="P318" s="176" t="s">
        <v>3903</v>
      </c>
      <c r="Q318" s="18" t="s">
        <v>3934</v>
      </c>
      <c r="R318" s="49"/>
      <c r="S318" s="49"/>
      <c r="T318" s="49"/>
      <c r="U318" s="49"/>
      <c r="V318" s="49"/>
    </row>
    <row r="319" spans="3:22">
      <c r="C319" s="56" t="s">
        <v>2544</v>
      </c>
      <c r="D319" s="55"/>
      <c r="E319" s="55" t="s">
        <v>2545</v>
      </c>
      <c r="F319" s="55"/>
      <c r="G319" s="55">
        <v>5</v>
      </c>
      <c r="H319" s="55"/>
      <c r="I319" s="55" t="s">
        <v>2567</v>
      </c>
      <c r="J319" s="55" t="s">
        <v>3460</v>
      </c>
      <c r="K319" s="55"/>
      <c r="L319" s="55"/>
      <c r="M319" s="85"/>
      <c r="N319" s="155"/>
      <c r="O319" s="163"/>
      <c r="P319" s="82" t="s">
        <v>2800</v>
      </c>
      <c r="Q319" s="18" t="s">
        <v>3934</v>
      </c>
      <c r="R319" s="49"/>
      <c r="S319" s="49"/>
      <c r="T319" s="49"/>
      <c r="U319" s="49"/>
      <c r="V319" s="49"/>
    </row>
    <row r="320" spans="3:22">
      <c r="C320" s="56" t="s">
        <v>2546</v>
      </c>
      <c r="D320" s="55"/>
      <c r="E320" s="55" t="s">
        <v>1929</v>
      </c>
      <c r="F320" s="55" t="s">
        <v>3461</v>
      </c>
      <c r="G320" s="55">
        <v>4</v>
      </c>
      <c r="H320" s="55" t="s">
        <v>3424</v>
      </c>
      <c r="I320" s="55" t="s">
        <v>923</v>
      </c>
      <c r="J320" s="55" t="s">
        <v>3402</v>
      </c>
      <c r="K320" s="55"/>
      <c r="L320" s="55"/>
      <c r="M320" s="85" t="s">
        <v>3462</v>
      </c>
      <c r="N320" s="155"/>
      <c r="O320" s="163" t="s">
        <v>3906</v>
      </c>
      <c r="P320" s="82" t="s">
        <v>3905</v>
      </c>
      <c r="Q320" s="18" t="s">
        <v>3934</v>
      </c>
      <c r="R320" s="49"/>
      <c r="S320" s="49"/>
      <c r="T320" s="49"/>
      <c r="U320" s="49"/>
      <c r="V320" s="49"/>
    </row>
    <row r="321" spans="3:22">
      <c r="C321" s="56" t="s">
        <v>2547</v>
      </c>
      <c r="D321" s="55"/>
      <c r="E321" s="55" t="s">
        <v>2548</v>
      </c>
      <c r="F321" s="55" t="s">
        <v>3406</v>
      </c>
      <c r="G321" s="55">
        <v>3</v>
      </c>
      <c r="H321" s="55"/>
      <c r="I321" s="55" t="s">
        <v>2567</v>
      </c>
      <c r="J321" s="55" t="s">
        <v>3463</v>
      </c>
      <c r="K321" s="55"/>
      <c r="L321" s="55"/>
      <c r="M321" s="85"/>
      <c r="N321" s="155"/>
      <c r="O321" s="163"/>
      <c r="P321" s="82" t="s">
        <v>2800</v>
      </c>
      <c r="Q321" s="18" t="s">
        <v>3934</v>
      </c>
      <c r="R321" s="49"/>
      <c r="S321" s="49"/>
      <c r="T321" s="49"/>
      <c r="U321" s="49"/>
      <c r="V321" s="49"/>
    </row>
    <row r="322" spans="3:22">
      <c r="C322" s="56" t="s">
        <v>2549</v>
      </c>
      <c r="D322" s="55"/>
      <c r="E322" s="55" t="s">
        <v>1403</v>
      </c>
      <c r="F322" s="55" t="s">
        <v>1404</v>
      </c>
      <c r="G322" s="55">
        <v>5</v>
      </c>
      <c r="H322" s="55" t="s">
        <v>364</v>
      </c>
      <c r="I322" s="55" t="s">
        <v>923</v>
      </c>
      <c r="J322" s="55" t="s">
        <v>2387</v>
      </c>
      <c r="K322" s="55" t="s">
        <v>2392</v>
      </c>
      <c r="L322" s="55"/>
      <c r="M322" s="55" t="s">
        <v>1756</v>
      </c>
      <c r="N322" s="155"/>
      <c r="O322" s="163" t="s">
        <v>3907</v>
      </c>
      <c r="P322" s="82" t="s">
        <v>3908</v>
      </c>
      <c r="Q322" s="18" t="s">
        <v>3934</v>
      </c>
      <c r="R322" s="49"/>
      <c r="S322" s="49"/>
      <c r="T322" s="49"/>
      <c r="U322" s="49"/>
      <c r="V322" s="49"/>
    </row>
    <row r="323" spans="3:22">
      <c r="C323" s="56" t="s">
        <v>2550</v>
      </c>
      <c r="D323" s="55"/>
      <c r="E323" s="55" t="s">
        <v>2551</v>
      </c>
      <c r="F323" s="55"/>
      <c r="G323" s="55">
        <v>4</v>
      </c>
      <c r="H323" s="55"/>
      <c r="I323" s="55" t="s">
        <v>2567</v>
      </c>
      <c r="J323" s="55" t="s">
        <v>3464</v>
      </c>
      <c r="K323" s="55"/>
      <c r="L323" s="55"/>
      <c r="M323" s="85"/>
      <c r="N323" s="155"/>
      <c r="O323" s="163"/>
      <c r="P323" s="82" t="s">
        <v>2800</v>
      </c>
      <c r="Q323" s="18" t="s">
        <v>3934</v>
      </c>
      <c r="R323" s="49"/>
      <c r="S323" s="49"/>
      <c r="T323" s="49"/>
      <c r="U323" s="49"/>
      <c r="V323" s="49"/>
    </row>
    <row r="324" spans="3:22">
      <c r="C324" s="56" t="s">
        <v>2552</v>
      </c>
      <c r="D324" s="55"/>
      <c r="E324" s="55" t="s">
        <v>3465</v>
      </c>
      <c r="F324" s="55" t="s">
        <v>3466</v>
      </c>
      <c r="G324" s="55">
        <v>3</v>
      </c>
      <c r="H324" s="55" t="s">
        <v>3390</v>
      </c>
      <c r="I324" s="55" t="s">
        <v>1501</v>
      </c>
      <c r="J324" s="55"/>
      <c r="K324" s="55"/>
      <c r="L324" s="55"/>
      <c r="M324" s="85"/>
      <c r="N324" s="155"/>
      <c r="O324" s="163" t="s">
        <v>3910</v>
      </c>
      <c r="P324" s="82" t="s">
        <v>3909</v>
      </c>
      <c r="Q324" s="18" t="s">
        <v>3934</v>
      </c>
      <c r="R324" s="49"/>
      <c r="S324" s="49"/>
      <c r="T324" s="49"/>
      <c r="U324" s="49"/>
      <c r="V324" s="49"/>
    </row>
    <row r="325" spans="3:22">
      <c r="C325" s="56" t="s">
        <v>2553</v>
      </c>
      <c r="D325" s="55"/>
      <c r="E325" s="55" t="s">
        <v>2554</v>
      </c>
      <c r="F325" s="55"/>
      <c r="G325" s="55">
        <v>5</v>
      </c>
      <c r="H325" s="55"/>
      <c r="I325" s="55" t="s">
        <v>2567</v>
      </c>
      <c r="J325" s="55" t="s">
        <v>3467</v>
      </c>
      <c r="K325" s="55"/>
      <c r="L325" s="55"/>
      <c r="M325" s="85"/>
      <c r="N325" s="155"/>
      <c r="O325" s="163"/>
      <c r="P325" s="82" t="s">
        <v>2800</v>
      </c>
      <c r="Q325" s="18" t="s">
        <v>3934</v>
      </c>
      <c r="R325" s="49"/>
      <c r="S325" s="49"/>
      <c r="T325" s="49"/>
      <c r="U325" s="49"/>
      <c r="V325" s="49"/>
    </row>
    <row r="326" spans="3:22">
      <c r="C326" s="56" t="s">
        <v>2555</v>
      </c>
      <c r="D326" s="55"/>
      <c r="E326" s="55" t="s">
        <v>2556</v>
      </c>
      <c r="F326" s="55" t="s">
        <v>3468</v>
      </c>
      <c r="G326" s="55">
        <v>4</v>
      </c>
      <c r="H326" s="55" t="s">
        <v>3424</v>
      </c>
      <c r="I326" s="55" t="s">
        <v>923</v>
      </c>
      <c r="J326" s="55" t="s">
        <v>3469</v>
      </c>
      <c r="K326" s="55"/>
      <c r="L326" s="55"/>
      <c r="M326" s="85" t="s">
        <v>3470</v>
      </c>
      <c r="N326" s="155"/>
      <c r="O326" s="163" t="s">
        <v>3911</v>
      </c>
      <c r="P326" s="82" t="s">
        <v>3903</v>
      </c>
      <c r="Q326" s="18" t="s">
        <v>3934</v>
      </c>
      <c r="R326" s="49"/>
      <c r="S326" s="49"/>
      <c r="T326" s="49"/>
      <c r="U326" s="49"/>
      <c r="V326" s="49"/>
    </row>
    <row r="327" spans="3:22" ht="14.25" thickBot="1">
      <c r="C327" s="53" t="s">
        <v>2557</v>
      </c>
      <c r="D327" s="54"/>
      <c r="E327" s="54" t="s">
        <v>2558</v>
      </c>
      <c r="F327" s="54"/>
      <c r="G327" s="54">
        <v>4</v>
      </c>
      <c r="H327" s="54"/>
      <c r="I327" s="54" t="s">
        <v>2567</v>
      </c>
      <c r="J327" s="54" t="s">
        <v>3471</v>
      </c>
      <c r="K327" s="54"/>
      <c r="L327" s="54"/>
      <c r="M327" s="93"/>
      <c r="N327" s="164"/>
      <c r="O327" s="180"/>
      <c r="P327" s="83" t="s">
        <v>2800</v>
      </c>
      <c r="Q327" s="18" t="s">
        <v>3934</v>
      </c>
      <c r="R327" s="49"/>
      <c r="S327" s="49"/>
      <c r="T327" s="49"/>
      <c r="U327" s="49"/>
      <c r="V327" s="49"/>
    </row>
    <row r="328" spans="3:22">
      <c r="C328" s="99" t="s">
        <v>2559</v>
      </c>
      <c r="D328" s="60"/>
      <c r="E328" s="60" t="s">
        <v>830</v>
      </c>
      <c r="F328" s="60" t="s">
        <v>3472</v>
      </c>
      <c r="G328" s="60">
        <v>4</v>
      </c>
      <c r="H328" s="60" t="s">
        <v>3431</v>
      </c>
      <c r="I328" s="60" t="s">
        <v>1490</v>
      </c>
      <c r="J328" s="60"/>
      <c r="K328" s="60"/>
      <c r="L328" s="60"/>
      <c r="M328" s="87"/>
      <c r="N328" s="158"/>
      <c r="O328" s="167"/>
      <c r="P328" s="84" t="s">
        <v>3713</v>
      </c>
      <c r="Q328" s="18" t="s">
        <v>3934</v>
      </c>
      <c r="R328" s="49"/>
      <c r="S328" s="49"/>
      <c r="T328" s="49"/>
      <c r="U328" s="49"/>
      <c r="V328" s="49"/>
    </row>
    <row r="329" spans="3:22">
      <c r="C329" s="56" t="s">
        <v>2560</v>
      </c>
      <c r="D329" s="55"/>
      <c r="E329" s="55" t="s">
        <v>3473</v>
      </c>
      <c r="F329" s="55" t="s">
        <v>3474</v>
      </c>
      <c r="G329" s="55">
        <v>4</v>
      </c>
      <c r="H329" s="55" t="s">
        <v>3475</v>
      </c>
      <c r="I329" s="55" t="s">
        <v>923</v>
      </c>
      <c r="J329" s="55" t="s">
        <v>2625</v>
      </c>
      <c r="K329" s="55"/>
      <c r="L329" s="55"/>
      <c r="M329" s="85" t="s">
        <v>3476</v>
      </c>
      <c r="N329" s="155"/>
      <c r="O329" s="163" t="s">
        <v>3912</v>
      </c>
      <c r="P329" s="82" t="s">
        <v>3913</v>
      </c>
      <c r="Q329" s="18" t="s">
        <v>3934</v>
      </c>
      <c r="R329" s="49"/>
      <c r="S329" s="49"/>
      <c r="T329" s="49"/>
      <c r="U329" s="49"/>
      <c r="V329" s="49"/>
    </row>
    <row r="330" spans="3:22">
      <c r="C330" s="56" t="s">
        <v>2561</v>
      </c>
      <c r="D330" s="55"/>
      <c r="E330" s="55" t="s">
        <v>3477</v>
      </c>
      <c r="F330" s="55" t="s">
        <v>3478</v>
      </c>
      <c r="G330" s="55">
        <v>5</v>
      </c>
      <c r="H330" s="55" t="s">
        <v>3479</v>
      </c>
      <c r="I330" s="55" t="s">
        <v>923</v>
      </c>
      <c r="J330" s="55" t="s">
        <v>3480</v>
      </c>
      <c r="K330" s="55"/>
      <c r="L330" s="55"/>
      <c r="M330" s="85" t="s">
        <v>3366</v>
      </c>
      <c r="N330" s="155"/>
      <c r="O330" s="163" t="s">
        <v>3914</v>
      </c>
      <c r="P330" s="82" t="s">
        <v>3903</v>
      </c>
      <c r="Q330" s="18" t="s">
        <v>3934</v>
      </c>
      <c r="R330" s="49"/>
      <c r="S330" s="49"/>
      <c r="T330" s="49"/>
      <c r="U330" s="49"/>
      <c r="V330" s="49"/>
    </row>
    <row r="331" spans="3:22">
      <c r="C331" s="56" t="s">
        <v>2562</v>
      </c>
      <c r="D331" s="55"/>
      <c r="E331" s="55" t="s">
        <v>3481</v>
      </c>
      <c r="F331" s="55" t="s">
        <v>3482</v>
      </c>
      <c r="G331" s="55">
        <v>5</v>
      </c>
      <c r="H331" s="55" t="s">
        <v>3483</v>
      </c>
      <c r="I331" s="55" t="s">
        <v>3407</v>
      </c>
      <c r="J331" s="55"/>
      <c r="K331" s="55"/>
      <c r="L331" s="55"/>
      <c r="M331" s="85"/>
      <c r="N331" s="155"/>
      <c r="O331" s="163"/>
      <c r="P331" s="82" t="s">
        <v>3714</v>
      </c>
      <c r="Q331" s="18" t="s">
        <v>3934</v>
      </c>
      <c r="R331" s="49"/>
      <c r="S331" s="49"/>
      <c r="T331" s="49"/>
      <c r="U331" s="49"/>
      <c r="V331" s="49"/>
    </row>
    <row r="332" spans="3:22">
      <c r="C332" s="56" t="s">
        <v>2563</v>
      </c>
      <c r="D332" s="55"/>
      <c r="E332" s="55" t="s">
        <v>3484</v>
      </c>
      <c r="F332" s="55" t="s">
        <v>3444</v>
      </c>
      <c r="G332" s="55">
        <v>5</v>
      </c>
      <c r="H332" s="55" t="s">
        <v>3358</v>
      </c>
      <c r="I332" s="55" t="s">
        <v>923</v>
      </c>
      <c r="J332" s="55" t="s">
        <v>2625</v>
      </c>
      <c r="K332" s="55"/>
      <c r="L332" s="55"/>
      <c r="M332" s="85" t="s">
        <v>3470</v>
      </c>
      <c r="N332" s="155"/>
      <c r="O332" s="163" t="s">
        <v>3715</v>
      </c>
      <c r="P332" s="82"/>
      <c r="Q332" s="18" t="s">
        <v>3934</v>
      </c>
      <c r="R332" s="49"/>
      <c r="S332" s="49"/>
      <c r="T332" s="49"/>
      <c r="U332" s="49"/>
      <c r="V332" s="49"/>
    </row>
    <row r="333" spans="3:22">
      <c r="C333" s="56" t="s">
        <v>2564</v>
      </c>
      <c r="D333" s="55"/>
      <c r="E333" s="55" t="s">
        <v>3485</v>
      </c>
      <c r="F333" s="55" t="s">
        <v>3354</v>
      </c>
      <c r="G333" s="55">
        <v>5</v>
      </c>
      <c r="H333" s="55" t="s">
        <v>3456</v>
      </c>
      <c r="I333" s="55" t="s">
        <v>3363</v>
      </c>
      <c r="J333" s="55" t="s">
        <v>3486</v>
      </c>
      <c r="K333" s="55" t="s">
        <v>3487</v>
      </c>
      <c r="L333" s="55"/>
      <c r="M333" s="85" t="s">
        <v>3488</v>
      </c>
      <c r="N333" s="155"/>
      <c r="O333" s="163" t="s">
        <v>3916</v>
      </c>
      <c r="P333" s="82" t="s">
        <v>3915</v>
      </c>
      <c r="Q333" s="18" t="s">
        <v>3934</v>
      </c>
      <c r="R333" s="49"/>
      <c r="S333" s="49"/>
      <c r="T333" s="49"/>
      <c r="U333" s="49"/>
      <c r="V333" s="49"/>
    </row>
    <row r="334" spans="3:22">
      <c r="C334" s="56" t="s">
        <v>2565</v>
      </c>
      <c r="D334" s="55"/>
      <c r="E334" s="55" t="s">
        <v>3489</v>
      </c>
      <c r="F334" s="55" t="s">
        <v>3490</v>
      </c>
      <c r="G334" s="55">
        <v>6</v>
      </c>
      <c r="H334" s="55" t="s">
        <v>3358</v>
      </c>
      <c r="I334" s="55" t="s">
        <v>923</v>
      </c>
      <c r="J334" s="55" t="s">
        <v>2616</v>
      </c>
      <c r="K334" s="55"/>
      <c r="L334" s="55"/>
      <c r="M334" s="85" t="s">
        <v>3491</v>
      </c>
      <c r="N334" s="155"/>
      <c r="O334" s="163" t="s">
        <v>3918</v>
      </c>
      <c r="P334" s="82" t="s">
        <v>3917</v>
      </c>
      <c r="Q334" s="18" t="s">
        <v>3934</v>
      </c>
      <c r="R334" s="49"/>
      <c r="S334" s="49"/>
      <c r="T334" s="49"/>
      <c r="U334" s="49"/>
      <c r="V334" s="49"/>
    </row>
    <row r="335" spans="3:22">
      <c r="C335" s="56" t="s">
        <v>2566</v>
      </c>
      <c r="D335" s="55"/>
      <c r="E335" s="55" t="s">
        <v>3492</v>
      </c>
      <c r="F335" s="55" t="s">
        <v>3493</v>
      </c>
      <c r="G335" s="55">
        <v>4</v>
      </c>
      <c r="H335" s="55" t="s">
        <v>3494</v>
      </c>
      <c r="I335" s="55" t="s">
        <v>923</v>
      </c>
      <c r="J335" s="55" t="s">
        <v>3495</v>
      </c>
      <c r="K335" s="55" t="s">
        <v>3496</v>
      </c>
      <c r="L335" s="55"/>
      <c r="M335" s="85" t="s">
        <v>3497</v>
      </c>
      <c r="N335" s="155"/>
      <c r="O335" s="163"/>
      <c r="P335" s="82" t="s">
        <v>3716</v>
      </c>
      <c r="Q335" s="18" t="s">
        <v>3934</v>
      </c>
      <c r="R335" s="49"/>
      <c r="S335" s="49"/>
      <c r="T335" s="49"/>
      <c r="U335" s="49"/>
      <c r="V335" s="49"/>
    </row>
    <row r="336" spans="3:22">
      <c r="C336" s="56" t="s">
        <v>3498</v>
      </c>
      <c r="D336" s="55"/>
      <c r="E336" s="55" t="s">
        <v>2701</v>
      </c>
      <c r="F336" s="55" t="s">
        <v>3499</v>
      </c>
      <c r="G336" s="55">
        <v>7</v>
      </c>
      <c r="H336" s="55" t="s">
        <v>3500</v>
      </c>
      <c r="I336" s="55" t="s">
        <v>3501</v>
      </c>
      <c r="J336" s="55" t="s">
        <v>3502</v>
      </c>
      <c r="K336" s="55"/>
      <c r="L336" s="55"/>
      <c r="M336" s="85"/>
      <c r="N336" s="155"/>
      <c r="O336" s="163"/>
      <c r="P336" s="82" t="s">
        <v>2800</v>
      </c>
      <c r="Q336" s="18" t="s">
        <v>3934</v>
      </c>
      <c r="R336" s="49"/>
      <c r="S336" s="49"/>
      <c r="T336" s="49"/>
      <c r="U336" s="49"/>
      <c r="V336" s="49"/>
    </row>
    <row r="337" spans="3:22" ht="14.25" thickBot="1">
      <c r="C337" s="53" t="s">
        <v>3503</v>
      </c>
      <c r="D337" s="54"/>
      <c r="E337" s="54" t="s">
        <v>3504</v>
      </c>
      <c r="F337" s="54">
        <v>5</v>
      </c>
      <c r="G337" s="54">
        <v>5</v>
      </c>
      <c r="H337" s="54" t="s">
        <v>3505</v>
      </c>
      <c r="I337" s="54" t="s">
        <v>3506</v>
      </c>
      <c r="J337" s="54"/>
      <c r="K337" s="54"/>
      <c r="L337" s="54"/>
      <c r="M337" s="93"/>
      <c r="N337" s="164"/>
      <c r="O337" s="180"/>
      <c r="P337" s="83" t="s">
        <v>2800</v>
      </c>
      <c r="Q337" s="18" t="s">
        <v>3934</v>
      </c>
      <c r="R337" s="49"/>
      <c r="S337" s="49"/>
      <c r="T337" s="49"/>
      <c r="U337" s="49"/>
      <c r="V337" s="49"/>
    </row>
    <row r="338" spans="3:22">
      <c r="R338" s="49"/>
      <c r="S338" s="49"/>
      <c r="T338" s="49"/>
      <c r="U338" s="49"/>
      <c r="V338" s="49"/>
    </row>
    <row r="339" spans="3:22">
      <c r="R339" s="49"/>
      <c r="S339" s="49"/>
      <c r="T339" s="49"/>
      <c r="U339" s="49"/>
      <c r="V339" s="49"/>
    </row>
    <row r="340" spans="3:22">
      <c r="R340" s="49"/>
      <c r="S340" s="49"/>
      <c r="T340" s="49"/>
      <c r="U340" s="49"/>
      <c r="V340" s="49"/>
    </row>
    <row r="341" spans="3:22">
      <c r="R341" s="49"/>
      <c r="S341" s="49"/>
      <c r="T341" s="49"/>
      <c r="U341" s="49"/>
      <c r="V341" s="49"/>
    </row>
  </sheetData>
  <phoneticPr fontId="1"/>
  <pageMargins left="0.7" right="0.7" top="0.75" bottom="0.75" header="0.3" footer="0.3"/>
  <pageSetup paperSize="9" scale="52" fitToHeight="0" orientation="landscape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T149"/>
  <sheetViews>
    <sheetView workbookViewId="0">
      <pane ySplit="1" topLeftCell="A77" activePane="bottomLeft" state="frozen"/>
      <selection pane="bottomLeft" activeCell="D61" sqref="D61"/>
    </sheetView>
  </sheetViews>
  <sheetFormatPr defaultRowHeight="13.5"/>
  <cols>
    <col min="1" max="1" width="9" style="49"/>
    <col min="2" max="2" width="2" style="49" bestFit="1" customWidth="1"/>
    <col min="3" max="3" width="5.125" style="49" bestFit="1" customWidth="1"/>
    <col min="4" max="4" width="3.375" style="49" bestFit="1" customWidth="1"/>
    <col min="5" max="5" width="5.125" style="49" customWidth="1"/>
    <col min="6" max="6" width="9" style="49"/>
    <col min="7" max="7" width="3.875" style="49" bestFit="1" customWidth="1"/>
    <col min="8" max="8" width="3.875" style="49" customWidth="1"/>
    <col min="9" max="9" width="5.125" style="49" bestFit="1" customWidth="1"/>
    <col min="10" max="10" width="2.75" style="49" bestFit="1" customWidth="1"/>
    <col min="11" max="11" width="6" style="49" customWidth="1"/>
    <col min="12" max="13" width="6.375" style="49" customWidth="1"/>
    <col min="14" max="14" width="4.875" style="58" bestFit="1" customWidth="1"/>
    <col min="15" max="15" width="13" style="49" customWidth="1"/>
    <col min="16" max="16" width="2.75" style="49" bestFit="1" customWidth="1"/>
    <col min="17" max="18" width="4.5" style="49" bestFit="1" customWidth="1"/>
    <col min="19" max="19" width="5.375" style="49" bestFit="1" customWidth="1"/>
    <col min="20" max="20" width="3.5" style="49" bestFit="1" customWidth="1"/>
    <col min="21" max="16384" width="9" style="49"/>
  </cols>
  <sheetData>
    <row r="1" spans="1:20" ht="14.25" thickBot="1">
      <c r="A1" s="49" t="str">
        <f>B1&amp;C1&amp;B1&amp;D1&amp;B1&amp;E1&amp;B1&amp;F1&amp;B1&amp;G1&amp;B1&amp;H1&amp;B1&amp;I1&amp;B1&amp;J1&amp;B1&amp;K1&amp;B1&amp;L1&amp;B1&amp;M1&amp;B1&amp;N1&amp;B1&amp;O1&amp;B1</f>
        <v>|序列|修|枠|Name|MC|CMC|Exp|Ty|CT1|CT2|CT3|PT|abrity|</v>
      </c>
      <c r="B1" s="49" t="s">
        <v>1744</v>
      </c>
      <c r="C1" s="88" t="s">
        <v>2811</v>
      </c>
      <c r="D1" s="108" t="s">
        <v>2894</v>
      </c>
      <c r="E1" s="89" t="s">
        <v>2104</v>
      </c>
      <c r="F1" s="89" t="s">
        <v>2100</v>
      </c>
      <c r="G1" s="89" t="s">
        <v>2099</v>
      </c>
      <c r="H1" s="89" t="s">
        <v>2092</v>
      </c>
      <c r="I1" s="89" t="s">
        <v>2098</v>
      </c>
      <c r="J1" s="89" t="s">
        <v>2094</v>
      </c>
      <c r="K1" s="89" t="s">
        <v>2095</v>
      </c>
      <c r="L1" s="89" t="s">
        <v>2096</v>
      </c>
      <c r="M1" s="89" t="s">
        <v>2097</v>
      </c>
      <c r="N1" s="90" t="s">
        <v>2101</v>
      </c>
      <c r="O1" s="91" t="s">
        <v>2102</v>
      </c>
    </row>
    <row r="2" spans="1:20">
      <c r="A2" s="49" t="str">
        <f t="shared" ref="A2:A65" si="0">B2&amp;C2&amp;B2&amp;D2&amp;B2&amp;E2&amp;B2&amp;F2&amp;B2&amp;G2&amp;B2&amp;H2&amp;B2&amp;I2&amp;B2&amp;J2&amp;B2&amp;K2&amp;B2&amp;L2&amp;B2&amp;M2&amp;B2&amp;N2&amp;B2&amp;O2&amp;B2</f>
        <v>|W01||除去|糾弾|W|1|DIS|I|||||攻撃生物DB　体分回復|</v>
      </c>
      <c r="B2" s="49" t="s">
        <v>1744</v>
      </c>
      <c r="C2" s="50" t="s">
        <v>2131</v>
      </c>
      <c r="D2" s="109"/>
      <c r="E2" s="51" t="s">
        <v>2135</v>
      </c>
      <c r="F2" s="68" t="s">
        <v>2280</v>
      </c>
      <c r="G2" s="68" t="s">
        <v>5</v>
      </c>
      <c r="H2" s="51">
        <v>1</v>
      </c>
      <c r="I2" s="68" t="s">
        <v>350</v>
      </c>
      <c r="J2" s="68" t="s">
        <v>1490</v>
      </c>
      <c r="K2" s="51"/>
      <c r="L2" s="51"/>
      <c r="M2" s="51"/>
      <c r="N2" s="92"/>
      <c r="O2" s="52" t="s">
        <v>2281</v>
      </c>
      <c r="P2" s="49" t="s">
        <v>6</v>
      </c>
      <c r="Q2" s="49">
        <f>COUNTIF(J:J,P2)+COUNTIF(J:J,"FC")+COUNTIF(J:J,"EC")</f>
        <v>46</v>
      </c>
      <c r="R2" s="14">
        <f t="shared" ref="R2:R7" si="1">Q2/90</f>
        <v>0.51111111111111107</v>
      </c>
      <c r="S2" s="49" t="s">
        <v>2092</v>
      </c>
    </row>
    <row r="3" spans="1:20">
      <c r="A3" s="49" t="str">
        <f t="shared" si="0"/>
        <v>|W02||RW|名誉の手|WW|2|SOK|C|人間|侍||2/2|プロ黒　武1|</v>
      </c>
      <c r="B3" s="49" t="s">
        <v>1744</v>
      </c>
      <c r="C3" s="56" t="s">
        <v>1956</v>
      </c>
      <c r="D3" s="110"/>
      <c r="E3" s="55" t="s">
        <v>36</v>
      </c>
      <c r="F3" s="55" t="s">
        <v>1152</v>
      </c>
      <c r="G3" s="55" t="s">
        <v>1182</v>
      </c>
      <c r="H3" s="55">
        <v>2</v>
      </c>
      <c r="I3" s="55" t="s">
        <v>278</v>
      </c>
      <c r="J3" s="55" t="s">
        <v>923</v>
      </c>
      <c r="K3" s="55" t="s">
        <v>1410</v>
      </c>
      <c r="L3" s="55" t="s">
        <v>2132</v>
      </c>
      <c r="M3" s="55"/>
      <c r="N3" s="85" t="s">
        <v>1475</v>
      </c>
      <c r="O3" s="94" t="s">
        <v>2282</v>
      </c>
      <c r="P3" s="49" t="s">
        <v>1263</v>
      </c>
      <c r="Q3" s="49">
        <f>COUNTIF(J:J,P3)</f>
        <v>18</v>
      </c>
      <c r="R3" s="14">
        <f t="shared" si="1"/>
        <v>0.2</v>
      </c>
      <c r="S3" s="49">
        <v>1</v>
      </c>
      <c r="T3" s="49">
        <f t="shared" ref="T3:T8" si="2">COUNTIF(H:H,S3)</f>
        <v>5</v>
      </c>
    </row>
    <row r="4" spans="1:20">
      <c r="A4" s="49" t="str">
        <f t="shared" si="0"/>
        <v>|W03||slv|羽軸Slv|1W|2|TSP|C|スリヴァー|||1/1|T:レンジ|</v>
      </c>
      <c r="B4" s="49" t="s">
        <v>1744</v>
      </c>
      <c r="C4" s="56" t="s">
        <v>1957</v>
      </c>
      <c r="D4" s="110"/>
      <c r="E4" s="55" t="s">
        <v>2103</v>
      </c>
      <c r="F4" s="55" t="s">
        <v>1063</v>
      </c>
      <c r="G4" s="55" t="s">
        <v>977</v>
      </c>
      <c r="H4" s="55">
        <v>2</v>
      </c>
      <c r="I4" s="55" t="s">
        <v>352</v>
      </c>
      <c r="J4" s="55" t="s">
        <v>923</v>
      </c>
      <c r="K4" s="55" t="s">
        <v>2087</v>
      </c>
      <c r="L4" s="55"/>
      <c r="M4" s="55"/>
      <c r="N4" s="85" t="s">
        <v>1473</v>
      </c>
      <c r="O4" s="57" t="s">
        <v>2283</v>
      </c>
      <c r="P4" s="49" t="s">
        <v>758</v>
      </c>
      <c r="Q4" s="49">
        <f>COUNTIF(J:J,P4)</f>
        <v>13</v>
      </c>
      <c r="R4" s="14">
        <f t="shared" si="1"/>
        <v>0.14444444444444443</v>
      </c>
      <c r="S4" s="49">
        <v>2</v>
      </c>
      <c r="T4" s="49">
        <f t="shared" si="2"/>
        <v>20</v>
      </c>
    </row>
    <row r="5" spans="1:20">
      <c r="A5" s="49" t="str">
        <f t="shared" si="0"/>
        <v>|W04||秘儀|蝋燭の輝き|1W|2|CHK|I|秘儀||||3点軽減+軽減分回復　1W:連繋|</v>
      </c>
      <c r="B5" s="49" t="s">
        <v>1744</v>
      </c>
      <c r="C5" s="56" t="s">
        <v>1958</v>
      </c>
      <c r="D5" s="110"/>
      <c r="E5" s="55" t="s">
        <v>2147</v>
      </c>
      <c r="F5" s="55" t="s">
        <v>2253</v>
      </c>
      <c r="G5" s="55" t="s">
        <v>977</v>
      </c>
      <c r="H5" s="55">
        <v>2</v>
      </c>
      <c r="I5" s="55" t="s">
        <v>347</v>
      </c>
      <c r="J5" s="55" t="s">
        <v>1490</v>
      </c>
      <c r="K5" s="55" t="s">
        <v>2147</v>
      </c>
      <c r="L5" s="55"/>
      <c r="M5" s="55"/>
      <c r="N5" s="85"/>
      <c r="O5" s="57" t="s">
        <v>2284</v>
      </c>
      <c r="P5" s="49" t="s">
        <v>1265</v>
      </c>
      <c r="Q5" s="49">
        <f>COUNTIF(J:J,P5)</f>
        <v>4</v>
      </c>
      <c r="R5" s="14">
        <f t="shared" si="1"/>
        <v>4.4444444444444446E-2</v>
      </c>
      <c r="S5" s="49">
        <v>3</v>
      </c>
      <c r="T5" s="49">
        <f t="shared" si="2"/>
        <v>21</v>
      </c>
    </row>
    <row r="6" spans="1:20">
      <c r="A6" s="49" t="str">
        <f t="shared" si="0"/>
        <v>|W05||WB|未練ある魂|2W|3|DKA|S|||||飛行Spilit1/1×2　1B:FB|</v>
      </c>
      <c r="B6" s="49" t="s">
        <v>1744</v>
      </c>
      <c r="C6" s="56" t="s">
        <v>1959</v>
      </c>
      <c r="D6" s="110"/>
      <c r="E6" s="55" t="s">
        <v>33</v>
      </c>
      <c r="F6" s="55" t="s">
        <v>2086</v>
      </c>
      <c r="G6" s="55" t="s">
        <v>979</v>
      </c>
      <c r="H6" s="55">
        <v>3</v>
      </c>
      <c r="I6" s="55" t="s">
        <v>368</v>
      </c>
      <c r="J6" s="55" t="s">
        <v>1501</v>
      </c>
      <c r="K6" s="55"/>
      <c r="L6" s="55"/>
      <c r="M6" s="55"/>
      <c r="N6" s="85"/>
      <c r="O6" s="57" t="s">
        <v>2141</v>
      </c>
      <c r="P6" s="49" t="s">
        <v>761</v>
      </c>
      <c r="Q6" s="49">
        <f>COUNTIF(J:J,P6)</f>
        <v>4</v>
      </c>
      <c r="R6" s="14">
        <f t="shared" si="1"/>
        <v>4.4444444444444446E-2</v>
      </c>
      <c r="S6" s="49">
        <v>4</v>
      </c>
      <c r="T6" s="49">
        <f t="shared" si="2"/>
        <v>21</v>
      </c>
    </row>
    <row r="7" spans="1:20">
      <c r="A7" s="49" t="str">
        <f t="shared" si="0"/>
        <v>|W06||除去|払拭の光|2W|3|JOU|E|||||リング|</v>
      </c>
      <c r="B7" s="49" t="s">
        <v>1744</v>
      </c>
      <c r="C7" s="56" t="s">
        <v>1960</v>
      </c>
      <c r="D7" s="110"/>
      <c r="E7" s="55" t="s">
        <v>2135</v>
      </c>
      <c r="F7" s="55" t="s">
        <v>2270</v>
      </c>
      <c r="G7" s="55" t="s">
        <v>979</v>
      </c>
      <c r="H7" s="55">
        <v>3</v>
      </c>
      <c r="I7" s="55" t="s">
        <v>374</v>
      </c>
      <c r="J7" s="55" t="s">
        <v>1493</v>
      </c>
      <c r="K7" s="55"/>
      <c r="L7" s="55"/>
      <c r="M7" s="55"/>
      <c r="N7" s="85"/>
      <c r="O7" s="104" t="s">
        <v>2285</v>
      </c>
      <c r="P7" s="49" t="s">
        <v>9</v>
      </c>
      <c r="Q7" s="49">
        <f>COUNTIF(J:J,P7)</f>
        <v>5</v>
      </c>
      <c r="R7" s="14">
        <f t="shared" si="1"/>
        <v>5.5555555555555552E-2</v>
      </c>
      <c r="S7" s="49">
        <v>5</v>
      </c>
      <c r="T7" s="49">
        <f t="shared" si="2"/>
        <v>9</v>
      </c>
    </row>
    <row r="8" spans="1:20">
      <c r="A8" s="49" t="str">
        <f t="shared" si="0"/>
        <v>|W07||UR|取り囲む地割れ|2W|3|BFZ|I|||||安全な道　4W:覚醒2|</v>
      </c>
      <c r="B8" s="49" t="s">
        <v>1744</v>
      </c>
      <c r="C8" s="56" t="s">
        <v>1961</v>
      </c>
      <c r="D8" s="110"/>
      <c r="E8" s="55" t="s">
        <v>34</v>
      </c>
      <c r="F8" s="55" t="s">
        <v>2272</v>
      </c>
      <c r="G8" s="55" t="s">
        <v>979</v>
      </c>
      <c r="H8" s="55">
        <v>3</v>
      </c>
      <c r="I8" s="55" t="s">
        <v>378</v>
      </c>
      <c r="J8" s="55" t="s">
        <v>1490</v>
      </c>
      <c r="K8" s="55"/>
      <c r="L8" s="55"/>
      <c r="M8" s="55"/>
      <c r="N8" s="85"/>
      <c r="O8" s="57" t="s">
        <v>2286</v>
      </c>
      <c r="Q8" s="49">
        <f>SUM(Q2:Q7)</f>
        <v>90</v>
      </c>
      <c r="S8" s="49">
        <v>6</v>
      </c>
      <c r="T8" s="49">
        <f t="shared" si="2"/>
        <v>6</v>
      </c>
    </row>
    <row r="9" spans="1:20">
      <c r="A9" s="49" t="str">
        <f t="shared" si="0"/>
        <v>|W08||RW|義理に縛られし者、長雄|3W|4|CHK|C|人間|侍||3/3|伝説　攻撃時自軍侍PT+1　武1|</v>
      </c>
      <c r="B9" s="49" t="s">
        <v>1744</v>
      </c>
      <c r="C9" s="56" t="s">
        <v>1962</v>
      </c>
      <c r="D9" s="110"/>
      <c r="E9" s="55" t="s">
        <v>36</v>
      </c>
      <c r="F9" s="55" t="s">
        <v>1172</v>
      </c>
      <c r="G9" s="55" t="s">
        <v>981</v>
      </c>
      <c r="H9" s="55">
        <v>4</v>
      </c>
      <c r="I9" s="55" t="s">
        <v>347</v>
      </c>
      <c r="J9" s="55" t="s">
        <v>923</v>
      </c>
      <c r="K9" s="55" t="s">
        <v>1410</v>
      </c>
      <c r="L9" s="55" t="s">
        <v>2132</v>
      </c>
      <c r="M9" s="55"/>
      <c r="N9" s="55" t="s">
        <v>1479</v>
      </c>
      <c r="O9" s="94" t="s">
        <v>2287</v>
      </c>
      <c r="P9" s="49" t="s">
        <v>6</v>
      </c>
      <c r="Q9" s="49">
        <f>COUNTIF(J2:J12,P9)</f>
        <v>6</v>
      </c>
      <c r="S9" s="63" t="s">
        <v>2252</v>
      </c>
      <c r="T9" s="49">
        <f>COUNTIF(H:H,"&gt;6")</f>
        <v>2</v>
      </c>
    </row>
    <row r="10" spans="1:20">
      <c r="A10" s="49" t="str">
        <f t="shared" si="0"/>
        <v>|W09||多相|変わり身の勇士|4W|5|LRW|C|多相の戦士|||4/4|多相　覇権　絆魂|</v>
      </c>
      <c r="B10" s="49" t="s">
        <v>1744</v>
      </c>
      <c r="C10" s="56" t="s">
        <v>1963</v>
      </c>
      <c r="D10" s="110"/>
      <c r="E10" s="55" t="s">
        <v>2146</v>
      </c>
      <c r="F10" s="55" t="s">
        <v>2256</v>
      </c>
      <c r="G10" s="55" t="s">
        <v>986</v>
      </c>
      <c r="H10" s="55">
        <v>5</v>
      </c>
      <c r="I10" s="55" t="s">
        <v>355</v>
      </c>
      <c r="J10" s="55" t="s">
        <v>923</v>
      </c>
      <c r="K10" s="55" t="s">
        <v>1512</v>
      </c>
      <c r="L10" s="55"/>
      <c r="M10" s="55"/>
      <c r="N10" s="85" t="s">
        <v>1482</v>
      </c>
      <c r="O10" s="57" t="s">
        <v>2288</v>
      </c>
      <c r="P10" s="49" t="s">
        <v>1263</v>
      </c>
      <c r="Q10" s="49">
        <f>COUNTIF(J2:J12,P10)</f>
        <v>3</v>
      </c>
    </row>
    <row r="11" spans="1:20">
      <c r="A11" s="49" t="str">
        <f t="shared" si="0"/>
        <v>|W10||他|セラの天使|3WW|5|9ED|C|天使|||4/4|飛行　警戒|</v>
      </c>
      <c r="B11" s="49" t="s">
        <v>1744</v>
      </c>
      <c r="C11" s="56" t="s">
        <v>1964</v>
      </c>
      <c r="D11" s="110"/>
      <c r="E11" s="55" t="s">
        <v>2143</v>
      </c>
      <c r="F11" s="55" t="s">
        <v>2289</v>
      </c>
      <c r="G11" s="55" t="s">
        <v>983</v>
      </c>
      <c r="H11" s="55">
        <v>5</v>
      </c>
      <c r="I11" s="55" t="s">
        <v>351</v>
      </c>
      <c r="J11" s="55" t="s">
        <v>923</v>
      </c>
      <c r="K11" s="55" t="s">
        <v>2290</v>
      </c>
      <c r="L11" s="55"/>
      <c r="M11" s="55"/>
      <c r="N11" s="85" t="s">
        <v>1482</v>
      </c>
      <c r="O11" s="57" t="s">
        <v>2291</v>
      </c>
      <c r="P11" s="49" t="s">
        <v>758</v>
      </c>
      <c r="Q11" s="49">
        <f>COUNTIF(J2:J12,P11)</f>
        <v>1</v>
      </c>
    </row>
    <row r="12" spans="1:20" ht="14.25" thickBot="1">
      <c r="A12" s="49" t="str">
        <f t="shared" si="0"/>
        <v>|W11||WB|宮殿の野の神|5W|6|CHK|C|スピリット|||3/2|飛行　先制　転生5|</v>
      </c>
      <c r="B12" s="49" t="s">
        <v>1744</v>
      </c>
      <c r="C12" s="39" t="s">
        <v>1965</v>
      </c>
      <c r="D12" s="115"/>
      <c r="E12" s="40" t="s">
        <v>33</v>
      </c>
      <c r="F12" s="40" t="s">
        <v>1453</v>
      </c>
      <c r="G12" s="40" t="s">
        <v>1185</v>
      </c>
      <c r="H12" s="40">
        <v>6</v>
      </c>
      <c r="I12" s="40" t="s">
        <v>347</v>
      </c>
      <c r="J12" s="40" t="s">
        <v>923</v>
      </c>
      <c r="K12" s="40" t="s">
        <v>1414</v>
      </c>
      <c r="L12" s="40"/>
      <c r="M12" s="40"/>
      <c r="N12" s="116" t="s">
        <v>1483</v>
      </c>
      <c r="O12" s="124" t="s">
        <v>1454</v>
      </c>
      <c r="P12" s="49" t="s">
        <v>1265</v>
      </c>
      <c r="Q12" s="49">
        <f>COUNTIF(J2:J12,P12)</f>
        <v>1</v>
      </c>
      <c r="S12" s="49" t="s">
        <v>2261</v>
      </c>
    </row>
    <row r="13" spans="1:20">
      <c r="A13" s="49" t="str">
        <f t="shared" si="0"/>
        <v>|U01||秘儀|思考の鈍化|1U|2|CHK|I|秘儀||||4石臼　1U:連繋|</v>
      </c>
      <c r="B13" s="49" t="s">
        <v>1744</v>
      </c>
      <c r="C13" s="50" t="s">
        <v>2151</v>
      </c>
      <c r="D13" s="109"/>
      <c r="E13" s="51" t="s">
        <v>2147</v>
      </c>
      <c r="F13" s="51" t="s">
        <v>2753</v>
      </c>
      <c r="G13" s="51" t="s">
        <v>2154</v>
      </c>
      <c r="H13" s="51">
        <v>2</v>
      </c>
      <c r="I13" s="51" t="s">
        <v>347</v>
      </c>
      <c r="J13" s="51" t="s">
        <v>1490</v>
      </c>
      <c r="K13" s="51" t="s">
        <v>2147</v>
      </c>
      <c r="L13" s="51"/>
      <c r="M13" s="51"/>
      <c r="N13" s="92"/>
      <c r="O13" s="52" t="s">
        <v>2754</v>
      </c>
      <c r="P13" s="62" t="s">
        <v>6</v>
      </c>
      <c r="Q13" s="62">
        <f>COUNTIF(J13:J23,P13)</f>
        <v>5</v>
      </c>
      <c r="S13" s="49">
        <v>1</v>
      </c>
      <c r="T13" s="49">
        <f>T3+コモン!S17</f>
        <v>16</v>
      </c>
    </row>
    <row r="14" spans="1:20">
      <c r="A14" s="49" t="str">
        <f t="shared" si="0"/>
        <v>|U02||除去|意思の激突|XU|1|ORI|I|||||Xリーク|</v>
      </c>
      <c r="B14" s="49" t="s">
        <v>1744</v>
      </c>
      <c r="C14" s="56" t="s">
        <v>1975</v>
      </c>
      <c r="D14" s="110"/>
      <c r="E14" s="55" t="s">
        <v>2135</v>
      </c>
      <c r="F14" s="55" t="s">
        <v>2755</v>
      </c>
      <c r="G14" s="55" t="s">
        <v>2756</v>
      </c>
      <c r="H14" s="55">
        <v>1</v>
      </c>
      <c r="I14" s="34" t="s">
        <v>377</v>
      </c>
      <c r="J14" s="55" t="s">
        <v>1490</v>
      </c>
      <c r="K14" s="55"/>
      <c r="L14" s="55"/>
      <c r="M14" s="55"/>
      <c r="N14" s="85"/>
      <c r="O14" s="57" t="s">
        <v>2757</v>
      </c>
      <c r="P14" s="49" t="s">
        <v>1263</v>
      </c>
      <c r="Q14" s="19">
        <f>COUNTIF(J13:J23,P14)</f>
        <v>3</v>
      </c>
      <c r="S14" s="49">
        <v>2</v>
      </c>
      <c r="T14" s="49">
        <f>T4+コモン!S18</f>
        <v>55</v>
      </c>
    </row>
    <row r="15" spans="1:20">
      <c r="A15" s="49" t="str">
        <f t="shared" si="0"/>
        <v>|U03||多相|アメーバの変わり身|1U|2|LRW|C|多相の戦士|||1/1|多相　T:生物1多相or非多相|</v>
      </c>
      <c r="B15" s="49" t="s">
        <v>1744</v>
      </c>
      <c r="C15" s="56" t="s">
        <v>1976</v>
      </c>
      <c r="D15" s="110"/>
      <c r="E15" s="55" t="s">
        <v>2146</v>
      </c>
      <c r="F15" s="55" t="s">
        <v>2259</v>
      </c>
      <c r="G15" s="55" t="s">
        <v>2154</v>
      </c>
      <c r="H15" s="55">
        <v>2</v>
      </c>
      <c r="I15" s="55" t="s">
        <v>355</v>
      </c>
      <c r="J15" s="55" t="s">
        <v>923</v>
      </c>
      <c r="K15" s="55" t="s">
        <v>1512</v>
      </c>
      <c r="L15" s="55"/>
      <c r="M15" s="55"/>
      <c r="N15" s="85" t="s">
        <v>1473</v>
      </c>
      <c r="O15" s="57" t="s">
        <v>2292</v>
      </c>
      <c r="P15" s="49" t="s">
        <v>758</v>
      </c>
      <c r="Q15" s="19">
        <f>COUNTIF(J13:J23,P15)</f>
        <v>2</v>
      </c>
      <c r="S15" s="49">
        <v>3</v>
      </c>
      <c r="T15" s="49">
        <f>T5+コモン!S19</f>
        <v>57</v>
      </c>
    </row>
    <row r="16" spans="1:20">
      <c r="A16" s="49" t="str">
        <f t="shared" si="0"/>
        <v>|U04||UR|潮力の精霊|2U|3|WWK|C|エレメンタル|||2/1|U:生物T/UT　上陸UT|</v>
      </c>
      <c r="B16" s="49" t="s">
        <v>1744</v>
      </c>
      <c r="C16" s="56" t="s">
        <v>1977</v>
      </c>
      <c r="D16" s="110"/>
      <c r="E16" s="34" t="s">
        <v>34</v>
      </c>
      <c r="F16" s="55" t="s">
        <v>2263</v>
      </c>
      <c r="G16" s="34" t="s">
        <v>996</v>
      </c>
      <c r="H16" s="34">
        <v>3</v>
      </c>
      <c r="I16" s="34" t="s">
        <v>362</v>
      </c>
      <c r="J16" s="34" t="s">
        <v>923</v>
      </c>
      <c r="K16" s="55" t="s">
        <v>1930</v>
      </c>
      <c r="L16" s="55"/>
      <c r="M16" s="55"/>
      <c r="N16" s="85" t="s">
        <v>1474</v>
      </c>
      <c r="O16" s="71" t="s">
        <v>2293</v>
      </c>
      <c r="P16" s="49" t="s">
        <v>1265</v>
      </c>
      <c r="Q16" s="19">
        <f>COUNTIF(J13:J23,P16)</f>
        <v>1</v>
      </c>
      <c r="S16" s="49">
        <v>4</v>
      </c>
      <c r="T16" s="49">
        <f>T6+コモン!S20</f>
        <v>47</v>
      </c>
    </row>
    <row r="17" spans="1:20">
      <c r="A17" s="49" t="str">
        <f t="shared" si="0"/>
        <v>|U05||GU|シルムガルの魔術師|1UU|3|DTK|C|人間|ウィザード||2/1|瞬速　飛行　濫用:生物打消|</v>
      </c>
      <c r="B17" s="49" t="s">
        <v>1744</v>
      </c>
      <c r="C17" s="56" t="s">
        <v>1978</v>
      </c>
      <c r="D17" s="110"/>
      <c r="E17" s="34" t="s">
        <v>37</v>
      </c>
      <c r="F17" s="55" t="s">
        <v>2888</v>
      </c>
      <c r="G17" s="34" t="s">
        <v>2889</v>
      </c>
      <c r="H17" s="34">
        <v>3</v>
      </c>
      <c r="I17" s="34" t="s">
        <v>2890</v>
      </c>
      <c r="J17" s="55" t="s">
        <v>923</v>
      </c>
      <c r="K17" s="34" t="s">
        <v>2862</v>
      </c>
      <c r="L17" s="55" t="s">
        <v>2891</v>
      </c>
      <c r="M17" s="55"/>
      <c r="N17" s="85" t="s">
        <v>2892</v>
      </c>
      <c r="O17" s="104" t="s">
        <v>2893</v>
      </c>
      <c r="P17" s="62" t="s">
        <v>6</v>
      </c>
      <c r="Q17" s="62">
        <f>COUNTIF(J:J,P17)+COUNTIF(J:J,"FC")+コモン!S3+COUNTIF(J:J,"EC")</f>
        <v>124</v>
      </c>
      <c r="R17" s="64">
        <f t="shared" ref="R17:R22" si="3">Q17/(90+148)</f>
        <v>0.52100840336134457</v>
      </c>
      <c r="S17" s="49">
        <v>5</v>
      </c>
      <c r="T17" s="49">
        <f>T7+コモン!S21</f>
        <v>29</v>
      </c>
    </row>
    <row r="18" spans="1:20">
      <c r="A18" s="49" t="str">
        <f t="shared" si="0"/>
        <v>|U06||除去|拭い捨て|1UU|3|TSP|I|||||刹那　ブーメラン|</v>
      </c>
      <c r="B18" s="49" t="s">
        <v>1744</v>
      </c>
      <c r="C18" s="56" t="s">
        <v>1979</v>
      </c>
      <c r="D18" s="110"/>
      <c r="E18" s="55" t="s">
        <v>2135</v>
      </c>
      <c r="F18" s="55" t="s">
        <v>2469</v>
      </c>
      <c r="G18" s="55" t="s">
        <v>2169</v>
      </c>
      <c r="H18" s="55">
        <v>3</v>
      </c>
      <c r="I18" s="55" t="s">
        <v>352</v>
      </c>
      <c r="J18" s="55" t="s">
        <v>1490</v>
      </c>
      <c r="K18" s="55"/>
      <c r="L18" s="55"/>
      <c r="M18" s="55"/>
      <c r="N18" s="85"/>
      <c r="O18" s="57" t="s">
        <v>2470</v>
      </c>
      <c r="P18" s="19" t="s">
        <v>1263</v>
      </c>
      <c r="Q18" s="19">
        <f>COUNTIF(J:J,P18)+コモン!S4</f>
        <v>41</v>
      </c>
      <c r="R18" s="65">
        <f t="shared" si="3"/>
        <v>0.17226890756302521</v>
      </c>
      <c r="S18" s="49">
        <v>6</v>
      </c>
      <c r="T18" s="49">
        <f>T8+コモン!S22</f>
        <v>15</v>
      </c>
    </row>
    <row r="19" spans="1:20">
      <c r="A19" s="49" t="str">
        <f t="shared" si="0"/>
        <v>|U07||他|雲変化|1UU|3|FRF|E|||||予示　飛行呪禁|</v>
      </c>
      <c r="B19" s="49" t="s">
        <v>1744</v>
      </c>
      <c r="C19" s="56" t="s">
        <v>1980</v>
      </c>
      <c r="D19" s="110"/>
      <c r="E19" s="55" t="s">
        <v>2143</v>
      </c>
      <c r="F19" s="55" t="s">
        <v>2758</v>
      </c>
      <c r="G19" s="55" t="s">
        <v>2169</v>
      </c>
      <c r="H19" s="55">
        <v>3</v>
      </c>
      <c r="I19" s="55" t="s">
        <v>375</v>
      </c>
      <c r="J19" s="55" t="s">
        <v>1493</v>
      </c>
      <c r="K19" s="55"/>
      <c r="L19" s="55"/>
      <c r="M19" s="55"/>
      <c r="N19" s="85"/>
      <c r="O19" s="57" t="s">
        <v>2759</v>
      </c>
      <c r="P19" s="19" t="s">
        <v>758</v>
      </c>
      <c r="Q19" s="19">
        <f>COUNTIF(J:J,P19)+コモン!S5</f>
        <v>31</v>
      </c>
      <c r="R19" s="65">
        <f t="shared" si="3"/>
        <v>0.13025210084033614</v>
      </c>
      <c r="S19" s="49" t="s">
        <v>2251</v>
      </c>
      <c r="T19" s="49">
        <f>T9+コモン!S23</f>
        <v>3</v>
      </c>
    </row>
    <row r="20" spans="1:20">
      <c r="A20" s="49" t="str">
        <f t="shared" si="0"/>
        <v>|U08|○|BG|テゼレットの計略|3U/P|4|NPH|S|||||2泥　増殖|</v>
      </c>
      <c r="B20" s="49" t="s">
        <v>1744</v>
      </c>
      <c r="C20" s="56" t="s">
        <v>1981</v>
      </c>
      <c r="D20" s="110" t="s">
        <v>3215</v>
      </c>
      <c r="E20" s="55" t="s">
        <v>35</v>
      </c>
      <c r="F20" s="34" t="s">
        <v>3211</v>
      </c>
      <c r="G20" s="34" t="s">
        <v>3212</v>
      </c>
      <c r="H20" s="34">
        <v>4</v>
      </c>
      <c r="I20" s="34" t="s">
        <v>366</v>
      </c>
      <c r="J20" s="34" t="s">
        <v>3213</v>
      </c>
      <c r="K20" s="55"/>
      <c r="L20" s="55"/>
      <c r="M20" s="55"/>
      <c r="N20" s="85"/>
      <c r="O20" s="71" t="s">
        <v>3214</v>
      </c>
      <c r="P20" s="19" t="s">
        <v>1265</v>
      </c>
      <c r="Q20" s="19">
        <f>COUNTIF(J:J,P20)+コモン!S6</f>
        <v>17</v>
      </c>
      <c r="R20" s="65">
        <f t="shared" si="3"/>
        <v>7.1428571428571425E-2</v>
      </c>
    </row>
    <row r="21" spans="1:20">
      <c r="A21" s="49" t="str">
        <f t="shared" si="0"/>
        <v>|U09||slv|念動Slv|2UU|4|TSP|C|スリヴァー|||2/2|タッパー|</v>
      </c>
      <c r="B21" s="49" t="s">
        <v>1744</v>
      </c>
      <c r="C21" s="56" t="s">
        <v>1982</v>
      </c>
      <c r="D21" s="110"/>
      <c r="E21" s="34" t="s">
        <v>2103</v>
      </c>
      <c r="F21" s="55" t="s">
        <v>1076</v>
      </c>
      <c r="G21" s="55" t="s">
        <v>998</v>
      </c>
      <c r="H21" s="55">
        <v>4</v>
      </c>
      <c r="I21" s="55" t="s">
        <v>352</v>
      </c>
      <c r="J21" s="55" t="s">
        <v>923</v>
      </c>
      <c r="K21" s="55" t="s">
        <v>2087</v>
      </c>
      <c r="L21" s="55"/>
      <c r="M21" s="55"/>
      <c r="N21" s="85" t="s">
        <v>1475</v>
      </c>
      <c r="O21" s="57" t="s">
        <v>949</v>
      </c>
      <c r="P21" s="19" t="s">
        <v>761</v>
      </c>
      <c r="Q21" s="19">
        <f>COUNTIF(J:J,P21)+コモン!S7</f>
        <v>10</v>
      </c>
      <c r="R21" s="65">
        <f t="shared" si="3"/>
        <v>4.2016806722689079E-2</v>
      </c>
    </row>
    <row r="22" spans="1:20">
      <c r="A22" s="49" t="str">
        <f t="shared" si="0"/>
        <v>|U10||UR|沿岸の発見|3U|4|BFZ|S|||||2泥　5U:覚醒4|</v>
      </c>
      <c r="B22" s="49" t="s">
        <v>1744</v>
      </c>
      <c r="C22" s="56" t="s">
        <v>1983</v>
      </c>
      <c r="D22" s="110"/>
      <c r="E22" s="34" t="s">
        <v>34</v>
      </c>
      <c r="F22" s="34" t="s">
        <v>2264</v>
      </c>
      <c r="G22" s="34" t="s">
        <v>1000</v>
      </c>
      <c r="H22" s="34">
        <v>4</v>
      </c>
      <c r="I22" s="34" t="s">
        <v>378</v>
      </c>
      <c r="J22" s="34" t="s">
        <v>1501</v>
      </c>
      <c r="K22" s="34"/>
      <c r="L22" s="55"/>
      <c r="M22" s="55"/>
      <c r="N22" s="85"/>
      <c r="O22" s="71" t="s">
        <v>2294</v>
      </c>
      <c r="P22" s="19" t="s">
        <v>9</v>
      </c>
      <c r="Q22" s="19">
        <f>COUNTIF(J:J,P22)+コモン!S8</f>
        <v>14</v>
      </c>
      <c r="R22" s="65">
        <f t="shared" si="3"/>
        <v>5.8823529411764705E-2</v>
      </c>
    </row>
    <row r="23" spans="1:20" ht="14.25" thickBot="1">
      <c r="A23" s="49" t="str">
        <f t="shared" si="0"/>
        <v>|U11||GU|サファイアのドレイク|5U|6|GTC|C|ドレイク|||4/4|飛行　自軍+1C乗飛行|</v>
      </c>
      <c r="B23" s="49" t="s">
        <v>1744</v>
      </c>
      <c r="C23" s="53" t="s">
        <v>1984</v>
      </c>
      <c r="D23" s="111"/>
      <c r="E23" s="54" t="s">
        <v>37</v>
      </c>
      <c r="F23" s="73" t="s">
        <v>2471</v>
      </c>
      <c r="G23" s="73" t="s">
        <v>2472</v>
      </c>
      <c r="H23" s="73">
        <v>6</v>
      </c>
      <c r="I23" s="54" t="s">
        <v>371</v>
      </c>
      <c r="J23" s="73" t="s">
        <v>923</v>
      </c>
      <c r="K23" s="54" t="s">
        <v>1712</v>
      </c>
      <c r="L23" s="54"/>
      <c r="M23" s="54"/>
      <c r="N23" s="93" t="s">
        <v>1482</v>
      </c>
      <c r="O23" s="74" t="s">
        <v>2473</v>
      </c>
      <c r="P23" s="61"/>
      <c r="Q23" s="61">
        <f>SUM(Q17:Q22)</f>
        <v>237</v>
      </c>
      <c r="R23" s="61"/>
    </row>
    <row r="24" spans="1:20">
      <c r="A24" s="49" t="str">
        <f t="shared" si="0"/>
        <v>|B01||除去|蔑み|B|1|KTK|S|||||CorPWハンデス|</v>
      </c>
      <c r="B24" s="49" t="s">
        <v>1744</v>
      </c>
      <c r="C24" s="99" t="s">
        <v>2184</v>
      </c>
      <c r="D24" s="117"/>
      <c r="E24" s="60" t="s">
        <v>2135</v>
      </c>
      <c r="F24" s="66" t="s">
        <v>2296</v>
      </c>
      <c r="G24" s="66" t="s">
        <v>3</v>
      </c>
      <c r="H24" s="60">
        <v>1</v>
      </c>
      <c r="I24" s="66" t="s">
        <v>283</v>
      </c>
      <c r="J24" s="66" t="s">
        <v>1501</v>
      </c>
      <c r="K24" s="60"/>
      <c r="L24" s="60"/>
      <c r="M24" s="60"/>
      <c r="N24" s="87"/>
      <c r="O24" s="100" t="s">
        <v>2297</v>
      </c>
      <c r="P24" s="49" t="s">
        <v>6</v>
      </c>
      <c r="Q24" s="49">
        <f>COUNTIF(J24:J34,P24)</f>
        <v>5</v>
      </c>
    </row>
    <row r="25" spans="1:20">
      <c r="A25" s="49" t="str">
        <f t="shared" si="0"/>
        <v>|B02||RW|悪意に満ちた蘇りし者|1B|2|BNG|C|ゾンビ|||1/1|3B:授与　攻撃時敵2失|</v>
      </c>
      <c r="B25" s="49" t="s">
        <v>1744</v>
      </c>
      <c r="C25" s="56" t="s">
        <v>1994</v>
      </c>
      <c r="D25" s="110"/>
      <c r="E25" s="55" t="s">
        <v>36</v>
      </c>
      <c r="F25" s="55" t="s">
        <v>2474</v>
      </c>
      <c r="G25" s="55" t="s">
        <v>1006</v>
      </c>
      <c r="H25" s="55">
        <v>2</v>
      </c>
      <c r="I25" s="55" t="s">
        <v>373</v>
      </c>
      <c r="J25" s="55" t="s">
        <v>923</v>
      </c>
      <c r="K25" s="55" t="s">
        <v>1596</v>
      </c>
      <c r="L25" s="55"/>
      <c r="M25" s="55"/>
      <c r="N25" s="85" t="s">
        <v>1473</v>
      </c>
      <c r="O25" s="57" t="s">
        <v>2475</v>
      </c>
      <c r="P25" s="49" t="s">
        <v>1263</v>
      </c>
      <c r="Q25" s="49">
        <f>COUNTIF(J24:J34,P25)</f>
        <v>2</v>
      </c>
    </row>
    <row r="26" spans="1:20">
      <c r="A26" s="49" t="str">
        <f t="shared" si="0"/>
        <v>|B03||除去|影の中の貪り|BB|2|5DN|I|||||生物1破壊非再生　体分自失|</v>
      </c>
      <c r="B26" s="49" t="s">
        <v>1744</v>
      </c>
      <c r="C26" s="56" t="s">
        <v>1995</v>
      </c>
      <c r="D26" s="110"/>
      <c r="E26" s="55" t="s">
        <v>2135</v>
      </c>
      <c r="F26" s="55" t="s">
        <v>2476</v>
      </c>
      <c r="G26" s="55" t="s">
        <v>1190</v>
      </c>
      <c r="H26" s="55">
        <v>2</v>
      </c>
      <c r="I26" s="55" t="s">
        <v>346</v>
      </c>
      <c r="J26" s="55" t="s">
        <v>1490</v>
      </c>
      <c r="K26" s="55"/>
      <c r="L26" s="55"/>
      <c r="M26" s="55"/>
      <c r="N26" s="85"/>
      <c r="O26" s="57" t="s">
        <v>2477</v>
      </c>
      <c r="P26" s="49" t="s">
        <v>758</v>
      </c>
      <c r="Q26" s="49">
        <f>COUNTIF(J24:J34,P26)</f>
        <v>3</v>
      </c>
    </row>
    <row r="27" spans="1:20">
      <c r="A27" s="49" t="str">
        <f t="shared" si="0"/>
        <v>|B04||BG|胆液の鼠|1BB|3|SOM|C|ネズミ|||2/1|CIP　全PL毒1　感染|</v>
      </c>
      <c r="B27" s="49" t="s">
        <v>1744</v>
      </c>
      <c r="C27" s="56" t="s">
        <v>1996</v>
      </c>
      <c r="D27" s="110"/>
      <c r="E27" s="55" t="s">
        <v>35</v>
      </c>
      <c r="F27" s="55" t="s">
        <v>1378</v>
      </c>
      <c r="G27" s="55" t="s">
        <v>1191</v>
      </c>
      <c r="H27" s="55">
        <v>3</v>
      </c>
      <c r="I27" s="55" t="s">
        <v>364</v>
      </c>
      <c r="J27" s="55" t="s">
        <v>923</v>
      </c>
      <c r="K27" s="55" t="s">
        <v>2249</v>
      </c>
      <c r="L27" s="55"/>
      <c r="M27" s="55"/>
      <c r="N27" s="85" t="s">
        <v>1474</v>
      </c>
      <c r="O27" s="104" t="s">
        <v>2298</v>
      </c>
      <c r="P27" s="49" t="s">
        <v>1265</v>
      </c>
      <c r="Q27" s="49">
        <f>COUNTIF(J24:J34,P27)</f>
        <v>1</v>
      </c>
    </row>
    <row r="28" spans="1:20">
      <c r="A28" s="49" t="str">
        <f t="shared" si="0"/>
        <v>|B05||多相|幽霊の変わり身|2B|3|LRW|C|多相の戦士|||2/2|多相　1B：+1/+1|</v>
      </c>
      <c r="B28" s="49" t="s">
        <v>1744</v>
      </c>
      <c r="C28" s="56" t="s">
        <v>1997</v>
      </c>
      <c r="D28" s="110"/>
      <c r="E28" s="55" t="s">
        <v>2146</v>
      </c>
      <c r="F28" s="55" t="s">
        <v>2260</v>
      </c>
      <c r="G28" s="55" t="s">
        <v>974</v>
      </c>
      <c r="H28" s="55">
        <v>3</v>
      </c>
      <c r="I28" s="55" t="s">
        <v>355</v>
      </c>
      <c r="J28" s="55" t="s">
        <v>923</v>
      </c>
      <c r="K28" s="55" t="s">
        <v>1512</v>
      </c>
      <c r="L28" s="55"/>
      <c r="M28" s="55"/>
      <c r="N28" s="85" t="s">
        <v>1475</v>
      </c>
      <c r="O28" s="57" t="s">
        <v>2299</v>
      </c>
      <c r="R28" s="49" t="s">
        <v>2750</v>
      </c>
      <c r="T28" s="49" t="s">
        <v>2751</v>
      </c>
    </row>
    <row r="29" spans="1:20">
      <c r="A29" s="49" t="str">
        <f t="shared" si="0"/>
        <v>|B06||他|戦慄の復活|2BB|4|TSP|S|||||リアニ　生物3S:FB|</v>
      </c>
      <c r="B29" s="49" t="s">
        <v>1744</v>
      </c>
      <c r="C29" s="56" t="s">
        <v>1998</v>
      </c>
      <c r="D29" s="110"/>
      <c r="E29" s="34" t="s">
        <v>2143</v>
      </c>
      <c r="F29" s="55" t="s">
        <v>790</v>
      </c>
      <c r="G29" s="55" t="s">
        <v>1009</v>
      </c>
      <c r="H29" s="55">
        <v>4</v>
      </c>
      <c r="I29" s="55" t="s">
        <v>352</v>
      </c>
      <c r="J29" s="55" t="s">
        <v>1501</v>
      </c>
      <c r="K29" s="55"/>
      <c r="L29" s="55"/>
      <c r="M29" s="55"/>
      <c r="N29" s="85"/>
      <c r="O29" s="57" t="s">
        <v>2303</v>
      </c>
      <c r="T29" s="49" t="s">
        <v>2751</v>
      </c>
    </row>
    <row r="30" spans="1:20">
      <c r="A30" s="49" t="str">
        <f t="shared" si="0"/>
        <v>|B07||slv|吸血Slv|3B|4|TSP|C|スリヴァー|||3/3|吸血能力|</v>
      </c>
      <c r="B30" s="49" t="s">
        <v>1744</v>
      </c>
      <c r="C30" s="56" t="s">
        <v>1999</v>
      </c>
      <c r="D30" s="110"/>
      <c r="E30" s="34" t="s">
        <v>2103</v>
      </c>
      <c r="F30" s="55" t="s">
        <v>1091</v>
      </c>
      <c r="G30" s="55" t="s">
        <v>1008</v>
      </c>
      <c r="H30" s="55">
        <v>4</v>
      </c>
      <c r="I30" s="55" t="s">
        <v>352</v>
      </c>
      <c r="J30" s="55" t="s">
        <v>923</v>
      </c>
      <c r="K30" s="55" t="s">
        <v>2087</v>
      </c>
      <c r="L30" s="55"/>
      <c r="M30" s="55"/>
      <c r="N30" s="85" t="s">
        <v>1479</v>
      </c>
      <c r="O30" s="57" t="s">
        <v>2300</v>
      </c>
      <c r="T30" s="49" t="s">
        <v>2751</v>
      </c>
    </row>
    <row r="31" spans="1:20">
      <c r="A31" s="49" t="str">
        <f t="shared" si="0"/>
        <v>|B08||秘儀|忌まわしい笑い|2BB|4|CHK|I|秘儀||||全-2/-2　3BB:連繋|</v>
      </c>
      <c r="B31" s="49" t="s">
        <v>1744</v>
      </c>
      <c r="C31" s="56" t="s">
        <v>2000</v>
      </c>
      <c r="D31" s="110"/>
      <c r="E31" s="34" t="s">
        <v>2147</v>
      </c>
      <c r="F31" s="55" t="s">
        <v>2301</v>
      </c>
      <c r="G31" s="55" t="s">
        <v>1009</v>
      </c>
      <c r="H31" s="55">
        <v>4</v>
      </c>
      <c r="I31" s="55" t="s">
        <v>347</v>
      </c>
      <c r="J31" s="55" t="s">
        <v>1490</v>
      </c>
      <c r="K31" s="55" t="s">
        <v>2147</v>
      </c>
      <c r="L31" s="55"/>
      <c r="M31" s="55"/>
      <c r="N31" s="85"/>
      <c r="O31" s="57" t="s">
        <v>2302</v>
      </c>
      <c r="T31" s="49" t="s">
        <v>2751</v>
      </c>
    </row>
    <row r="32" spans="1:20">
      <c r="A32" s="49" t="str">
        <f t="shared" si="0"/>
        <v>|B09||BG|増え続ける荒廃|3BB|5|SHM|S|||||生物3　-1Cを1.2.3と振分|</v>
      </c>
      <c r="B32" s="49" t="s">
        <v>1744</v>
      </c>
      <c r="C32" s="56" t="s">
        <v>2001</v>
      </c>
      <c r="D32" s="110"/>
      <c r="E32" s="55" t="s">
        <v>35</v>
      </c>
      <c r="F32" s="55" t="s">
        <v>2478</v>
      </c>
      <c r="G32" s="55" t="s">
        <v>1404</v>
      </c>
      <c r="H32" s="55">
        <v>5</v>
      </c>
      <c r="I32" s="55" t="s">
        <v>357</v>
      </c>
      <c r="J32" s="55" t="s">
        <v>1501</v>
      </c>
      <c r="K32" s="55"/>
      <c r="L32" s="55"/>
      <c r="M32" s="55"/>
      <c r="N32" s="85"/>
      <c r="O32" s="57" t="s">
        <v>2479</v>
      </c>
      <c r="T32" s="49" t="s">
        <v>2751</v>
      </c>
    </row>
    <row r="33" spans="1:20">
      <c r="A33" s="49" t="str">
        <f t="shared" si="0"/>
        <v>|B10||WB|隷属|4BB|6|NPH|E|オーラ||||支配魔法　UPKオーナー1失|</v>
      </c>
      <c r="B33" s="49" t="s">
        <v>1744</v>
      </c>
      <c r="C33" s="56" t="s">
        <v>2002</v>
      </c>
      <c r="D33" s="110"/>
      <c r="E33" s="34" t="s">
        <v>33</v>
      </c>
      <c r="F33" s="55" t="s">
        <v>2760</v>
      </c>
      <c r="G33" s="55" t="s">
        <v>1371</v>
      </c>
      <c r="H33" s="55">
        <v>6</v>
      </c>
      <c r="I33" s="55" t="s">
        <v>366</v>
      </c>
      <c r="J33" s="55" t="s">
        <v>1493</v>
      </c>
      <c r="K33" s="55" t="s">
        <v>1494</v>
      </c>
      <c r="L33" s="55"/>
      <c r="M33" s="55"/>
      <c r="N33" s="85"/>
      <c r="O33" s="71" t="s">
        <v>2761</v>
      </c>
      <c r="T33" s="49" t="s">
        <v>2751</v>
      </c>
    </row>
    <row r="34" spans="1:20" ht="14.25" thickBot="1">
      <c r="A34" s="49" t="str">
        <f t="shared" si="0"/>
        <v>|B11||WB|膿の神|5BB|7|BOK|C|スピリット|||3/3|BS:闇への追放　転生6|</v>
      </c>
      <c r="B34" s="49" t="s">
        <v>1744</v>
      </c>
      <c r="C34" s="53" t="s">
        <v>2003</v>
      </c>
      <c r="D34" s="111"/>
      <c r="E34" s="54" t="s">
        <v>33</v>
      </c>
      <c r="F34" s="54" t="s">
        <v>1457</v>
      </c>
      <c r="G34" s="54" t="s">
        <v>1458</v>
      </c>
      <c r="H34" s="54">
        <v>7</v>
      </c>
      <c r="I34" s="54" t="s">
        <v>348</v>
      </c>
      <c r="J34" s="54" t="s">
        <v>923</v>
      </c>
      <c r="K34" s="54" t="s">
        <v>1414</v>
      </c>
      <c r="L34" s="54"/>
      <c r="M34" s="54"/>
      <c r="N34" s="93" t="s">
        <v>1479</v>
      </c>
      <c r="O34" s="11" t="s">
        <v>1459</v>
      </c>
      <c r="T34" s="49" t="s">
        <v>2751</v>
      </c>
    </row>
    <row r="35" spans="1:20">
      <c r="A35" s="49" t="str">
        <f t="shared" si="0"/>
        <v>|R01||GU|嵐血の狂戦士|1R|2|M12|C|人間|狂戦士||1/1|狂喜2　威迫|</v>
      </c>
      <c r="B35" s="49" t="s">
        <v>1744</v>
      </c>
      <c r="C35" s="50" t="s">
        <v>2200</v>
      </c>
      <c r="D35" s="109"/>
      <c r="E35" s="51" t="s">
        <v>37</v>
      </c>
      <c r="F35" s="51" t="s">
        <v>2480</v>
      </c>
      <c r="G35" s="51" t="s">
        <v>1012</v>
      </c>
      <c r="H35" s="51">
        <v>2</v>
      </c>
      <c r="I35" s="51" t="s">
        <v>222</v>
      </c>
      <c r="J35" s="51" t="s">
        <v>923</v>
      </c>
      <c r="K35" s="51" t="s">
        <v>1410</v>
      </c>
      <c r="L35" s="51" t="s">
        <v>2481</v>
      </c>
      <c r="M35" s="51"/>
      <c r="N35" s="92" t="s">
        <v>1473</v>
      </c>
      <c r="O35" s="107" t="s">
        <v>2482</v>
      </c>
      <c r="P35" s="49" t="s">
        <v>6</v>
      </c>
      <c r="Q35" s="49">
        <f>COUNTIF(J35:J45,P35)</f>
        <v>6</v>
      </c>
      <c r="T35" s="49" t="s">
        <v>2751</v>
      </c>
    </row>
    <row r="36" spans="1:20">
      <c r="A36" s="49" t="str">
        <f t="shared" si="0"/>
        <v>|R02||除去|紅蓮地獄|1R|2|M11|S|||||全生物2点|</v>
      </c>
      <c r="B36" s="49" t="s">
        <v>1744</v>
      </c>
      <c r="C36" s="56" t="s">
        <v>2013</v>
      </c>
      <c r="D36" s="110"/>
      <c r="E36" s="55" t="s">
        <v>2135</v>
      </c>
      <c r="F36" s="55" t="s">
        <v>2316</v>
      </c>
      <c r="G36" s="55" t="s">
        <v>1012</v>
      </c>
      <c r="H36" s="55">
        <v>2</v>
      </c>
      <c r="I36" s="55" t="s">
        <v>221</v>
      </c>
      <c r="J36" s="34" t="s">
        <v>1501</v>
      </c>
      <c r="K36" s="55"/>
      <c r="L36" s="55"/>
      <c r="M36" s="55"/>
      <c r="N36" s="85"/>
      <c r="O36" s="94" t="s">
        <v>2317</v>
      </c>
      <c r="P36" s="49" t="s">
        <v>1263</v>
      </c>
      <c r="Q36" s="49">
        <f>COUNTIF(J35:J45,P36)</f>
        <v>2</v>
      </c>
      <c r="T36" s="49" t="s">
        <v>2751</v>
      </c>
    </row>
    <row r="37" spans="1:20">
      <c r="A37" s="49" t="str">
        <f t="shared" si="0"/>
        <v>|R03||秘儀|捨て身の儀式|1R|2|MMA|I|秘儀||||RRR　1R:連繋|</v>
      </c>
      <c r="B37" s="49" t="s">
        <v>1744</v>
      </c>
      <c r="C37" s="56" t="s">
        <v>2014</v>
      </c>
      <c r="D37" s="110"/>
      <c r="E37" s="34" t="s">
        <v>2147</v>
      </c>
      <c r="F37" s="55" t="s">
        <v>2255</v>
      </c>
      <c r="G37" s="55" t="s">
        <v>1012</v>
      </c>
      <c r="H37" s="55">
        <v>2</v>
      </c>
      <c r="I37" s="55" t="s">
        <v>2304</v>
      </c>
      <c r="J37" s="55" t="s">
        <v>1490</v>
      </c>
      <c r="K37" s="55" t="s">
        <v>2147</v>
      </c>
      <c r="L37" s="55"/>
      <c r="M37" s="55"/>
      <c r="N37" s="85"/>
      <c r="O37" s="94" t="s">
        <v>2305</v>
      </c>
      <c r="P37" s="49" t="s">
        <v>758</v>
      </c>
      <c r="Q37" s="49">
        <f>COUNTIF(J35:J45,P37)</f>
        <v>2</v>
      </c>
      <c r="T37" s="49" t="s">
        <v>2751</v>
      </c>
    </row>
    <row r="38" spans="1:20">
      <c r="A38" s="49" t="str">
        <f t="shared" si="0"/>
        <v>|R04||RW|攻撃の元型|1RR|3|BNG|EC|人間|戦士||3/2|自軍貫通　敵軍非貫通|</v>
      </c>
      <c r="B38" s="49" t="s">
        <v>1744</v>
      </c>
      <c r="C38" s="56" t="s">
        <v>2015</v>
      </c>
      <c r="D38" s="110"/>
      <c r="E38" s="55" t="s">
        <v>36</v>
      </c>
      <c r="F38" s="55" t="s">
        <v>2313</v>
      </c>
      <c r="G38" s="55" t="s">
        <v>2314</v>
      </c>
      <c r="H38" s="55">
        <v>3</v>
      </c>
      <c r="I38" s="55" t="s">
        <v>373</v>
      </c>
      <c r="J38" s="55" t="s">
        <v>2762</v>
      </c>
      <c r="K38" s="55" t="s">
        <v>1410</v>
      </c>
      <c r="L38" s="55" t="s">
        <v>2187</v>
      </c>
      <c r="M38" s="55"/>
      <c r="N38" s="85" t="s">
        <v>1483</v>
      </c>
      <c r="O38" s="94" t="s">
        <v>2315</v>
      </c>
      <c r="P38" s="49" t="s">
        <v>1265</v>
      </c>
      <c r="Q38" s="49">
        <f>COUNTIF(J35:J45,P38)</f>
        <v>0</v>
      </c>
      <c r="T38" s="49" t="s">
        <v>2751</v>
      </c>
    </row>
    <row r="39" spans="1:20">
      <c r="A39" s="49" t="str">
        <f t="shared" si="0"/>
        <v>|R05||RW|山崎兄弟|2R|3|CHK|C|人間|侍||2/1|伝説　同名+2/+2速攻　武1|</v>
      </c>
      <c r="B39" s="49" t="s">
        <v>1744</v>
      </c>
      <c r="C39" s="56" t="s">
        <v>2016</v>
      </c>
      <c r="D39" s="110"/>
      <c r="E39" s="55" t="s">
        <v>36</v>
      </c>
      <c r="F39" s="55" t="s">
        <v>254</v>
      </c>
      <c r="G39" s="55" t="s">
        <v>1014</v>
      </c>
      <c r="H39" s="55">
        <v>3</v>
      </c>
      <c r="I39" s="55" t="s">
        <v>347</v>
      </c>
      <c r="J39" s="55" t="s">
        <v>923</v>
      </c>
      <c r="K39" s="55" t="s">
        <v>1410</v>
      </c>
      <c r="L39" s="55" t="s">
        <v>2132</v>
      </c>
      <c r="M39" s="55"/>
      <c r="N39" s="85" t="s">
        <v>1474</v>
      </c>
      <c r="O39" s="57" t="s">
        <v>2306</v>
      </c>
      <c r="T39" s="49" t="s">
        <v>2751</v>
      </c>
    </row>
    <row r="40" spans="1:20">
      <c r="A40" s="49" t="str">
        <f t="shared" si="0"/>
        <v>|R06||UR|溶岩核の精霊|2R|3|PLC|C|エレメンタル|||5/3|消失1　自軍生物PL戦D時間C乗|</v>
      </c>
      <c r="B40" s="49" t="s">
        <v>1744</v>
      </c>
      <c r="C40" s="56" t="s">
        <v>2017</v>
      </c>
      <c r="D40" s="110"/>
      <c r="E40" s="34" t="s">
        <v>34</v>
      </c>
      <c r="F40" s="55" t="s">
        <v>2607</v>
      </c>
      <c r="G40" s="55" t="s">
        <v>1014</v>
      </c>
      <c r="H40" s="55">
        <v>3</v>
      </c>
      <c r="I40" s="55" t="s">
        <v>353</v>
      </c>
      <c r="J40" s="55" t="s">
        <v>923</v>
      </c>
      <c r="K40" s="55" t="s">
        <v>1930</v>
      </c>
      <c r="L40" s="55"/>
      <c r="M40" s="55"/>
      <c r="N40" s="85" t="s">
        <v>2308</v>
      </c>
      <c r="O40" s="94" t="s">
        <v>2763</v>
      </c>
      <c r="T40" s="49" t="s">
        <v>2751</v>
      </c>
    </row>
    <row r="41" spans="1:20">
      <c r="A41" s="49" t="str">
        <f t="shared" si="0"/>
        <v>|R07||多相|変わり身の狂戦士|3R|4|LRW|C|多相の戦士|||5/3|多相　覇権　速攻|</v>
      </c>
      <c r="B41" s="49" t="s">
        <v>1744</v>
      </c>
      <c r="C41" s="56" t="s">
        <v>2018</v>
      </c>
      <c r="D41" s="110"/>
      <c r="E41" s="34" t="s">
        <v>2146</v>
      </c>
      <c r="F41" s="55" t="s">
        <v>2257</v>
      </c>
      <c r="G41" s="55" t="s">
        <v>1016</v>
      </c>
      <c r="H41" s="55">
        <v>4</v>
      </c>
      <c r="I41" s="55" t="s">
        <v>355</v>
      </c>
      <c r="J41" s="55" t="s">
        <v>923</v>
      </c>
      <c r="K41" s="55" t="s">
        <v>1512</v>
      </c>
      <c r="L41" s="55"/>
      <c r="M41" s="55"/>
      <c r="N41" s="85" t="s">
        <v>2308</v>
      </c>
      <c r="O41" s="94" t="s">
        <v>2309</v>
      </c>
      <c r="T41" s="49" t="s">
        <v>2751</v>
      </c>
    </row>
    <row r="42" spans="1:20">
      <c r="A42" s="49" t="str">
        <f t="shared" si="0"/>
        <v>|R08||他|血暴れの巨人|2RR|4|RTR|C|巨人|||4/3|貫通　解鎖|</v>
      </c>
      <c r="B42" s="49" t="s">
        <v>1744</v>
      </c>
      <c r="C42" s="56" t="s">
        <v>2019</v>
      </c>
      <c r="D42" s="110"/>
      <c r="E42" s="34" t="s">
        <v>2143</v>
      </c>
      <c r="F42" s="55" t="s">
        <v>2483</v>
      </c>
      <c r="G42" s="55" t="s">
        <v>1187</v>
      </c>
      <c r="H42" s="55">
        <v>4</v>
      </c>
      <c r="I42" s="55" t="s">
        <v>370</v>
      </c>
      <c r="J42" s="34" t="s">
        <v>923</v>
      </c>
      <c r="K42" s="55" t="s">
        <v>2484</v>
      </c>
      <c r="L42" s="55"/>
      <c r="M42" s="55"/>
      <c r="N42" s="85" t="s">
        <v>1583</v>
      </c>
      <c r="O42" s="57" t="s">
        <v>2485</v>
      </c>
      <c r="T42" s="49" t="s">
        <v>2751</v>
      </c>
    </row>
    <row r="43" spans="1:20">
      <c r="A43" s="49" t="str">
        <f t="shared" si="0"/>
        <v>|R09||除去|手綱取り|3R|4|MRD|I|||||脅しつけ/投げ飛ばし　2R:双呪|</v>
      </c>
      <c r="B43" s="49" t="s">
        <v>1744</v>
      </c>
      <c r="C43" s="56" t="s">
        <v>2020</v>
      </c>
      <c r="D43" s="110"/>
      <c r="E43" s="55" t="s">
        <v>2135</v>
      </c>
      <c r="F43" s="34" t="s">
        <v>2318</v>
      </c>
      <c r="G43" s="34" t="s">
        <v>1016</v>
      </c>
      <c r="H43" s="34">
        <v>4</v>
      </c>
      <c r="I43" s="34" t="s">
        <v>344</v>
      </c>
      <c r="J43" s="34" t="s">
        <v>1490</v>
      </c>
      <c r="K43" s="55"/>
      <c r="L43" s="55"/>
      <c r="M43" s="55"/>
      <c r="N43" s="85"/>
      <c r="O43" s="94" t="s">
        <v>2319</v>
      </c>
      <c r="T43" s="49" t="s">
        <v>2751</v>
      </c>
    </row>
    <row r="44" spans="1:20">
      <c r="A44" s="49" t="str">
        <f t="shared" si="0"/>
        <v>|R10||slv|憤怒Slv|5R|6|TSP|C|スリヴァー|||3/3|二段|</v>
      </c>
      <c r="B44" s="49" t="s">
        <v>1744</v>
      </c>
      <c r="C44" s="56" t="s">
        <v>2021</v>
      </c>
      <c r="D44" s="110"/>
      <c r="E44" s="55" t="s">
        <v>2103</v>
      </c>
      <c r="F44" s="55" t="s">
        <v>1102</v>
      </c>
      <c r="G44" s="55" t="s">
        <v>1021</v>
      </c>
      <c r="H44" s="55">
        <v>6</v>
      </c>
      <c r="I44" s="55" t="s">
        <v>352</v>
      </c>
      <c r="J44" s="55" t="s">
        <v>923</v>
      </c>
      <c r="K44" s="55" t="s">
        <v>2087</v>
      </c>
      <c r="L44" s="55"/>
      <c r="M44" s="55"/>
      <c r="N44" s="85" t="s">
        <v>1479</v>
      </c>
      <c r="O44" s="57" t="s">
        <v>2310</v>
      </c>
      <c r="T44" s="49" t="s">
        <v>2751</v>
      </c>
    </row>
    <row r="45" spans="1:20" ht="14.25" thickBot="1">
      <c r="A45" s="49" t="str">
        <f t="shared" si="0"/>
        <v>|R11||UR|残忍な稲妻|3RRR|6|SOK|S|||||3/1速攻ElエンドS×3|</v>
      </c>
      <c r="B45" s="49" t="s">
        <v>1744</v>
      </c>
      <c r="C45" s="53" t="s">
        <v>2022</v>
      </c>
      <c r="D45" s="111"/>
      <c r="E45" s="54" t="s">
        <v>34</v>
      </c>
      <c r="F45" s="54" t="s">
        <v>2262</v>
      </c>
      <c r="G45" s="54" t="s">
        <v>2311</v>
      </c>
      <c r="H45" s="54">
        <v>6</v>
      </c>
      <c r="I45" s="54" t="s">
        <v>278</v>
      </c>
      <c r="J45" s="54" t="s">
        <v>1501</v>
      </c>
      <c r="K45" s="54"/>
      <c r="L45" s="54"/>
      <c r="M45" s="54"/>
      <c r="N45" s="93"/>
      <c r="O45" s="11" t="s">
        <v>2312</v>
      </c>
      <c r="T45" s="49" t="s">
        <v>2751</v>
      </c>
    </row>
    <row r="46" spans="1:20">
      <c r="A46" s="49" t="str">
        <f t="shared" si="0"/>
        <v>|G01||GU|実験体|G|1|GTC|C|人間|ウーズ||1/1|進化　2C除:再生|</v>
      </c>
      <c r="B46" s="49" t="s">
        <v>1744</v>
      </c>
      <c r="C46" s="50" t="s">
        <v>2217</v>
      </c>
      <c r="D46" s="109"/>
      <c r="E46" s="68" t="s">
        <v>37</v>
      </c>
      <c r="F46" s="68" t="s">
        <v>2329</v>
      </c>
      <c r="G46" s="68" t="s">
        <v>28</v>
      </c>
      <c r="H46" s="68">
        <v>1</v>
      </c>
      <c r="I46" s="68" t="s">
        <v>371</v>
      </c>
      <c r="J46" s="68" t="s">
        <v>923</v>
      </c>
      <c r="K46" s="51" t="s">
        <v>1410</v>
      </c>
      <c r="L46" s="51" t="s">
        <v>2330</v>
      </c>
      <c r="M46" s="51"/>
      <c r="N46" s="92" t="s">
        <v>1473</v>
      </c>
      <c r="O46" s="69" t="s">
        <v>2331</v>
      </c>
      <c r="P46" s="49" t="s">
        <v>6</v>
      </c>
      <c r="Q46" s="49">
        <f>COUNTIF(J46:J56,P46)</f>
        <v>6</v>
      </c>
      <c r="T46" s="49" t="s">
        <v>2751</v>
      </c>
    </row>
    <row r="47" spans="1:20">
      <c r="A47" s="49" t="str">
        <f t="shared" si="0"/>
        <v>|G02||他|怒りの発散|1G|2|10E|E|||||自軍貫通|</v>
      </c>
      <c r="B47" s="49" t="s">
        <v>1744</v>
      </c>
      <c r="C47" s="56" t="s">
        <v>2032</v>
      </c>
      <c r="D47" s="110"/>
      <c r="E47" s="34" t="s">
        <v>2143</v>
      </c>
      <c r="F47" s="55" t="s">
        <v>2764</v>
      </c>
      <c r="G47" s="55" t="s">
        <v>1024</v>
      </c>
      <c r="H47" s="34">
        <v>2</v>
      </c>
      <c r="I47" s="55" t="s">
        <v>359</v>
      </c>
      <c r="J47" s="55" t="s">
        <v>1493</v>
      </c>
      <c r="K47" s="55"/>
      <c r="L47" s="55"/>
      <c r="M47" s="55"/>
      <c r="N47" s="85"/>
      <c r="O47" s="57" t="s">
        <v>2765</v>
      </c>
      <c r="P47" s="49" t="s">
        <v>1263</v>
      </c>
      <c r="Q47" s="49">
        <f>COUNTIF(J46:J56,P47)</f>
        <v>2</v>
      </c>
      <c r="T47" s="49" t="s">
        <v>2751</v>
      </c>
    </row>
    <row r="48" spans="1:20">
      <c r="A48" s="49" t="str">
        <f t="shared" si="0"/>
        <v>|G03||除去|カル・シスマの風|1G|2|FRF|I|||||濃霧　獰猛-敵軍のみ濃霧|</v>
      </c>
      <c r="B48" s="49" t="s">
        <v>1744</v>
      </c>
      <c r="C48" s="56" t="s">
        <v>2033</v>
      </c>
      <c r="D48" s="110"/>
      <c r="E48" s="55" t="s">
        <v>2135</v>
      </c>
      <c r="F48" s="55" t="s">
        <v>2486</v>
      </c>
      <c r="G48" s="55" t="s">
        <v>1024</v>
      </c>
      <c r="H48" s="55">
        <v>2</v>
      </c>
      <c r="I48" s="55" t="s">
        <v>375</v>
      </c>
      <c r="J48" s="55" t="s">
        <v>1490</v>
      </c>
      <c r="K48" s="55"/>
      <c r="L48" s="55"/>
      <c r="M48" s="55"/>
      <c r="N48" s="85"/>
      <c r="O48" s="57" t="s">
        <v>2487</v>
      </c>
      <c r="P48" s="49" t="s">
        <v>758</v>
      </c>
      <c r="Q48" s="49">
        <f>COUNTIF(J46:J56,P48)</f>
        <v>2</v>
      </c>
      <c r="T48" s="49" t="s">
        <v>2751</v>
      </c>
    </row>
    <row r="49" spans="1:20">
      <c r="A49" s="49" t="str">
        <f t="shared" si="0"/>
        <v>|G04||除去|アナの戦闘魔道士|2G|3|PLC|C|人間|ウィザード||2/2|追2U:3ハンデス　追1B:P火力|</v>
      </c>
      <c r="B49" s="49" t="s">
        <v>1744</v>
      </c>
      <c r="C49" s="56" t="s">
        <v>2034</v>
      </c>
      <c r="D49" s="110"/>
      <c r="E49" s="55" t="s">
        <v>2135</v>
      </c>
      <c r="F49" s="55" t="s">
        <v>2488</v>
      </c>
      <c r="G49" s="55" t="s">
        <v>1026</v>
      </c>
      <c r="H49" s="55">
        <v>3</v>
      </c>
      <c r="I49" s="55" t="s">
        <v>353</v>
      </c>
      <c r="J49" s="55" t="s">
        <v>923</v>
      </c>
      <c r="K49" s="55" t="s">
        <v>1410</v>
      </c>
      <c r="L49" s="55" t="s">
        <v>1519</v>
      </c>
      <c r="M49" s="55"/>
      <c r="N49" s="85" t="s">
        <v>1475</v>
      </c>
      <c r="O49" s="104" t="s">
        <v>2489</v>
      </c>
      <c r="P49" s="49" t="s">
        <v>1265</v>
      </c>
      <c r="Q49" s="49">
        <f>COUNTIF(J46:J56,P49)</f>
        <v>1</v>
      </c>
      <c r="T49" s="49" t="s">
        <v>2751</v>
      </c>
    </row>
    <row r="50" spans="1:20">
      <c r="A50" s="49" t="str">
        <f t="shared" si="0"/>
        <v>|G05||GU|爆発的植生|3G|4|DTK|S|||||2倍ランパン|</v>
      </c>
      <c r="B50" s="49" t="s">
        <v>1744</v>
      </c>
      <c r="C50" s="56" t="s">
        <v>2035</v>
      </c>
      <c r="D50" s="110"/>
      <c r="E50" s="55" t="s">
        <v>37</v>
      </c>
      <c r="F50" s="55" t="s">
        <v>2320</v>
      </c>
      <c r="G50" s="55" t="s">
        <v>1027</v>
      </c>
      <c r="H50" s="55">
        <v>4</v>
      </c>
      <c r="I50" s="55" t="s">
        <v>376</v>
      </c>
      <c r="J50" s="55" t="s">
        <v>1501</v>
      </c>
      <c r="K50" s="55"/>
      <c r="L50" s="55"/>
      <c r="M50" s="55"/>
      <c r="N50" s="85"/>
      <c r="O50" s="57" t="s">
        <v>2321</v>
      </c>
      <c r="T50" s="49" t="s">
        <v>2751</v>
      </c>
    </row>
    <row r="51" spans="1:20">
      <c r="A51" s="49" t="str">
        <f t="shared" si="0"/>
        <v>|G06||BG|大軍の功績|2GG|4|NPH|S|||||自軍生物PT+1+感染|</v>
      </c>
      <c r="B51" s="49" t="s">
        <v>1744</v>
      </c>
      <c r="C51" s="56" t="s">
        <v>2036</v>
      </c>
      <c r="D51" s="110"/>
      <c r="E51" s="34" t="s">
        <v>35</v>
      </c>
      <c r="F51" s="55" t="s">
        <v>1382</v>
      </c>
      <c r="G51" s="55" t="s">
        <v>1367</v>
      </c>
      <c r="H51" s="55">
        <v>4</v>
      </c>
      <c r="I51" s="55" t="s">
        <v>366</v>
      </c>
      <c r="J51" s="55" t="s">
        <v>1501</v>
      </c>
      <c r="K51" s="55"/>
      <c r="L51" s="55"/>
      <c r="M51" s="55"/>
      <c r="N51" s="85"/>
      <c r="O51" s="57" t="s">
        <v>2322</v>
      </c>
      <c r="T51" s="49" t="s">
        <v>2751</v>
      </c>
    </row>
    <row r="52" spans="1:20">
      <c r="A52" s="49" t="str">
        <f t="shared" si="0"/>
        <v>|G07||多相|変わり身のタイタン|4G|5|LRW|C|多相の戦士|||7/7|多相　覇権|</v>
      </c>
      <c r="B52" s="49" t="s">
        <v>1744</v>
      </c>
      <c r="C52" s="56" t="s">
        <v>2037</v>
      </c>
      <c r="D52" s="110"/>
      <c r="E52" s="34" t="s">
        <v>2146</v>
      </c>
      <c r="F52" s="55" t="s">
        <v>2258</v>
      </c>
      <c r="G52" s="55" t="s">
        <v>1028</v>
      </c>
      <c r="H52" s="55">
        <v>5</v>
      </c>
      <c r="I52" s="55" t="s">
        <v>355</v>
      </c>
      <c r="J52" s="55" t="s">
        <v>923</v>
      </c>
      <c r="K52" s="55" t="s">
        <v>1512</v>
      </c>
      <c r="L52" s="55"/>
      <c r="M52" s="55"/>
      <c r="N52" s="85" t="s">
        <v>2323</v>
      </c>
      <c r="O52" s="57" t="s">
        <v>2324</v>
      </c>
      <c r="T52" s="49" t="s">
        <v>2751</v>
      </c>
    </row>
    <row r="53" spans="1:20">
      <c r="A53" s="49" t="str">
        <f t="shared" si="0"/>
        <v>|G08||slv|増力Slv|4G|5|TSP|C|スリヴァー|||2/2|PT+2|</v>
      </c>
      <c r="B53" s="49" t="s">
        <v>1744</v>
      </c>
      <c r="C53" s="56" t="s">
        <v>2038</v>
      </c>
      <c r="D53" s="110"/>
      <c r="E53" s="55" t="s">
        <v>2103</v>
      </c>
      <c r="F53" s="34" t="s">
        <v>1113</v>
      </c>
      <c r="G53" s="34" t="s">
        <v>1028</v>
      </c>
      <c r="H53" s="34">
        <v>5</v>
      </c>
      <c r="I53" s="34" t="s">
        <v>352</v>
      </c>
      <c r="J53" s="55" t="s">
        <v>923</v>
      </c>
      <c r="K53" s="34" t="s">
        <v>2087</v>
      </c>
      <c r="L53" s="34"/>
      <c r="M53" s="55"/>
      <c r="N53" s="85" t="s">
        <v>1475</v>
      </c>
      <c r="O53" s="71" t="s">
        <v>989</v>
      </c>
      <c r="T53" s="49" t="s">
        <v>2751</v>
      </c>
    </row>
    <row r="54" spans="1:20">
      <c r="A54" s="49" t="str">
        <f t="shared" si="0"/>
        <v>|G09||秘儀|杉の力|4G|5|CHK|I|秘儀||||生物1自土地分PT+X|</v>
      </c>
      <c r="B54" s="49" t="s">
        <v>1744</v>
      </c>
      <c r="C54" s="56" t="s">
        <v>2039</v>
      </c>
      <c r="D54" s="110"/>
      <c r="E54" s="55" t="s">
        <v>2147</v>
      </c>
      <c r="F54" s="55" t="s">
        <v>2325</v>
      </c>
      <c r="G54" s="55" t="s">
        <v>1028</v>
      </c>
      <c r="H54" s="55">
        <v>5</v>
      </c>
      <c r="I54" s="55" t="s">
        <v>347</v>
      </c>
      <c r="J54" s="55" t="s">
        <v>1490</v>
      </c>
      <c r="K54" s="55" t="s">
        <v>2147</v>
      </c>
      <c r="L54" s="55"/>
      <c r="M54" s="55"/>
      <c r="N54" s="85"/>
      <c r="O54" s="57" t="s">
        <v>2326</v>
      </c>
      <c r="T54" s="49" t="s">
        <v>2751</v>
      </c>
    </row>
    <row r="55" spans="1:20">
      <c r="A55" s="49" t="str">
        <f t="shared" si="0"/>
        <v>|G10||BG|脊柱噛み|4GG|6|NPH|C|ビースト|||3/4|感染　超貫通|</v>
      </c>
      <c r="B55" s="49" t="s">
        <v>1744</v>
      </c>
      <c r="C55" s="56" t="s">
        <v>2040</v>
      </c>
      <c r="D55" s="110"/>
      <c r="E55" s="55" t="s">
        <v>35</v>
      </c>
      <c r="F55" s="55" t="s">
        <v>1386</v>
      </c>
      <c r="G55" s="55" t="s">
        <v>1387</v>
      </c>
      <c r="H55" s="55">
        <v>6</v>
      </c>
      <c r="I55" s="55" t="s">
        <v>366</v>
      </c>
      <c r="J55" s="55" t="s">
        <v>923</v>
      </c>
      <c r="K55" s="55" t="s">
        <v>1659</v>
      </c>
      <c r="L55" s="55"/>
      <c r="M55" s="55"/>
      <c r="N55" s="85" t="s">
        <v>2327</v>
      </c>
      <c r="O55" s="57" t="s">
        <v>2328</v>
      </c>
      <c r="T55" s="49" t="s">
        <v>2751</v>
      </c>
    </row>
    <row r="56" spans="1:20" ht="14.25" thickBot="1">
      <c r="A56" s="49" t="str">
        <f t="shared" si="0"/>
        <v>|G11||WB|樹海の胴|7GG|9|BOK|C|スピリット|||8/5|貫通　転生8|</v>
      </c>
      <c r="B56" s="49" t="s">
        <v>1744</v>
      </c>
      <c r="C56" s="53" t="s">
        <v>2041</v>
      </c>
      <c r="D56" s="111"/>
      <c r="E56" s="54" t="s">
        <v>33</v>
      </c>
      <c r="F56" s="54" t="s">
        <v>1464</v>
      </c>
      <c r="G56" s="54" t="s">
        <v>1465</v>
      </c>
      <c r="H56" s="54">
        <v>9</v>
      </c>
      <c r="I56" s="54" t="s">
        <v>348</v>
      </c>
      <c r="J56" s="54" t="s">
        <v>923</v>
      </c>
      <c r="K56" s="54" t="s">
        <v>1414</v>
      </c>
      <c r="L56" s="54"/>
      <c r="M56" s="54"/>
      <c r="N56" s="93" t="s">
        <v>1486</v>
      </c>
      <c r="O56" s="11" t="s">
        <v>1466</v>
      </c>
      <c r="T56" s="49" t="s">
        <v>2751</v>
      </c>
    </row>
    <row r="57" spans="1:20">
      <c r="A57" s="49" t="str">
        <f t="shared" si="0"/>
        <v>|WU1||slv|乳白Slv|1WU|3|TSP|C|スリヴァー|||2/2|呪文対象誘1泥|</v>
      </c>
      <c r="B57" s="49" t="s">
        <v>1744</v>
      </c>
      <c r="C57" s="50" t="s">
        <v>2332</v>
      </c>
      <c r="D57" s="109"/>
      <c r="E57" s="68" t="s">
        <v>2103</v>
      </c>
      <c r="F57" s="51" t="s">
        <v>1116</v>
      </c>
      <c r="G57" s="51" t="s">
        <v>1032</v>
      </c>
      <c r="H57" s="51">
        <v>3</v>
      </c>
      <c r="I57" s="51" t="s">
        <v>352</v>
      </c>
      <c r="J57" s="51" t="s">
        <v>923</v>
      </c>
      <c r="K57" s="51" t="s">
        <v>2087</v>
      </c>
      <c r="L57" s="51"/>
      <c r="M57" s="51"/>
      <c r="N57" s="92" t="s">
        <v>1475</v>
      </c>
      <c r="O57" s="52" t="s">
        <v>2333</v>
      </c>
      <c r="T57" s="49" t="s">
        <v>2751</v>
      </c>
    </row>
    <row r="58" spans="1:20">
      <c r="A58" s="49" t="str">
        <f t="shared" si="0"/>
        <v>|UB1||slv|狂気Slv|3UB|5|TSP|C|スリヴァー|||3/3|T：ハンデス|</v>
      </c>
      <c r="B58" s="49" t="s">
        <v>1744</v>
      </c>
      <c r="C58" s="56" t="s">
        <v>2334</v>
      </c>
      <c r="D58" s="110"/>
      <c r="E58" s="34" t="s">
        <v>2103</v>
      </c>
      <c r="F58" s="55" t="s">
        <v>1118</v>
      </c>
      <c r="G58" s="55" t="s">
        <v>1034</v>
      </c>
      <c r="H58" s="55">
        <v>5</v>
      </c>
      <c r="I58" s="55" t="s">
        <v>352</v>
      </c>
      <c r="J58" s="55" t="s">
        <v>923</v>
      </c>
      <c r="K58" s="55" t="s">
        <v>2087</v>
      </c>
      <c r="L58" s="55"/>
      <c r="M58" s="55"/>
      <c r="N58" s="85" t="s">
        <v>1479</v>
      </c>
      <c r="O58" s="57" t="s">
        <v>967</v>
      </c>
      <c r="T58" s="49" t="s">
        <v>2751</v>
      </c>
    </row>
    <row r="59" spans="1:20">
      <c r="A59" s="49" t="str">
        <f t="shared" si="0"/>
        <v>|BR1||slv|霊炎Slv|BR|2|TSP|C|スリヴァー|||2/2|無色化|</v>
      </c>
      <c r="B59" s="49" t="s">
        <v>1744</v>
      </c>
      <c r="C59" s="56" t="s">
        <v>2335</v>
      </c>
      <c r="D59" s="110"/>
      <c r="E59" s="34" t="s">
        <v>2103</v>
      </c>
      <c r="F59" s="55" t="s">
        <v>1120</v>
      </c>
      <c r="G59" s="55" t="s">
        <v>8</v>
      </c>
      <c r="H59" s="55">
        <v>2</v>
      </c>
      <c r="I59" s="55" t="s">
        <v>352</v>
      </c>
      <c r="J59" s="55" t="s">
        <v>923</v>
      </c>
      <c r="K59" s="55" t="s">
        <v>2087</v>
      </c>
      <c r="L59" s="55"/>
      <c r="M59" s="55"/>
      <c r="N59" s="85" t="s">
        <v>1475</v>
      </c>
      <c r="O59" s="57" t="s">
        <v>2336</v>
      </c>
      <c r="T59" s="49" t="s">
        <v>2751</v>
      </c>
    </row>
    <row r="60" spans="1:20">
      <c r="A60" s="49" t="str">
        <f t="shared" si="0"/>
        <v>|RG1||slv|火跡Slv|1RG|3|TSP|C|スリヴァー|||1/1|ヤヴィマヤの木|</v>
      </c>
      <c r="B60" s="49" t="s">
        <v>1744</v>
      </c>
      <c r="C60" s="56" t="s">
        <v>2337</v>
      </c>
      <c r="D60" s="110"/>
      <c r="E60" s="34" t="s">
        <v>2103</v>
      </c>
      <c r="F60" s="55" t="s">
        <v>1121</v>
      </c>
      <c r="G60" s="55" t="s">
        <v>1038</v>
      </c>
      <c r="H60" s="55">
        <v>3</v>
      </c>
      <c r="I60" s="55" t="s">
        <v>352</v>
      </c>
      <c r="J60" s="55" t="s">
        <v>923</v>
      </c>
      <c r="K60" s="55" t="s">
        <v>2087</v>
      </c>
      <c r="L60" s="55"/>
      <c r="M60" s="55"/>
      <c r="N60" s="85" t="s">
        <v>1473</v>
      </c>
      <c r="O60" s="57" t="s">
        <v>2338</v>
      </c>
      <c r="T60" s="49" t="s">
        <v>2751</v>
      </c>
    </row>
    <row r="61" spans="1:20" ht="14.25" thickBot="1">
      <c r="A61" s="49" t="str">
        <f t="shared" si="0"/>
        <v>|GW1||slv|調和Slv|1GW|3|TSP|C|スリヴァー|||1/1|CIP帰化|</v>
      </c>
      <c r="B61" s="49" t="s">
        <v>1744</v>
      </c>
      <c r="C61" s="39" t="s">
        <v>2339</v>
      </c>
      <c r="D61" s="115"/>
      <c r="E61" s="120" t="s">
        <v>2103</v>
      </c>
      <c r="F61" s="40" t="s">
        <v>1123</v>
      </c>
      <c r="G61" s="40" t="s">
        <v>1041</v>
      </c>
      <c r="H61" s="40">
        <v>3</v>
      </c>
      <c r="I61" s="40" t="s">
        <v>352</v>
      </c>
      <c r="J61" s="40" t="s">
        <v>923</v>
      </c>
      <c r="K61" s="40" t="s">
        <v>2087</v>
      </c>
      <c r="L61" s="40"/>
      <c r="M61" s="40"/>
      <c r="N61" s="116" t="s">
        <v>1473</v>
      </c>
      <c r="O61" s="123" t="s">
        <v>2340</v>
      </c>
      <c r="T61" s="49" t="s">
        <v>2751</v>
      </c>
    </row>
    <row r="62" spans="1:20">
      <c r="A62" s="49" t="str">
        <f t="shared" si="0"/>
        <v>|WB1||slv|壊死Slv|1WB|3|PLC|C|スリヴァー|||2/2|3S:パー割|</v>
      </c>
      <c r="B62" s="49" t="s">
        <v>1744</v>
      </c>
      <c r="C62" s="67" t="s">
        <v>2231</v>
      </c>
      <c r="D62" s="112"/>
      <c r="E62" s="68" t="s">
        <v>2103</v>
      </c>
      <c r="F62" s="51" t="s">
        <v>1125</v>
      </c>
      <c r="G62" s="51" t="s">
        <v>1044</v>
      </c>
      <c r="H62" s="51">
        <v>3</v>
      </c>
      <c r="I62" s="51" t="s">
        <v>353</v>
      </c>
      <c r="J62" s="51" t="s">
        <v>923</v>
      </c>
      <c r="K62" s="51" t="s">
        <v>2087</v>
      </c>
      <c r="L62" s="51"/>
      <c r="M62" s="51"/>
      <c r="N62" s="92" t="s">
        <v>1475</v>
      </c>
      <c r="O62" s="95" t="s">
        <v>2341</v>
      </c>
      <c r="T62" s="49" t="s">
        <v>2751</v>
      </c>
    </row>
    <row r="63" spans="1:20">
      <c r="A63" s="49" t="str">
        <f t="shared" si="0"/>
        <v>|WB2|||大食の雛|3W/B|4|EVE|C|エレメンタル|||6/6|_-1C×4　絆魂　白呪唱-1C除、黒同様|</v>
      </c>
      <c r="B63" s="49" t="s">
        <v>1744</v>
      </c>
      <c r="C63" s="70" t="s">
        <v>2051</v>
      </c>
      <c r="D63" s="113"/>
      <c r="E63" s="34"/>
      <c r="F63" s="34" t="s">
        <v>2266</v>
      </c>
      <c r="G63" s="34" t="s">
        <v>2342</v>
      </c>
      <c r="H63" s="34">
        <v>4</v>
      </c>
      <c r="I63" s="34" t="s">
        <v>358</v>
      </c>
      <c r="J63" s="34" t="s">
        <v>923</v>
      </c>
      <c r="K63" s="34" t="s">
        <v>1930</v>
      </c>
      <c r="L63" s="34"/>
      <c r="M63" s="55"/>
      <c r="N63" s="85" t="s">
        <v>1485</v>
      </c>
      <c r="O63" s="94" t="s">
        <v>2343</v>
      </c>
      <c r="T63" s="49" t="s">
        <v>2751</v>
      </c>
    </row>
    <row r="64" spans="1:20">
      <c r="A64" s="49" t="str">
        <f t="shared" si="0"/>
        <v>|WB3|||利得+損失|1W+2B|2|DGM|I|||||自軍+1/+1/敵軍-1/-1　融合|</v>
      </c>
      <c r="B64" s="49" t="s">
        <v>1744</v>
      </c>
      <c r="C64" s="70" t="s">
        <v>2052</v>
      </c>
      <c r="D64" s="113"/>
      <c r="E64" s="34"/>
      <c r="F64" s="55" t="s">
        <v>2344</v>
      </c>
      <c r="G64" s="55" t="s">
        <v>2345</v>
      </c>
      <c r="H64" s="55">
        <v>2</v>
      </c>
      <c r="I64" s="55" t="s">
        <v>1504</v>
      </c>
      <c r="J64" s="55" t="s">
        <v>1490</v>
      </c>
      <c r="K64" s="55"/>
      <c r="L64" s="55"/>
      <c r="M64" s="55"/>
      <c r="N64" s="85"/>
      <c r="O64" s="57" t="s">
        <v>2346</v>
      </c>
      <c r="T64" s="49" t="s">
        <v>2751</v>
      </c>
    </row>
    <row r="65" spans="1:20" ht="14.25" thickBot="1">
      <c r="A65" s="49" t="str">
        <f t="shared" si="0"/>
        <v>|WB4|||屈辱|1WB|3|GPT|I|||||CorE破壊|</v>
      </c>
      <c r="B65" s="49" t="s">
        <v>1744</v>
      </c>
      <c r="C65" s="70" t="s">
        <v>2053</v>
      </c>
      <c r="D65" s="119"/>
      <c r="E65" s="73"/>
      <c r="F65" s="54" t="s">
        <v>2897</v>
      </c>
      <c r="G65" s="54" t="s">
        <v>2898</v>
      </c>
      <c r="H65" s="54">
        <v>3</v>
      </c>
      <c r="I65" s="54" t="s">
        <v>2899</v>
      </c>
      <c r="J65" s="54" t="s">
        <v>2900</v>
      </c>
      <c r="K65" s="54"/>
      <c r="L65" s="54"/>
      <c r="M65" s="54"/>
      <c r="N65" s="93"/>
      <c r="O65" s="11" t="s">
        <v>2901</v>
      </c>
    </row>
    <row r="66" spans="1:20">
      <c r="A66" s="49" t="str">
        <f t="shared" ref="A66:A91" si="4">B66&amp;C66&amp;B66&amp;D66&amp;B66&amp;E66&amp;B66&amp;F66&amp;B66&amp;G66&amp;B66&amp;H66&amp;B66&amp;I66&amp;B66&amp;J66&amp;B66&amp;K66&amp;B66&amp;L66&amp;B66&amp;M66&amp;B66&amp;N66&amp;B66&amp;O66&amp;B66</f>
        <v>|UR1||slv|熱狂Slv|1UR|3|PLC|C|スリヴァー|||2/2|0：イフリート|</v>
      </c>
      <c r="B66" s="49" t="s">
        <v>1744</v>
      </c>
      <c r="C66" s="67" t="s">
        <v>2232</v>
      </c>
      <c r="D66" s="112"/>
      <c r="E66" s="68" t="s">
        <v>2103</v>
      </c>
      <c r="F66" s="51" t="s">
        <v>1128</v>
      </c>
      <c r="G66" s="51" t="s">
        <v>1048</v>
      </c>
      <c r="H66" s="51">
        <v>3</v>
      </c>
      <c r="I66" s="51" t="s">
        <v>353</v>
      </c>
      <c r="J66" s="51" t="s">
        <v>923</v>
      </c>
      <c r="K66" s="51" t="s">
        <v>2087</v>
      </c>
      <c r="L66" s="51"/>
      <c r="M66" s="51"/>
      <c r="N66" s="92" t="s">
        <v>1475</v>
      </c>
      <c r="O66" s="95" t="s">
        <v>991</v>
      </c>
      <c r="T66" s="49" t="s">
        <v>2751</v>
      </c>
    </row>
    <row r="67" spans="1:20">
      <c r="A67" s="49" t="str">
        <f t="shared" si="4"/>
        <v>|UR2|||明敏な雛|3U/R|4|EVE|C|エレメンタル|||6/6|_-1C×4　U/R:防不　青呪唱-1C除、赤同様|</v>
      </c>
      <c r="B67" s="49" t="s">
        <v>1744</v>
      </c>
      <c r="C67" s="70" t="s">
        <v>2054</v>
      </c>
      <c r="D67" s="113"/>
      <c r="E67" s="34"/>
      <c r="F67" s="55" t="s">
        <v>2265</v>
      </c>
      <c r="G67" s="34" t="s">
        <v>1579</v>
      </c>
      <c r="H67" s="34">
        <v>4</v>
      </c>
      <c r="I67" s="34" t="s">
        <v>358</v>
      </c>
      <c r="J67" s="34" t="s">
        <v>923</v>
      </c>
      <c r="K67" s="34" t="s">
        <v>1930</v>
      </c>
      <c r="L67" s="55"/>
      <c r="M67" s="55"/>
      <c r="N67" s="85" t="s">
        <v>1485</v>
      </c>
      <c r="O67" s="94" t="s">
        <v>2347</v>
      </c>
      <c r="T67" s="49" t="s">
        <v>2751</v>
      </c>
    </row>
    <row r="68" spans="1:20">
      <c r="A68" s="49" t="str">
        <f t="shared" si="4"/>
        <v>|UR3|||変化+点火|2U+1R|3|DGM|I|||||生物10/1化/2点火力　融合|</v>
      </c>
      <c r="B68" s="49" t="s">
        <v>1744</v>
      </c>
      <c r="C68" s="70" t="s">
        <v>2055</v>
      </c>
      <c r="D68" s="113"/>
      <c r="E68" s="34"/>
      <c r="F68" s="55" t="s">
        <v>2348</v>
      </c>
      <c r="G68" s="34" t="s">
        <v>2349</v>
      </c>
      <c r="H68" s="34">
        <v>3</v>
      </c>
      <c r="I68" s="34" t="s">
        <v>1504</v>
      </c>
      <c r="J68" s="34" t="s">
        <v>1490</v>
      </c>
      <c r="K68" s="55"/>
      <c r="L68" s="55"/>
      <c r="M68" s="55"/>
      <c r="N68" s="85"/>
      <c r="O68" s="94" t="s">
        <v>2350</v>
      </c>
      <c r="T68" s="49" t="s">
        <v>2751</v>
      </c>
    </row>
    <row r="69" spans="1:20" ht="14.25" thickBot="1">
      <c r="A69" s="49" t="str">
        <f t="shared" si="4"/>
        <v>|UR4|||イゼットの魔除け|UR|2|GTC|I|||||否認2リーク　生物2　2ルーター|</v>
      </c>
      <c r="B69" s="49" t="s">
        <v>1744</v>
      </c>
      <c r="C69" s="70" t="s">
        <v>2056</v>
      </c>
      <c r="D69" s="119"/>
      <c r="E69" s="73"/>
      <c r="F69" s="54" t="s">
        <v>2902</v>
      </c>
      <c r="G69" s="73" t="s">
        <v>2903</v>
      </c>
      <c r="H69" s="73">
        <v>2</v>
      </c>
      <c r="I69" s="73" t="s">
        <v>2904</v>
      </c>
      <c r="J69" s="73" t="s">
        <v>2868</v>
      </c>
      <c r="K69" s="54"/>
      <c r="L69" s="54"/>
      <c r="M69" s="54"/>
      <c r="N69" s="93"/>
      <c r="O69" s="96" t="s">
        <v>2905</v>
      </c>
    </row>
    <row r="70" spans="1:20">
      <c r="A70" s="49" t="str">
        <f t="shared" si="4"/>
        <v>|BG1||slv|暗心Slv|BG|2|PLC|C|スリヴァー|||2/2|S:3ゲイン|</v>
      </c>
      <c r="B70" s="49" t="s">
        <v>1744</v>
      </c>
      <c r="C70" s="67" t="s">
        <v>2233</v>
      </c>
      <c r="D70" s="112"/>
      <c r="E70" s="68" t="s">
        <v>2103</v>
      </c>
      <c r="F70" s="51" t="s">
        <v>1126</v>
      </c>
      <c r="G70" s="51" t="s">
        <v>35</v>
      </c>
      <c r="H70" s="51">
        <v>2</v>
      </c>
      <c r="I70" s="51" t="s">
        <v>353</v>
      </c>
      <c r="J70" s="51" t="s">
        <v>923</v>
      </c>
      <c r="K70" s="51" t="s">
        <v>2087</v>
      </c>
      <c r="L70" s="51"/>
      <c r="M70" s="51"/>
      <c r="N70" s="92" t="s">
        <v>1475</v>
      </c>
      <c r="O70" s="95" t="s">
        <v>992</v>
      </c>
      <c r="T70" s="49" t="s">
        <v>2751</v>
      </c>
    </row>
    <row r="71" spans="1:20">
      <c r="A71" s="49" t="str">
        <f t="shared" si="4"/>
        <v>|BG2|||有毒の雛|3B/G|4|EVE|C|エレメンタル|||6/6|_-1C×4　萎縮　黒呪唱-1C除、緑同様|</v>
      </c>
      <c r="B71" s="49" t="s">
        <v>1744</v>
      </c>
      <c r="C71" s="70" t="s">
        <v>2057</v>
      </c>
      <c r="D71" s="113"/>
      <c r="E71" s="34"/>
      <c r="F71" s="55" t="s">
        <v>2267</v>
      </c>
      <c r="G71" s="34" t="s">
        <v>1630</v>
      </c>
      <c r="H71" s="34">
        <v>4</v>
      </c>
      <c r="I71" s="34" t="s">
        <v>358</v>
      </c>
      <c r="J71" s="34" t="s">
        <v>923</v>
      </c>
      <c r="K71" s="34" t="s">
        <v>1930</v>
      </c>
      <c r="L71" s="55"/>
      <c r="M71" s="55"/>
      <c r="N71" s="85" t="s">
        <v>1485</v>
      </c>
      <c r="O71" s="94" t="s">
        <v>2351</v>
      </c>
      <c r="T71" s="49" t="s">
        <v>2751</v>
      </c>
    </row>
    <row r="72" spans="1:20">
      <c r="A72" s="49" t="str">
        <f t="shared" si="4"/>
        <v>|BG3|||有害+不潔|3B+2G|4|DGM|S|||||2ハンデス/墓地1回収　融合|</v>
      </c>
      <c r="B72" s="49" t="s">
        <v>1744</v>
      </c>
      <c r="C72" s="70" t="s">
        <v>2058</v>
      </c>
      <c r="D72" s="113"/>
      <c r="E72" s="34"/>
      <c r="F72" s="55" t="s">
        <v>2352</v>
      </c>
      <c r="G72" s="34" t="s">
        <v>2353</v>
      </c>
      <c r="H72" s="34">
        <v>4</v>
      </c>
      <c r="I72" s="34" t="s">
        <v>1504</v>
      </c>
      <c r="J72" s="34" t="s">
        <v>1501</v>
      </c>
      <c r="K72" s="55"/>
      <c r="L72" s="55"/>
      <c r="M72" s="55"/>
      <c r="N72" s="85"/>
      <c r="O72" s="94" t="s">
        <v>2354</v>
      </c>
      <c r="T72" s="49" t="s">
        <v>2751</v>
      </c>
    </row>
    <row r="73" spans="1:20" ht="14.25" thickBot="1">
      <c r="A73" s="49" t="str">
        <f t="shared" si="4"/>
        <v>|BG4|||死の激情|3BG|5|KTK|S|||||全-2/-2|</v>
      </c>
      <c r="B73" s="49" t="s">
        <v>1744</v>
      </c>
      <c r="C73" s="70" t="s">
        <v>2059</v>
      </c>
      <c r="D73" s="119"/>
      <c r="E73" s="73"/>
      <c r="F73" s="54" t="s">
        <v>2907</v>
      </c>
      <c r="G73" s="73" t="s">
        <v>2908</v>
      </c>
      <c r="H73" s="73">
        <v>5</v>
      </c>
      <c r="I73" s="73" t="s">
        <v>2909</v>
      </c>
      <c r="J73" s="73" t="s">
        <v>2876</v>
      </c>
      <c r="K73" s="54"/>
      <c r="L73" s="54"/>
      <c r="M73" s="54"/>
      <c r="N73" s="93"/>
      <c r="O73" s="96" t="s">
        <v>2910</v>
      </c>
    </row>
    <row r="74" spans="1:20">
      <c r="A74" s="49" t="str">
        <f t="shared" si="4"/>
        <v>|RW1||slv|焼灼Slv|RW|2|PLC|C|スリヴァー|||2/2|1S：1ダメor軽減|</v>
      </c>
      <c r="B74" s="49" t="s">
        <v>1744</v>
      </c>
      <c r="C74" s="67" t="s">
        <v>2234</v>
      </c>
      <c r="D74" s="112"/>
      <c r="E74" s="68" t="s">
        <v>2103</v>
      </c>
      <c r="F74" s="51" t="s">
        <v>1129</v>
      </c>
      <c r="G74" s="51" t="s">
        <v>36</v>
      </c>
      <c r="H74" s="51">
        <v>2</v>
      </c>
      <c r="I74" s="51" t="s">
        <v>353</v>
      </c>
      <c r="J74" s="51" t="s">
        <v>923</v>
      </c>
      <c r="K74" s="51" t="s">
        <v>2087</v>
      </c>
      <c r="L74" s="51"/>
      <c r="M74" s="51"/>
      <c r="N74" s="92" t="s">
        <v>1475</v>
      </c>
      <c r="O74" s="95" t="s">
        <v>2355</v>
      </c>
      <c r="T74" s="49" t="s">
        <v>2751</v>
      </c>
    </row>
    <row r="75" spans="1:20">
      <c r="A75" s="49" t="str">
        <f t="shared" si="4"/>
        <v>|RW2|||好戦的な雛|3R/W|4|EVE|C|エレメンタル|||6/6|_-1C×4　先制　赤呪唱-1C除、白同様|</v>
      </c>
      <c r="B75" s="49" t="s">
        <v>1744</v>
      </c>
      <c r="C75" s="70" t="s">
        <v>2060</v>
      </c>
      <c r="D75" s="113"/>
      <c r="E75" s="34"/>
      <c r="F75" s="55" t="s">
        <v>2268</v>
      </c>
      <c r="G75" s="55" t="s">
        <v>2356</v>
      </c>
      <c r="H75" s="55">
        <v>4</v>
      </c>
      <c r="I75" s="55" t="s">
        <v>358</v>
      </c>
      <c r="J75" s="34" t="s">
        <v>923</v>
      </c>
      <c r="K75" s="55" t="s">
        <v>1930</v>
      </c>
      <c r="L75" s="55"/>
      <c r="M75" s="55"/>
      <c r="N75" s="85" t="s">
        <v>1485</v>
      </c>
      <c r="O75" s="57" t="s">
        <v>2357</v>
      </c>
      <c r="T75" s="49" t="s">
        <v>2751</v>
      </c>
    </row>
    <row r="76" spans="1:20">
      <c r="A76" s="49" t="str">
        <f t="shared" si="4"/>
        <v>|RW3|||摩耗+損耗|1R+W|2|DGM|I|||||F破壊/E破壊　融合|</v>
      </c>
      <c r="B76" s="49" t="s">
        <v>1744</v>
      </c>
      <c r="C76" s="70" t="s">
        <v>2061</v>
      </c>
      <c r="D76" s="113"/>
      <c r="E76" s="34"/>
      <c r="F76" s="55" t="s">
        <v>2358</v>
      </c>
      <c r="G76" s="55" t="s">
        <v>2359</v>
      </c>
      <c r="H76" s="55">
        <v>2</v>
      </c>
      <c r="I76" s="55" t="s">
        <v>1504</v>
      </c>
      <c r="J76" s="34" t="s">
        <v>1490</v>
      </c>
      <c r="K76" s="55"/>
      <c r="L76" s="55"/>
      <c r="M76" s="55"/>
      <c r="N76" s="85"/>
      <c r="O76" s="98" t="s">
        <v>2360</v>
      </c>
      <c r="T76" s="49" t="s">
        <v>2751</v>
      </c>
    </row>
    <row r="77" spans="1:20" ht="14.25" thickBot="1">
      <c r="A77" s="49" t="str">
        <f t="shared" si="4"/>
        <v>|RW4|||先導者のらせん|2RW|4|GTC|I|||||4点D　4回復|</v>
      </c>
      <c r="B77" s="49" t="s">
        <v>1744</v>
      </c>
      <c r="C77" s="70" t="s">
        <v>2062</v>
      </c>
      <c r="D77" s="119"/>
      <c r="E77" s="73"/>
      <c r="F77" s="54" t="s">
        <v>2877</v>
      </c>
      <c r="G77" s="54" t="s">
        <v>2878</v>
      </c>
      <c r="H77" s="54">
        <v>4</v>
      </c>
      <c r="I77" s="54" t="s">
        <v>2879</v>
      </c>
      <c r="J77" s="73" t="s">
        <v>2868</v>
      </c>
      <c r="K77" s="54"/>
      <c r="L77" s="54"/>
      <c r="M77" s="54"/>
      <c r="N77" s="93"/>
      <c r="O77" s="101" t="s">
        <v>2880</v>
      </c>
    </row>
    <row r="78" spans="1:20">
      <c r="A78" s="49" t="str">
        <f t="shared" si="4"/>
        <v>|GU1||slv|休眠Slv|GU|2|PLC|C|スリヴァー|||2/2|防衛+CIP1D|</v>
      </c>
      <c r="B78" s="49" t="s">
        <v>1744</v>
      </c>
      <c r="C78" s="67" t="s">
        <v>2235</v>
      </c>
      <c r="D78" s="112"/>
      <c r="E78" s="68" t="s">
        <v>2103</v>
      </c>
      <c r="F78" s="51" t="s">
        <v>1127</v>
      </c>
      <c r="G78" s="51" t="s">
        <v>37</v>
      </c>
      <c r="H78" s="51">
        <v>2</v>
      </c>
      <c r="I78" s="51" t="s">
        <v>353</v>
      </c>
      <c r="J78" s="51" t="s">
        <v>923</v>
      </c>
      <c r="K78" s="51" t="s">
        <v>2087</v>
      </c>
      <c r="L78" s="51"/>
      <c r="M78" s="51"/>
      <c r="N78" s="92" t="s">
        <v>1475</v>
      </c>
      <c r="O78" s="107" t="s">
        <v>2361</v>
      </c>
      <c r="T78" s="49" t="s">
        <v>2751</v>
      </c>
    </row>
    <row r="79" spans="1:20">
      <c r="A79" s="49" t="str">
        <f t="shared" si="4"/>
        <v>|GU2|||投与+享受|2G+2U|3|DGM|S|||||生物+1C3/+1C分泥　融合|</v>
      </c>
      <c r="B79" s="49" t="s">
        <v>1744</v>
      </c>
      <c r="C79" s="70" t="s">
        <v>2063</v>
      </c>
      <c r="D79" s="113"/>
      <c r="E79" s="34"/>
      <c r="F79" s="55" t="s">
        <v>2362</v>
      </c>
      <c r="G79" s="34" t="s">
        <v>2363</v>
      </c>
      <c r="H79" s="55">
        <v>3</v>
      </c>
      <c r="I79" s="34" t="s">
        <v>1504</v>
      </c>
      <c r="J79" s="34" t="s">
        <v>1501</v>
      </c>
      <c r="K79" s="34"/>
      <c r="L79" s="34"/>
      <c r="M79" s="34"/>
      <c r="N79" s="97"/>
      <c r="O79" s="94" t="s">
        <v>2364</v>
      </c>
      <c r="T79" s="49" t="s">
        <v>2751</v>
      </c>
    </row>
    <row r="80" spans="1:20">
      <c r="A80" s="49" t="str">
        <f t="shared" si="4"/>
        <v>|GU3|||頑丈な雛|3G/U|4|EVE|C|エレメンタル|||6/6|_-1C×4　G/U:被覆　緑呪唱-1C除、青同様|</v>
      </c>
      <c r="B80" s="49" t="s">
        <v>1744</v>
      </c>
      <c r="C80" s="70" t="s">
        <v>2064</v>
      </c>
      <c r="D80" s="113"/>
      <c r="E80" s="34"/>
      <c r="F80" s="55" t="s">
        <v>2269</v>
      </c>
      <c r="G80" s="55" t="s">
        <v>1731</v>
      </c>
      <c r="H80" s="55">
        <v>4</v>
      </c>
      <c r="I80" s="55" t="s">
        <v>358</v>
      </c>
      <c r="J80" s="55" t="s">
        <v>923</v>
      </c>
      <c r="K80" s="55" t="s">
        <v>1930</v>
      </c>
      <c r="L80" s="55"/>
      <c r="M80" s="55"/>
      <c r="N80" s="85" t="s">
        <v>1485</v>
      </c>
      <c r="O80" s="94" t="s">
        <v>2365</v>
      </c>
      <c r="T80" s="49" t="s">
        <v>2751</v>
      </c>
    </row>
    <row r="81" spans="1:20" ht="14.25" thickBot="1">
      <c r="A81" s="49" t="str">
        <f t="shared" si="4"/>
        <v>|GU4|||空乗りのエルフ|XGU|2|BFZ|C|エルフ|戦士|同盟者|0/0|飛行　収斂+1C|</v>
      </c>
      <c r="B81" s="49" t="s">
        <v>1744</v>
      </c>
      <c r="C81" s="118" t="s">
        <v>2065</v>
      </c>
      <c r="D81" s="119"/>
      <c r="E81" s="120"/>
      <c r="F81" s="40" t="s">
        <v>2881</v>
      </c>
      <c r="G81" s="40" t="s">
        <v>2882</v>
      </c>
      <c r="H81" s="40">
        <v>2</v>
      </c>
      <c r="I81" s="40" t="s">
        <v>2883</v>
      </c>
      <c r="J81" s="40" t="s">
        <v>2865</v>
      </c>
      <c r="K81" s="40" t="s">
        <v>2861</v>
      </c>
      <c r="L81" s="40" t="s">
        <v>2884</v>
      </c>
      <c r="M81" s="40" t="s">
        <v>2885</v>
      </c>
      <c r="N81" s="116" t="s">
        <v>2886</v>
      </c>
      <c r="O81" s="122" t="s">
        <v>2887</v>
      </c>
    </row>
    <row r="82" spans="1:20">
      <c r="A82" s="49" t="str">
        <f t="shared" si="4"/>
        <v>|N01|||永遠溢れの杯|0|0|WWK|F|||||多重キッカー2　C分無マナ|</v>
      </c>
      <c r="B82" s="49" t="s">
        <v>1744</v>
      </c>
      <c r="C82" s="67" t="s">
        <v>2236</v>
      </c>
      <c r="D82" s="112"/>
      <c r="E82" s="68"/>
      <c r="F82" s="51" t="s">
        <v>2490</v>
      </c>
      <c r="G82" s="51">
        <v>0</v>
      </c>
      <c r="H82" s="51">
        <v>0</v>
      </c>
      <c r="I82" s="51" t="s">
        <v>362</v>
      </c>
      <c r="J82" s="68" t="s">
        <v>2237</v>
      </c>
      <c r="K82" s="51"/>
      <c r="L82" s="51"/>
      <c r="M82" s="51"/>
      <c r="N82" s="92"/>
      <c r="O82" s="52" t="s">
        <v>2491</v>
      </c>
      <c r="T82" s="49" t="s">
        <v>2751</v>
      </c>
    </row>
    <row r="83" spans="1:20">
      <c r="A83" s="49" t="str">
        <f t="shared" si="4"/>
        <v>|N02|||信号の邪魔者|1|1|MBS|FC|邪魔者|||0/1|喊声　到達飛行のみ防御可|</v>
      </c>
      <c r="B83" s="49" t="s">
        <v>1744</v>
      </c>
      <c r="C83" s="70" t="s">
        <v>2066</v>
      </c>
      <c r="D83" s="113"/>
      <c r="E83" s="34"/>
      <c r="F83" s="55" t="s">
        <v>2492</v>
      </c>
      <c r="G83" s="55">
        <v>1</v>
      </c>
      <c r="H83" s="55">
        <v>1</v>
      </c>
      <c r="I83" s="55" t="s">
        <v>365</v>
      </c>
      <c r="J83" s="55" t="s">
        <v>1518</v>
      </c>
      <c r="K83" s="55" t="s">
        <v>2493</v>
      </c>
      <c r="L83" s="55"/>
      <c r="M83" s="55"/>
      <c r="N83" s="85" t="s">
        <v>1415</v>
      </c>
      <c r="O83" s="57" t="s">
        <v>2494</v>
      </c>
      <c r="T83" s="49" t="s">
        <v>2751</v>
      </c>
    </row>
    <row r="84" spans="1:20">
      <c r="A84" s="49" t="str">
        <f t="shared" si="4"/>
        <v>|N03|||生体融合外骨格|4|4|SOM|F|装備品||||感染+2/+2　外れるとS　2：装備|</v>
      </c>
      <c r="B84" s="49" t="s">
        <v>1744</v>
      </c>
      <c r="C84" s="70" t="s">
        <v>2067</v>
      </c>
      <c r="D84" s="113"/>
      <c r="E84" s="34"/>
      <c r="F84" s="55" t="s">
        <v>1392</v>
      </c>
      <c r="G84" s="55">
        <v>4</v>
      </c>
      <c r="H84" s="55">
        <v>4</v>
      </c>
      <c r="I84" s="55" t="s">
        <v>364</v>
      </c>
      <c r="J84" s="34" t="s">
        <v>2237</v>
      </c>
      <c r="K84" s="34" t="s">
        <v>2366</v>
      </c>
      <c r="L84" s="55"/>
      <c r="M84" s="55"/>
      <c r="N84" s="85"/>
      <c r="O84" s="57" t="s">
        <v>2367</v>
      </c>
      <c r="T84" s="49" t="s">
        <v>2751</v>
      </c>
    </row>
    <row r="85" spans="1:20">
      <c r="A85" s="49" t="str">
        <f t="shared" si="4"/>
        <v>|N04|||マナ力の鎚鉾|4|4|CON|F|装備品||||版図+1/+1　3：装備|</v>
      </c>
      <c r="B85" s="49" t="s">
        <v>1744</v>
      </c>
      <c r="C85" s="70" t="s">
        <v>2068</v>
      </c>
      <c r="D85" s="113"/>
      <c r="E85" s="34"/>
      <c r="F85" s="55" t="s">
        <v>2368</v>
      </c>
      <c r="G85" s="55">
        <v>4</v>
      </c>
      <c r="H85" s="55">
        <v>4</v>
      </c>
      <c r="I85" s="55" t="s">
        <v>360</v>
      </c>
      <c r="J85" s="55" t="s">
        <v>2237</v>
      </c>
      <c r="K85" s="55" t="s">
        <v>2366</v>
      </c>
      <c r="L85" s="55"/>
      <c r="M85" s="55"/>
      <c r="N85" s="85"/>
      <c r="O85" s="57" t="s">
        <v>2369</v>
      </c>
      <c r="T85" s="49" t="s">
        <v>2751</v>
      </c>
    </row>
    <row r="86" spans="1:20" ht="14.25" thickBot="1">
      <c r="A86" s="49" t="str">
        <f t="shared" si="4"/>
        <v>|N05|||隕石|5|5|ORI|F|||||CIP2点　T:1マナ|</v>
      </c>
      <c r="B86" s="49" t="s">
        <v>1744</v>
      </c>
      <c r="C86" s="72" t="s">
        <v>2069</v>
      </c>
      <c r="D86" s="114"/>
      <c r="E86" s="73"/>
      <c r="F86" s="54" t="s">
        <v>206</v>
      </c>
      <c r="G86" s="54">
        <v>5</v>
      </c>
      <c r="H86" s="54">
        <v>5</v>
      </c>
      <c r="I86" s="54" t="s">
        <v>377</v>
      </c>
      <c r="J86" s="54" t="s">
        <v>2237</v>
      </c>
      <c r="K86" s="54"/>
      <c r="L86" s="54"/>
      <c r="M86" s="54"/>
      <c r="N86" s="93"/>
      <c r="O86" s="105" t="s">
        <v>2495</v>
      </c>
      <c r="T86" s="49" t="s">
        <v>2751</v>
      </c>
    </row>
    <row r="87" spans="1:20">
      <c r="A87" s="49" t="str">
        <f t="shared" si="4"/>
        <v>|L01|||アブザン土地||||L||||||</v>
      </c>
      <c r="B87" s="49" t="s">
        <v>1744</v>
      </c>
      <c r="C87" s="75" t="s">
        <v>2243</v>
      </c>
      <c r="D87" s="125"/>
      <c r="E87" s="66"/>
      <c r="F87" s="60" t="s">
        <v>2370</v>
      </c>
      <c r="G87" s="60"/>
      <c r="H87" s="60"/>
      <c r="I87" s="60"/>
      <c r="J87" s="60" t="s">
        <v>249</v>
      </c>
      <c r="K87" s="60"/>
      <c r="L87" s="60"/>
      <c r="M87" s="60"/>
      <c r="N87" s="87"/>
      <c r="O87" s="100"/>
      <c r="T87" s="49" t="s">
        <v>2751</v>
      </c>
    </row>
    <row r="88" spans="1:20">
      <c r="A88" s="49" t="str">
        <f t="shared" si="4"/>
        <v>|L02|||ジェスカイ土地||||L||||||</v>
      </c>
      <c r="B88" s="49" t="s">
        <v>1744</v>
      </c>
      <c r="C88" s="70" t="s">
        <v>2072</v>
      </c>
      <c r="D88" s="113"/>
      <c r="E88" s="34"/>
      <c r="F88" s="55" t="s">
        <v>2371</v>
      </c>
      <c r="G88" s="55"/>
      <c r="H88" s="55"/>
      <c r="I88" s="55"/>
      <c r="J88" s="55" t="s">
        <v>249</v>
      </c>
      <c r="K88" s="55"/>
      <c r="L88" s="55"/>
      <c r="M88" s="55"/>
      <c r="N88" s="85"/>
      <c r="O88" s="57"/>
      <c r="T88" s="49" t="s">
        <v>2751</v>
      </c>
    </row>
    <row r="89" spans="1:20">
      <c r="A89" s="49" t="str">
        <f t="shared" si="4"/>
        <v>|L03|||スゥルタイ土地||||L||||||</v>
      </c>
      <c r="B89" s="49" t="s">
        <v>1744</v>
      </c>
      <c r="C89" s="70" t="s">
        <v>2073</v>
      </c>
      <c r="D89" s="113"/>
      <c r="E89" s="34"/>
      <c r="F89" s="55" t="s">
        <v>2372</v>
      </c>
      <c r="G89" s="55"/>
      <c r="H89" s="55"/>
      <c r="I89" s="55"/>
      <c r="J89" s="55" t="s">
        <v>249</v>
      </c>
      <c r="K89" s="55"/>
      <c r="L89" s="55"/>
      <c r="M89" s="55"/>
      <c r="N89" s="85"/>
      <c r="O89" s="57"/>
      <c r="T89" s="49" t="s">
        <v>2751</v>
      </c>
    </row>
    <row r="90" spans="1:20">
      <c r="A90" s="49" t="str">
        <f t="shared" si="4"/>
        <v>|L04|||マルドゥ土地||||L||||||</v>
      </c>
      <c r="B90" s="49" t="s">
        <v>1744</v>
      </c>
      <c r="C90" s="70" t="s">
        <v>2074</v>
      </c>
      <c r="D90" s="113"/>
      <c r="E90" s="34"/>
      <c r="F90" s="34" t="s">
        <v>2373</v>
      </c>
      <c r="G90" s="55"/>
      <c r="H90" s="55"/>
      <c r="I90" s="55"/>
      <c r="J90" s="55" t="s">
        <v>249</v>
      </c>
      <c r="K90" s="55"/>
      <c r="L90" s="55"/>
      <c r="M90" s="55"/>
      <c r="N90" s="85"/>
      <c r="O90" s="57"/>
      <c r="T90" s="49" t="s">
        <v>2751</v>
      </c>
    </row>
    <row r="91" spans="1:20">
      <c r="A91" s="49" t="str">
        <f t="shared" si="4"/>
        <v>|L05|||ティムール土地||||L||||||</v>
      </c>
      <c r="B91" s="49" t="s">
        <v>1744</v>
      </c>
      <c r="C91" s="70" t="s">
        <v>2075</v>
      </c>
      <c r="D91" s="113"/>
      <c r="E91" s="34"/>
      <c r="F91" s="34" t="s">
        <v>2374</v>
      </c>
      <c r="G91" s="55"/>
      <c r="H91" s="55"/>
      <c r="I91" s="55"/>
      <c r="J91" s="55" t="s">
        <v>249</v>
      </c>
      <c r="K91" s="55"/>
      <c r="L91" s="55"/>
      <c r="M91" s="55"/>
      <c r="N91" s="85"/>
      <c r="O91" s="57"/>
      <c r="T91" s="49" t="s">
        <v>2751</v>
      </c>
    </row>
    <row r="92" spans="1:20">
      <c r="M92" s="58"/>
      <c r="N92" s="49"/>
      <c r="T92" s="49" t="s">
        <v>2751</v>
      </c>
    </row>
    <row r="93" spans="1:20">
      <c r="M93" s="58"/>
      <c r="N93" s="49"/>
      <c r="T93" s="49" t="s">
        <v>2751</v>
      </c>
    </row>
    <row r="94" spans="1:20" ht="13.5" customHeight="1">
      <c r="M94" s="58"/>
      <c r="N94" s="49"/>
      <c r="T94" s="49" t="s">
        <v>2751</v>
      </c>
    </row>
    <row r="95" spans="1:20" ht="13.5" customHeight="1">
      <c r="M95" s="58"/>
      <c r="N95" s="49"/>
      <c r="T95" s="49" t="s">
        <v>2751</v>
      </c>
    </row>
    <row r="96" spans="1:20" ht="13.5" customHeight="1">
      <c r="M96" s="58"/>
      <c r="N96" s="49"/>
      <c r="T96" s="49" t="s">
        <v>2751</v>
      </c>
    </row>
    <row r="97" spans="13:20" ht="13.5" customHeight="1">
      <c r="M97" s="58"/>
      <c r="N97" s="49"/>
      <c r="T97" s="49" t="s">
        <v>2751</v>
      </c>
    </row>
    <row r="98" spans="13:20" ht="13.5" customHeight="1">
      <c r="M98" s="58"/>
      <c r="N98" s="49"/>
    </row>
    <row r="99" spans="13:20" ht="13.5" customHeight="1">
      <c r="M99" s="58"/>
      <c r="N99" s="49"/>
    </row>
    <row r="100" spans="13:20" ht="13.5" customHeight="1">
      <c r="M100" s="58"/>
      <c r="N100" s="49"/>
    </row>
    <row r="101" spans="13:20" ht="13.5" customHeight="1">
      <c r="M101" s="58"/>
      <c r="N101" s="49"/>
    </row>
    <row r="102" spans="13:20" ht="13.5" customHeight="1">
      <c r="M102" s="58"/>
      <c r="N102" s="49"/>
    </row>
    <row r="103" spans="13:20" ht="13.5" customHeight="1">
      <c r="M103" s="58"/>
      <c r="N103" s="49"/>
    </row>
    <row r="104" spans="13:20" ht="13.5" customHeight="1">
      <c r="M104" s="58"/>
      <c r="N104" s="49"/>
    </row>
    <row r="105" spans="13:20" ht="13.5" customHeight="1">
      <c r="M105" s="58"/>
      <c r="N105" s="49"/>
    </row>
    <row r="106" spans="13:20" ht="13.5" customHeight="1">
      <c r="M106" s="58"/>
      <c r="N106" s="49"/>
    </row>
    <row r="107" spans="13:20" ht="13.5" customHeight="1">
      <c r="M107" s="58"/>
      <c r="N107" s="49"/>
    </row>
    <row r="108" spans="13:20" ht="13.5" customHeight="1">
      <c r="M108" s="58"/>
      <c r="N108" s="49"/>
    </row>
    <row r="109" spans="13:20">
      <c r="M109" s="58"/>
      <c r="N109" s="49"/>
    </row>
    <row r="110" spans="13:20">
      <c r="M110" s="58"/>
      <c r="N110" s="49"/>
    </row>
    <row r="111" spans="13:20">
      <c r="M111" s="58"/>
      <c r="N111" s="49"/>
    </row>
    <row r="112" spans="13:20">
      <c r="M112" s="58"/>
      <c r="N112" s="49"/>
    </row>
    <row r="113" spans="13:14">
      <c r="M113" s="58"/>
      <c r="N113" s="49"/>
    </row>
    <row r="114" spans="13:14">
      <c r="M114" s="58"/>
      <c r="N114" s="49"/>
    </row>
    <row r="115" spans="13:14">
      <c r="M115" s="58"/>
      <c r="N115" s="49"/>
    </row>
    <row r="116" spans="13:14">
      <c r="M116" s="58"/>
      <c r="N116" s="49"/>
    </row>
    <row r="117" spans="13:14">
      <c r="M117" s="58"/>
      <c r="N117" s="49"/>
    </row>
    <row r="118" spans="13:14">
      <c r="M118" s="58"/>
      <c r="N118" s="49"/>
    </row>
    <row r="119" spans="13:14">
      <c r="M119" s="58"/>
      <c r="N119" s="49"/>
    </row>
    <row r="120" spans="13:14">
      <c r="M120" s="58"/>
      <c r="N120" s="49"/>
    </row>
    <row r="121" spans="13:14">
      <c r="M121" s="58"/>
      <c r="N121" s="49"/>
    </row>
    <row r="122" spans="13:14">
      <c r="M122" s="58"/>
      <c r="N122" s="49"/>
    </row>
    <row r="123" spans="13:14">
      <c r="M123" s="58"/>
      <c r="N123" s="49"/>
    </row>
    <row r="124" spans="13:14">
      <c r="M124" s="58"/>
      <c r="N124" s="49"/>
    </row>
    <row r="125" spans="13:14">
      <c r="M125" s="58"/>
      <c r="N125" s="49"/>
    </row>
    <row r="126" spans="13:14">
      <c r="M126" s="58"/>
      <c r="N126" s="49"/>
    </row>
    <row r="127" spans="13:14">
      <c r="M127" s="58"/>
      <c r="N127" s="49"/>
    </row>
    <row r="128" spans="13:14">
      <c r="M128" s="58"/>
      <c r="N128" s="49"/>
    </row>
    <row r="129" spans="13:14">
      <c r="M129" s="58"/>
      <c r="N129" s="49"/>
    </row>
    <row r="130" spans="13:14">
      <c r="M130" s="58"/>
      <c r="N130" s="49"/>
    </row>
    <row r="131" spans="13:14">
      <c r="M131" s="58"/>
      <c r="N131" s="49"/>
    </row>
    <row r="132" spans="13:14">
      <c r="M132" s="58"/>
      <c r="N132" s="49"/>
    </row>
    <row r="133" spans="13:14">
      <c r="M133" s="58"/>
      <c r="N133" s="49"/>
    </row>
    <row r="134" spans="13:14">
      <c r="M134" s="58"/>
      <c r="N134" s="49"/>
    </row>
    <row r="135" spans="13:14">
      <c r="M135" s="58"/>
      <c r="N135" s="49"/>
    </row>
    <row r="136" spans="13:14">
      <c r="M136" s="58"/>
      <c r="N136" s="49"/>
    </row>
    <row r="137" spans="13:14">
      <c r="M137" s="58"/>
      <c r="N137" s="49"/>
    </row>
    <row r="138" spans="13:14">
      <c r="M138" s="58"/>
      <c r="N138" s="49"/>
    </row>
    <row r="139" spans="13:14">
      <c r="M139" s="58"/>
      <c r="N139" s="49"/>
    </row>
    <row r="140" spans="13:14">
      <c r="M140" s="58"/>
      <c r="N140" s="49"/>
    </row>
    <row r="141" spans="13:14">
      <c r="M141" s="58"/>
      <c r="N141" s="49"/>
    </row>
    <row r="142" spans="13:14">
      <c r="M142" s="58"/>
      <c r="N142" s="49"/>
    </row>
    <row r="143" spans="13:14">
      <c r="M143" s="58"/>
      <c r="N143" s="49"/>
    </row>
    <row r="144" spans="13:14">
      <c r="M144" s="58"/>
      <c r="N144" s="49"/>
    </row>
    <row r="145" spans="13:14">
      <c r="M145" s="58"/>
      <c r="N145" s="49"/>
    </row>
    <row r="146" spans="13:14">
      <c r="M146" s="58"/>
      <c r="N146" s="49"/>
    </row>
    <row r="147" spans="13:14">
      <c r="M147" s="58"/>
      <c r="N147" s="49"/>
    </row>
    <row r="148" spans="13:14">
      <c r="M148" s="58"/>
      <c r="N148" s="49"/>
    </row>
    <row r="149" spans="13:14">
      <c r="M149" s="58"/>
      <c r="N149" s="49"/>
    </row>
  </sheetData>
  <phoneticPr fontId="1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U93"/>
  <sheetViews>
    <sheetView workbookViewId="0">
      <pane ySplit="1" topLeftCell="A2" activePane="bottomLeft" state="frozen"/>
      <selection pane="bottomLeft" activeCell="F19" sqref="F19"/>
    </sheetView>
  </sheetViews>
  <sheetFormatPr defaultRowHeight="13.5"/>
  <cols>
    <col min="1" max="1" width="9" style="49"/>
    <col min="2" max="2" width="2" style="49" bestFit="1" customWidth="1"/>
    <col min="3" max="3" width="5.125" style="49" bestFit="1" customWidth="1"/>
    <col min="4" max="5" width="5.125" style="49" customWidth="1"/>
    <col min="6" max="6" width="9" style="49"/>
    <col min="7" max="7" width="5" style="49" customWidth="1"/>
    <col min="8" max="8" width="3.875" style="49" customWidth="1"/>
    <col min="9" max="9" width="5.125" style="49" bestFit="1" customWidth="1"/>
    <col min="10" max="10" width="2.75" style="49" bestFit="1" customWidth="1"/>
    <col min="11" max="11" width="6" style="49" customWidth="1"/>
    <col min="12" max="13" width="6.375" style="49" customWidth="1"/>
    <col min="14" max="14" width="4.875" style="58" bestFit="1" customWidth="1"/>
    <col min="15" max="15" width="9.625" style="49" bestFit="1" customWidth="1"/>
    <col min="16" max="16" width="4" style="49" bestFit="1" customWidth="1"/>
    <col min="17" max="18" width="4.5" style="49" bestFit="1" customWidth="1"/>
    <col min="19" max="19" width="2.75" style="49" bestFit="1" customWidth="1"/>
    <col min="20" max="20" width="3.5" style="49" bestFit="1" customWidth="1"/>
    <col min="21" max="16384" width="9" style="49"/>
  </cols>
  <sheetData>
    <row r="1" spans="1:21" ht="14.25" thickBot="1">
      <c r="A1" s="49" t="str">
        <f>B1&amp;C1&amp;B1&amp;E1&amp;B1&amp;F1&amp;B1&amp;G1&amp;B1&amp;H1&amp;B1&amp;I1&amp;B1&amp;J1&amp;B1&amp;K1&amp;B1&amp;L1&amp;B1&amp;M1&amp;B1&amp;N1&amp;B1&amp;O1&amp;B1</f>
        <v>||枠|Name|MC|CMC|Exp|Ty|CT1|CT2|CT3|PT|abrity|</v>
      </c>
      <c r="B1" s="49" t="s">
        <v>1744</v>
      </c>
      <c r="C1" s="88"/>
      <c r="D1" s="108"/>
      <c r="E1" s="89" t="s">
        <v>2104</v>
      </c>
      <c r="F1" s="89" t="s">
        <v>2100</v>
      </c>
      <c r="G1" s="89" t="s">
        <v>2099</v>
      </c>
      <c r="H1" s="89" t="s">
        <v>2092</v>
      </c>
      <c r="I1" s="89" t="s">
        <v>2098</v>
      </c>
      <c r="J1" s="89" t="s">
        <v>2094</v>
      </c>
      <c r="K1" s="89" t="s">
        <v>2095</v>
      </c>
      <c r="L1" s="89" t="s">
        <v>2096</v>
      </c>
      <c r="M1" s="89" t="s">
        <v>2097</v>
      </c>
      <c r="N1" s="90" t="s">
        <v>2101</v>
      </c>
      <c r="O1" s="91" t="s">
        <v>2102</v>
      </c>
    </row>
    <row r="2" spans="1:21">
      <c r="A2" s="49" t="str">
        <f t="shared" ref="A2:A65" si="0">B2&amp;C2&amp;B2&amp;E2&amp;B2&amp;F2&amp;B2&amp;G2&amp;B2&amp;H2&amp;B2&amp;I2&amp;B2&amp;J2&amp;B2&amp;K2&amp;B2&amp;L2&amp;B2&amp;M2&amp;B2&amp;N2&amp;B2&amp;O2&amp;B2</f>
        <v>|W01|WB|天使の嗜み|W|1|MMA|I|||||刹那　現ターン不敗|</v>
      </c>
      <c r="B2" s="49" t="s">
        <v>1744</v>
      </c>
      <c r="C2" s="50" t="s">
        <v>2131</v>
      </c>
      <c r="D2" s="109"/>
      <c r="E2" s="51" t="s">
        <v>33</v>
      </c>
      <c r="F2" s="68" t="s">
        <v>2656</v>
      </c>
      <c r="G2" s="68" t="s">
        <v>2657</v>
      </c>
      <c r="H2" s="51">
        <v>1</v>
      </c>
      <c r="I2" s="68" t="s">
        <v>2658</v>
      </c>
      <c r="J2" s="68" t="s">
        <v>2642</v>
      </c>
      <c r="K2" s="51"/>
      <c r="L2" s="51"/>
      <c r="M2" s="51"/>
      <c r="N2" s="92"/>
      <c r="O2" s="95" t="s">
        <v>2659</v>
      </c>
      <c r="P2" s="62" t="s">
        <v>6</v>
      </c>
      <c r="Q2" s="19">
        <f>COUNTIF(J:J,P2)+COUNTIF(J:J,"FC")+アンコモン!Q17+COUNTIF(J:J,"EC")</f>
        <v>169</v>
      </c>
      <c r="R2" s="65">
        <f t="shared" ref="R2:R8" si="1">Q2/(90+148+70+20)</f>
        <v>0.5152439024390244</v>
      </c>
      <c r="S2" s="49" t="s">
        <v>6</v>
      </c>
      <c r="T2" s="49">
        <f>COUNTIF(J2:J10,S2)</f>
        <v>5</v>
      </c>
      <c r="U2" s="154">
        <f>COUNTIF(J:J,P2)+COUNTIF(N:N,"FC")+COUNTIF(N:N,"EC")</f>
        <v>43</v>
      </c>
    </row>
    <row r="3" spans="1:21">
      <c r="A3" s="49" t="str">
        <f t="shared" si="0"/>
        <v>|W02|RW|金之尾師範|1W|2|CHK|C|狐|侍||2/1|伝説　T:add武士道1　武1|</v>
      </c>
      <c r="B3" s="49" t="s">
        <v>1744</v>
      </c>
      <c r="C3" s="56" t="s">
        <v>1956</v>
      </c>
      <c r="D3" s="110"/>
      <c r="E3" s="34" t="s">
        <v>36</v>
      </c>
      <c r="F3" s="55" t="s">
        <v>253</v>
      </c>
      <c r="G3" s="55" t="s">
        <v>977</v>
      </c>
      <c r="H3" s="55">
        <v>2</v>
      </c>
      <c r="I3" s="55" t="s">
        <v>347</v>
      </c>
      <c r="J3" s="34" t="s">
        <v>923</v>
      </c>
      <c r="K3" s="55" t="s">
        <v>2138</v>
      </c>
      <c r="L3" s="55" t="s">
        <v>2132</v>
      </c>
      <c r="M3" s="55"/>
      <c r="N3" s="55" t="s">
        <v>1474</v>
      </c>
      <c r="O3" s="94" t="s">
        <v>2375</v>
      </c>
      <c r="P3" s="19" t="s">
        <v>1263</v>
      </c>
      <c r="Q3" s="19">
        <f>COUNTIF(J:J,P3)+アンコモン!Q18</f>
        <v>50</v>
      </c>
      <c r="R3" s="65">
        <f t="shared" si="1"/>
        <v>0.1524390243902439</v>
      </c>
      <c r="S3" s="49" t="s">
        <v>1263</v>
      </c>
      <c r="T3" s="49">
        <f>COUNTIF(J2:J10,S3)</f>
        <v>1</v>
      </c>
      <c r="U3" s="154">
        <f>COUNTIF(J:J,"FC")+COUNTIF(J:J,"EC")</f>
        <v>2</v>
      </c>
    </row>
    <row r="4" spans="1:21">
      <c r="A4" s="49" t="str">
        <f t="shared" si="0"/>
        <v>|W03|WB|族樹の精霊､ｱﾅﾌｪﾝｻﾞ|WW|2|DTK|C|スピリット|兵士||2/2|伝説　他生物CIP鼓舞|</v>
      </c>
      <c r="B4" s="49" t="s">
        <v>1744</v>
      </c>
      <c r="C4" s="56" t="s">
        <v>1957</v>
      </c>
      <c r="D4" s="110"/>
      <c r="E4" s="55" t="s">
        <v>33</v>
      </c>
      <c r="F4" s="34" t="s">
        <v>2587</v>
      </c>
      <c r="G4" s="34" t="s">
        <v>2588</v>
      </c>
      <c r="H4" s="55">
        <v>2</v>
      </c>
      <c r="I4" s="34" t="s">
        <v>2589</v>
      </c>
      <c r="J4" s="34" t="s">
        <v>2541</v>
      </c>
      <c r="K4" s="34" t="s">
        <v>2590</v>
      </c>
      <c r="L4" s="34" t="s">
        <v>2591</v>
      </c>
      <c r="M4" s="55"/>
      <c r="N4" s="85" t="s">
        <v>2592</v>
      </c>
      <c r="O4" s="71" t="s">
        <v>2593</v>
      </c>
      <c r="P4" s="19" t="s">
        <v>758</v>
      </c>
      <c r="Q4" s="19">
        <f>COUNTIF(J:J,P4)+アンコモン!Q19</f>
        <v>45</v>
      </c>
      <c r="R4" s="65">
        <f t="shared" si="1"/>
        <v>0.13719512195121952</v>
      </c>
      <c r="S4" s="49" t="s">
        <v>758</v>
      </c>
      <c r="T4" s="49">
        <f>COUNTIF(J2:J10,S4)</f>
        <v>1</v>
      </c>
      <c r="U4" s="153">
        <f>COUNTIF(N:N,"FC")+COUNTIF(N:N,"EC")</f>
        <v>0</v>
      </c>
    </row>
    <row r="5" spans="1:21">
      <c r="A5" s="49" t="str">
        <f t="shared" si="0"/>
        <v>|W04|UR|雄鹿の蹄の跡|1W|2|LRW|E|||||泥誘C　2W4C除:4/4El|</v>
      </c>
      <c r="B5" s="49" t="s">
        <v>1744</v>
      </c>
      <c r="C5" s="56" t="s">
        <v>1958</v>
      </c>
      <c r="D5" s="110"/>
      <c r="E5" s="34" t="s">
        <v>34</v>
      </c>
      <c r="F5" s="55" t="s">
        <v>2271</v>
      </c>
      <c r="G5" s="34" t="s">
        <v>977</v>
      </c>
      <c r="H5" s="55">
        <v>2</v>
      </c>
      <c r="I5" s="34" t="s">
        <v>355</v>
      </c>
      <c r="J5" s="34" t="s">
        <v>1493</v>
      </c>
      <c r="K5" s="55"/>
      <c r="L5" s="55"/>
      <c r="M5" s="55"/>
      <c r="N5" s="85"/>
      <c r="O5" s="57" t="s">
        <v>2377</v>
      </c>
      <c r="P5" s="19" t="s">
        <v>1265</v>
      </c>
      <c r="Q5" s="19">
        <f>COUNTIF(J:J,P5)+アンコモン!Q20</f>
        <v>24</v>
      </c>
      <c r="R5" s="65">
        <f t="shared" si="1"/>
        <v>7.3170731707317069E-2</v>
      </c>
      <c r="S5" s="49" t="s">
        <v>1265</v>
      </c>
      <c r="T5" s="49">
        <f>COUNTIF(J2:J10,S5)</f>
        <v>2</v>
      </c>
    </row>
    <row r="6" spans="1:21">
      <c r="A6" s="49" t="str">
        <f t="shared" si="0"/>
        <v>|W05|他|ヘリオッドの槍|1WW|3|THS|E|||||自軍+1/+1　1WWT:打与生物破壊|</v>
      </c>
      <c r="B6" s="49" t="s">
        <v>1744</v>
      </c>
      <c r="C6" s="56" t="s">
        <v>1959</v>
      </c>
      <c r="D6" s="110"/>
      <c r="E6" s="34" t="s">
        <v>2143</v>
      </c>
      <c r="F6" s="34" t="s">
        <v>2660</v>
      </c>
      <c r="G6" s="34" t="s">
        <v>2661</v>
      </c>
      <c r="H6" s="34">
        <v>3</v>
      </c>
      <c r="I6" s="34" t="s">
        <v>2637</v>
      </c>
      <c r="J6" s="34" t="s">
        <v>2662</v>
      </c>
      <c r="K6" s="55"/>
      <c r="L6" s="55"/>
      <c r="M6" s="55"/>
      <c r="N6" s="55"/>
      <c r="O6" s="94" t="s">
        <v>2663</v>
      </c>
      <c r="P6" s="19" t="s">
        <v>761</v>
      </c>
      <c r="Q6" s="19">
        <f>COUNTIF(J:J,P6)+アンコモン!Q21</f>
        <v>14</v>
      </c>
      <c r="R6" s="65">
        <f t="shared" si="1"/>
        <v>4.2682926829268296E-2</v>
      </c>
    </row>
    <row r="7" spans="1:21">
      <c r="A7" s="49" t="str">
        <f t="shared" si="0"/>
        <v>|W06|他|修復の天使|3W|4|AVR|C|天使|||3/4|飛行　CIP非天使明滅|</v>
      </c>
      <c r="B7" s="49" t="s">
        <v>1744</v>
      </c>
      <c r="C7" s="56" t="s">
        <v>1960</v>
      </c>
      <c r="D7" s="110"/>
      <c r="E7" s="34" t="s">
        <v>2143</v>
      </c>
      <c r="F7" s="34" t="s">
        <v>2601</v>
      </c>
      <c r="G7" s="34" t="s">
        <v>2602</v>
      </c>
      <c r="H7" s="34">
        <v>4</v>
      </c>
      <c r="I7" s="34" t="s">
        <v>2603</v>
      </c>
      <c r="J7" s="34" t="s">
        <v>2542</v>
      </c>
      <c r="K7" s="34" t="s">
        <v>2604</v>
      </c>
      <c r="L7" s="55"/>
      <c r="M7" s="55"/>
      <c r="N7" s="85" t="s">
        <v>2605</v>
      </c>
      <c r="O7" s="106" t="s">
        <v>2606</v>
      </c>
      <c r="P7" s="19" t="s">
        <v>9</v>
      </c>
      <c r="Q7" s="19">
        <f>COUNTIF(J:J,P7)+アンコモン!Q22</f>
        <v>19</v>
      </c>
      <c r="R7" s="65">
        <f t="shared" si="1"/>
        <v>5.7926829268292686E-2</v>
      </c>
    </row>
    <row r="8" spans="1:21">
      <c r="A8" s="49" t="str">
        <f t="shared" si="0"/>
        <v>|W07|除去|神の怒り|2WW|4|9ED|S|||||ラスゴ|</v>
      </c>
      <c r="B8" s="49" t="s">
        <v>1744</v>
      </c>
      <c r="C8" s="56" t="s">
        <v>1961</v>
      </c>
      <c r="D8" s="110"/>
      <c r="E8" s="34" t="s">
        <v>2135</v>
      </c>
      <c r="F8" s="34" t="s">
        <v>2378</v>
      </c>
      <c r="G8" s="34" t="s">
        <v>2379</v>
      </c>
      <c r="H8" s="34">
        <v>4</v>
      </c>
      <c r="I8" s="34" t="s">
        <v>351</v>
      </c>
      <c r="J8" s="34" t="s">
        <v>1501</v>
      </c>
      <c r="K8" s="55"/>
      <c r="L8" s="55"/>
      <c r="M8" s="55"/>
      <c r="N8" s="85"/>
      <c r="O8" s="98" t="s">
        <v>2380</v>
      </c>
      <c r="P8" s="18" t="s">
        <v>2569</v>
      </c>
      <c r="Q8" s="19">
        <f>COUNTIF(J:J,P8)</f>
        <v>6</v>
      </c>
      <c r="R8" s="65">
        <f t="shared" si="1"/>
        <v>1.8292682926829267E-2</v>
      </c>
      <c r="S8" s="49" t="s">
        <v>2092</v>
      </c>
    </row>
    <row r="9" spans="1:21">
      <c r="A9" s="49" t="str">
        <f t="shared" si="0"/>
        <v>|W08|slv|肺臓Slv|3WW|5|TSP|C|スリヴァー|||3/3|飛行+死誘デッキトップ|</v>
      </c>
      <c r="B9" s="49" t="s">
        <v>1744</v>
      </c>
      <c r="C9" s="56" t="s">
        <v>1962</v>
      </c>
      <c r="D9" s="110"/>
      <c r="E9" s="55" t="s">
        <v>2103</v>
      </c>
      <c r="F9" s="55" t="s">
        <v>1068</v>
      </c>
      <c r="G9" s="55" t="s">
        <v>983</v>
      </c>
      <c r="H9" s="34">
        <v>5</v>
      </c>
      <c r="I9" s="55" t="s">
        <v>352</v>
      </c>
      <c r="J9" s="55" t="s">
        <v>923</v>
      </c>
      <c r="K9" s="55" t="s">
        <v>2087</v>
      </c>
      <c r="L9" s="55"/>
      <c r="M9" s="55"/>
      <c r="N9" s="85" t="s">
        <v>1479</v>
      </c>
      <c r="O9" s="57" t="s">
        <v>2381</v>
      </c>
      <c r="P9" s="61"/>
      <c r="Q9" s="61">
        <f>SUM(Q2:Q8)</f>
        <v>327</v>
      </c>
      <c r="R9" s="61"/>
      <c r="S9" s="49">
        <v>1</v>
      </c>
      <c r="T9" s="49">
        <f t="shared" ref="T9:T14" si="2">COUNTIF(H:H,S9)</f>
        <v>5</v>
      </c>
    </row>
    <row r="10" spans="1:21" ht="14.25" thickBot="1">
      <c r="A10" s="49" t="str">
        <f t="shared" si="0"/>
        <v>|W09|RW|侍の御大将、武野|5W|6|CHK|C|人間|侍||3/3|伝説　自軍侍、武分+X/+X　武2|</v>
      </c>
      <c r="B10" s="49" t="s">
        <v>1744</v>
      </c>
      <c r="C10" s="53" t="s">
        <v>1963</v>
      </c>
      <c r="D10" s="111"/>
      <c r="E10" s="73" t="s">
        <v>36</v>
      </c>
      <c r="F10" s="54" t="s">
        <v>3174</v>
      </c>
      <c r="G10" s="54" t="s">
        <v>1185</v>
      </c>
      <c r="H10" s="54">
        <v>6</v>
      </c>
      <c r="I10" s="54" t="s">
        <v>347</v>
      </c>
      <c r="J10" s="73" t="s">
        <v>923</v>
      </c>
      <c r="K10" s="54" t="s">
        <v>1410</v>
      </c>
      <c r="L10" s="54" t="s">
        <v>2132</v>
      </c>
      <c r="M10" s="54"/>
      <c r="N10" s="54" t="s">
        <v>1479</v>
      </c>
      <c r="O10" s="96" t="s">
        <v>2376</v>
      </c>
      <c r="S10" s="49">
        <v>2</v>
      </c>
      <c r="T10" s="49">
        <f t="shared" si="2"/>
        <v>11</v>
      </c>
    </row>
    <row r="11" spans="1:21">
      <c r="A11" s="49" t="str">
        <f t="shared" si="0"/>
        <v>|U01|他|惑乱のセイレーン|U|1|JOU|EC|セイレーン|||1/1|飛行　5UU:授与　支配魔法|</v>
      </c>
      <c r="B11" s="49" t="s">
        <v>1744</v>
      </c>
      <c r="C11" s="50" t="s">
        <v>2151</v>
      </c>
      <c r="D11" s="109"/>
      <c r="E11" s="68" t="s">
        <v>2143</v>
      </c>
      <c r="F11" s="68" t="s">
        <v>2530</v>
      </c>
      <c r="G11" s="68" t="s">
        <v>2531</v>
      </c>
      <c r="H11" s="51">
        <v>1</v>
      </c>
      <c r="I11" s="68" t="s">
        <v>2532</v>
      </c>
      <c r="J11" s="68" t="s">
        <v>2533</v>
      </c>
      <c r="K11" s="68" t="s">
        <v>2534</v>
      </c>
      <c r="L11" s="51"/>
      <c r="M11" s="51"/>
      <c r="N11" s="92" t="s">
        <v>2535</v>
      </c>
      <c r="O11" s="69" t="s">
        <v>2536</v>
      </c>
      <c r="P11" s="62" t="s">
        <v>6</v>
      </c>
      <c r="Q11" s="62">
        <f>COUNTIF(J11:J19,P11)</f>
        <v>4</v>
      </c>
      <c r="S11" s="49">
        <v>3</v>
      </c>
      <c r="T11" s="49">
        <f t="shared" si="2"/>
        <v>12</v>
      </c>
    </row>
    <row r="12" spans="1:21">
      <c r="A12" s="49" t="str">
        <f t="shared" si="0"/>
        <v>|U02|UR|潮流の先駆け|UU|2|ORI|C|マーフォーク|||2/2|追加2:瞬速　寝生物バウンス|</v>
      </c>
      <c r="B12" s="49" t="s">
        <v>1744</v>
      </c>
      <c r="C12" s="56" t="s">
        <v>1975</v>
      </c>
      <c r="D12" s="110"/>
      <c r="E12" s="55" t="s">
        <v>34</v>
      </c>
      <c r="F12" s="34" t="s">
        <v>2668</v>
      </c>
      <c r="G12" s="34" t="s">
        <v>2669</v>
      </c>
      <c r="H12" s="55">
        <v>2</v>
      </c>
      <c r="I12" s="34" t="s">
        <v>2670</v>
      </c>
      <c r="J12" s="55" t="s">
        <v>2541</v>
      </c>
      <c r="K12" s="34" t="s">
        <v>2671</v>
      </c>
      <c r="L12" s="55"/>
      <c r="M12" s="55"/>
      <c r="N12" s="85" t="s">
        <v>2672</v>
      </c>
      <c r="O12" s="104" t="s">
        <v>2673</v>
      </c>
      <c r="P12" s="49" t="s">
        <v>1263</v>
      </c>
      <c r="Q12" s="19">
        <f>COUNTIF(J11:J19,P12)</f>
        <v>2</v>
      </c>
      <c r="S12" s="49">
        <v>4</v>
      </c>
      <c r="T12" s="49">
        <f t="shared" si="2"/>
        <v>18</v>
      </c>
    </row>
    <row r="13" spans="1:21">
      <c r="A13" s="49" t="str">
        <f t="shared" si="0"/>
        <v>|U03|除去|変位の波|XUU|2|ORI|S|||||CMCX以下非土地Paバウンス|</v>
      </c>
      <c r="B13" s="49" t="s">
        <v>1744</v>
      </c>
      <c r="C13" s="56" t="s">
        <v>1976</v>
      </c>
      <c r="D13" s="110"/>
      <c r="E13" s="34" t="s">
        <v>2135</v>
      </c>
      <c r="F13" s="55" t="s">
        <v>2644</v>
      </c>
      <c r="G13" s="34" t="s">
        <v>2645</v>
      </c>
      <c r="H13" s="34">
        <v>2</v>
      </c>
      <c r="I13" s="34" t="s">
        <v>2646</v>
      </c>
      <c r="J13" s="34" t="s">
        <v>2643</v>
      </c>
      <c r="K13" s="55"/>
      <c r="L13" s="55"/>
      <c r="M13" s="55"/>
      <c r="N13" s="85"/>
      <c r="O13" s="57" t="s">
        <v>2647</v>
      </c>
      <c r="P13" s="49" t="s">
        <v>758</v>
      </c>
      <c r="Q13" s="19">
        <f>COUNTIF(J11:J19,P13)</f>
        <v>2</v>
      </c>
      <c r="S13" s="49">
        <v>5</v>
      </c>
      <c r="T13" s="49">
        <f t="shared" si="2"/>
        <v>18</v>
      </c>
    </row>
    <row r="14" spans="1:21">
      <c r="A14" s="49" t="str">
        <f t="shared" si="0"/>
        <v>|U04|UR|風への散乱|1UU|3|BFZ|I|||||打消　4UU:覚醒3|</v>
      </c>
      <c r="B14" s="49" t="s">
        <v>1744</v>
      </c>
      <c r="C14" s="56" t="s">
        <v>1977</v>
      </c>
      <c r="D14" s="110"/>
      <c r="E14" s="55" t="s">
        <v>34</v>
      </c>
      <c r="F14" s="34" t="s">
        <v>2584</v>
      </c>
      <c r="G14" s="34" t="s">
        <v>2579</v>
      </c>
      <c r="H14" s="34">
        <v>3</v>
      </c>
      <c r="I14" s="34" t="s">
        <v>2585</v>
      </c>
      <c r="J14" s="34" t="s">
        <v>2568</v>
      </c>
      <c r="K14" s="55"/>
      <c r="L14" s="55"/>
      <c r="M14" s="55"/>
      <c r="N14" s="85"/>
      <c r="O14" s="71" t="s">
        <v>2586</v>
      </c>
      <c r="P14" s="49" t="s">
        <v>1265</v>
      </c>
      <c r="Q14" s="19">
        <f>COUNTIF(J11:J19,P14)</f>
        <v>0</v>
      </c>
      <c r="S14" s="49">
        <v>6</v>
      </c>
      <c r="T14" s="49">
        <f t="shared" si="2"/>
        <v>12</v>
      </c>
    </row>
    <row r="15" spans="1:21">
      <c r="A15" s="49" t="str">
        <f t="shared" si="0"/>
        <v>|U05|GU|大笑いの写し身|1UU|3|ISD|I|||||自生物複製　5UU:FB|</v>
      </c>
      <c r="B15" s="49" t="s">
        <v>1744</v>
      </c>
      <c r="C15" s="56" t="s">
        <v>1978</v>
      </c>
      <c r="D15" s="110"/>
      <c r="E15" s="34" t="s">
        <v>37</v>
      </c>
      <c r="F15" s="34" t="s">
        <v>2597</v>
      </c>
      <c r="G15" s="34" t="s">
        <v>2579</v>
      </c>
      <c r="H15" s="34">
        <v>3</v>
      </c>
      <c r="I15" s="34" t="s">
        <v>2598</v>
      </c>
      <c r="J15" s="34" t="s">
        <v>2568</v>
      </c>
      <c r="K15" s="55"/>
      <c r="L15" s="55"/>
      <c r="M15" s="55"/>
      <c r="N15" s="85"/>
      <c r="O15" s="71" t="s">
        <v>2599</v>
      </c>
      <c r="S15" s="63" t="s">
        <v>2252</v>
      </c>
      <c r="T15" s="49">
        <f>COUNTIF(H:H,"&gt;6")</f>
        <v>5</v>
      </c>
    </row>
    <row r="16" spans="1:21">
      <c r="A16" s="49" t="str">
        <f t="shared" si="0"/>
        <v>|U06|GU|複製の儀式|2UU|4|ZEN|S|||||生物複製　キッカー5:5複製　|</v>
      </c>
      <c r="B16" s="49" t="s">
        <v>1744</v>
      </c>
      <c r="C16" s="56" t="s">
        <v>1979</v>
      </c>
      <c r="D16" s="110"/>
      <c r="E16" s="34" t="s">
        <v>37</v>
      </c>
      <c r="F16" s="34" t="s">
        <v>2664</v>
      </c>
      <c r="G16" s="34" t="s">
        <v>2665</v>
      </c>
      <c r="H16" s="34">
        <v>4</v>
      </c>
      <c r="I16" s="34" t="s">
        <v>2666</v>
      </c>
      <c r="J16" s="34" t="s">
        <v>2643</v>
      </c>
      <c r="K16" s="55"/>
      <c r="L16" s="55"/>
      <c r="M16" s="55"/>
      <c r="N16" s="85"/>
      <c r="O16" s="71" t="s">
        <v>2667</v>
      </c>
    </row>
    <row r="17" spans="1:20">
      <c r="A17" s="49" t="str">
        <f t="shared" si="0"/>
        <v>|U07|他|永劫の年代史家|3UU|5|PLC|C|アバター|||*/*|X3U:待機X　待機C除1泥　*=自手札|</v>
      </c>
      <c r="B17" s="49" t="s">
        <v>1744</v>
      </c>
      <c r="C17" s="56" t="s">
        <v>1980</v>
      </c>
      <c r="D17" s="110"/>
      <c r="E17" s="34" t="s">
        <v>2143</v>
      </c>
      <c r="F17" s="55" t="s">
        <v>2496</v>
      </c>
      <c r="G17" s="55" t="s">
        <v>2182</v>
      </c>
      <c r="H17" s="55">
        <v>5</v>
      </c>
      <c r="I17" s="55" t="s">
        <v>353</v>
      </c>
      <c r="J17" s="55" t="s">
        <v>923</v>
      </c>
      <c r="K17" s="55" t="s">
        <v>2497</v>
      </c>
      <c r="L17" s="55"/>
      <c r="M17" s="55"/>
      <c r="N17" s="85" t="s">
        <v>1469</v>
      </c>
      <c r="O17" s="57" t="s">
        <v>2498</v>
      </c>
    </row>
    <row r="18" spans="1:20">
      <c r="A18" s="49" t="str">
        <f t="shared" si="0"/>
        <v>|U08|slv|心霊Slv|4U|5|TSP|C|スリヴァー|||2/2|2点、自3点|</v>
      </c>
      <c r="B18" s="49" t="s">
        <v>1744</v>
      </c>
      <c r="C18" s="56" t="s">
        <v>1981</v>
      </c>
      <c r="D18" s="110"/>
      <c r="E18" s="55" t="s">
        <v>2103</v>
      </c>
      <c r="F18" s="55" t="s">
        <v>1079</v>
      </c>
      <c r="G18" s="55" t="s">
        <v>1002</v>
      </c>
      <c r="H18" s="55">
        <v>5</v>
      </c>
      <c r="I18" s="55" t="s">
        <v>352</v>
      </c>
      <c r="J18" s="55" t="s">
        <v>923</v>
      </c>
      <c r="K18" s="55" t="s">
        <v>2087</v>
      </c>
      <c r="L18" s="55"/>
      <c r="M18" s="55"/>
      <c r="N18" s="85" t="s">
        <v>1475</v>
      </c>
      <c r="O18" s="104" t="s">
        <v>2382</v>
      </c>
      <c r="S18" s="49" t="s">
        <v>2261</v>
      </c>
    </row>
    <row r="19" spans="1:20" ht="14.25" thickBot="1">
      <c r="A19" s="49" t="str">
        <f t="shared" si="0"/>
        <v>|U09|BG|ケデレクトのリバイアサン|6UU|8|ALA|C|リヴァイアサン|||5/5|CIP非土地バウンス　6U:蘇生|</v>
      </c>
      <c r="B19" s="49" t="s">
        <v>1744</v>
      </c>
      <c r="C19" s="53" t="s">
        <v>1982</v>
      </c>
      <c r="D19" s="111"/>
      <c r="E19" s="73" t="s">
        <v>35</v>
      </c>
      <c r="F19" s="73" t="s">
        <v>2674</v>
      </c>
      <c r="G19" s="73" t="s">
        <v>2675</v>
      </c>
      <c r="H19" s="73">
        <v>8</v>
      </c>
      <c r="I19" s="73" t="s">
        <v>2676</v>
      </c>
      <c r="J19" s="73" t="s">
        <v>2541</v>
      </c>
      <c r="K19" s="73" t="s">
        <v>2677</v>
      </c>
      <c r="L19" s="54"/>
      <c r="M19" s="54"/>
      <c r="N19" s="93" t="s">
        <v>2678</v>
      </c>
      <c r="O19" s="105" t="s">
        <v>2679</v>
      </c>
      <c r="S19" s="49">
        <v>1</v>
      </c>
      <c r="T19" s="49">
        <f>T9+アンコモン!T13</f>
        <v>21</v>
      </c>
    </row>
    <row r="20" spans="1:20">
      <c r="A20" s="49" t="str">
        <f t="shared" si="0"/>
        <v>|B01|WB|スカースダグの高僧|1B|2|ISD|C|人間|クレリック||1/2|陰鬱-生物2T+T:5/5悪魔|</v>
      </c>
      <c r="B20" s="49" t="s">
        <v>1744</v>
      </c>
      <c r="C20" s="50" t="s">
        <v>2184</v>
      </c>
      <c r="D20" s="109"/>
      <c r="E20" s="51" t="s">
        <v>33</v>
      </c>
      <c r="F20" s="68" t="s">
        <v>2680</v>
      </c>
      <c r="G20" s="68" t="s">
        <v>2681</v>
      </c>
      <c r="H20" s="68">
        <v>2</v>
      </c>
      <c r="I20" s="68" t="s">
        <v>2682</v>
      </c>
      <c r="J20" s="68" t="s">
        <v>2615</v>
      </c>
      <c r="K20" s="68" t="s">
        <v>2683</v>
      </c>
      <c r="L20" s="68" t="s">
        <v>2684</v>
      </c>
      <c r="M20" s="51"/>
      <c r="N20" s="92" t="s">
        <v>2685</v>
      </c>
      <c r="O20" s="69" t="s">
        <v>2686</v>
      </c>
      <c r="P20" s="62" t="s">
        <v>2641</v>
      </c>
      <c r="Q20" s="62">
        <f>COUNTIF(J20:J28,P20)</f>
        <v>5</v>
      </c>
      <c r="S20" s="49">
        <v>2</v>
      </c>
      <c r="T20" s="49">
        <f>T10+アンコモン!T14</f>
        <v>66</v>
      </c>
    </row>
    <row r="21" spans="1:20">
      <c r="A21" s="49" t="str">
        <f t="shared" si="0"/>
        <v>|B02|RW|黒の太陽の頂点|XBB|2|MBS|S|||||全生物-1/-1CX分|</v>
      </c>
      <c r="B21" s="49" t="s">
        <v>1744</v>
      </c>
      <c r="C21" s="56" t="s">
        <v>1994</v>
      </c>
      <c r="D21" s="110"/>
      <c r="E21" s="34" t="s">
        <v>36</v>
      </c>
      <c r="F21" s="34" t="s">
        <v>2687</v>
      </c>
      <c r="G21" s="34" t="s">
        <v>2688</v>
      </c>
      <c r="H21" s="34">
        <v>2</v>
      </c>
      <c r="I21" s="34" t="s">
        <v>2689</v>
      </c>
      <c r="J21" s="34" t="s">
        <v>2643</v>
      </c>
      <c r="K21" s="55"/>
      <c r="L21" s="55"/>
      <c r="M21" s="55"/>
      <c r="N21" s="85"/>
      <c r="O21" s="71" t="s">
        <v>2690</v>
      </c>
      <c r="P21" s="49" t="s">
        <v>1263</v>
      </c>
      <c r="Q21" s="19">
        <f>COUNTIF(J20:J28,P21)</f>
        <v>2</v>
      </c>
      <c r="S21" s="49">
        <v>3</v>
      </c>
      <c r="T21" s="49">
        <f>T11+アンコモン!T15</f>
        <v>69</v>
      </c>
    </row>
    <row r="22" spans="1:20">
      <c r="A22" s="49" t="str">
        <f t="shared" si="0"/>
        <v>|B03|他|英雄の破滅|1BB|3|THS|I|||||生物orPW破壊|</v>
      </c>
      <c r="B22" s="49" t="s">
        <v>1744</v>
      </c>
      <c r="C22" s="56" t="s">
        <v>1995</v>
      </c>
      <c r="D22" s="110"/>
      <c r="E22" s="34" t="s">
        <v>2143</v>
      </c>
      <c r="F22" s="34" t="s">
        <v>2691</v>
      </c>
      <c r="G22" s="34" t="s">
        <v>2692</v>
      </c>
      <c r="H22" s="34">
        <v>3</v>
      </c>
      <c r="I22" s="34" t="s">
        <v>2637</v>
      </c>
      <c r="J22" s="34" t="s">
        <v>2642</v>
      </c>
      <c r="K22" s="55"/>
      <c r="L22" s="55"/>
      <c r="M22" s="55"/>
      <c r="N22" s="85"/>
      <c r="O22" s="71" t="s">
        <v>2693</v>
      </c>
      <c r="P22" s="49" t="s">
        <v>758</v>
      </c>
      <c r="Q22" s="19">
        <f>COUNTIF(J20:J28,P22)</f>
        <v>1</v>
      </c>
      <c r="S22" s="49">
        <v>4</v>
      </c>
      <c r="T22" s="49">
        <f>T12+アンコモン!T16</f>
        <v>65</v>
      </c>
    </row>
    <row r="23" spans="1:20">
      <c r="A23" s="49" t="str">
        <f t="shared" si="0"/>
        <v>|B04|BG|法務官の手|3B|4|SOM|C|ゾンビ|||.3/2|感染ﾛｰﾄﾞ　感染生物唱誘→PL毒1|</v>
      </c>
      <c r="B23" s="49" t="s">
        <v>1744</v>
      </c>
      <c r="C23" s="56" t="s">
        <v>1996</v>
      </c>
      <c r="D23" s="110"/>
      <c r="E23" s="55" t="s">
        <v>35</v>
      </c>
      <c r="F23" s="55" t="s">
        <v>1397</v>
      </c>
      <c r="G23" s="55" t="s">
        <v>1008</v>
      </c>
      <c r="H23" s="34">
        <v>4</v>
      </c>
      <c r="I23" s="55" t="s">
        <v>364</v>
      </c>
      <c r="J23" s="55" t="s">
        <v>923</v>
      </c>
      <c r="K23" s="55" t="s">
        <v>1596</v>
      </c>
      <c r="L23" s="55"/>
      <c r="M23" s="55"/>
      <c r="N23" s="55" t="s">
        <v>1754</v>
      </c>
      <c r="O23" s="57" t="s">
        <v>1337</v>
      </c>
      <c r="P23" s="49" t="s">
        <v>1265</v>
      </c>
      <c r="Q23" s="19">
        <f>COUNTIF(J20:J28,P23)</f>
        <v>1</v>
      </c>
      <c r="S23" s="49">
        <v>5</v>
      </c>
      <c r="T23" s="49">
        <f>T13+アンコモン!T17</f>
        <v>47</v>
      </c>
    </row>
    <row r="24" spans="1:20">
      <c r="A24" s="49" t="str">
        <f t="shared" si="0"/>
        <v>|B05|slv|疫病Slv|2BB|4|TSP|C|スリヴァー|||5/5|UPK1ペイ|</v>
      </c>
      <c r="B24" s="49" t="s">
        <v>1744</v>
      </c>
      <c r="C24" s="56" t="s">
        <v>1997</v>
      </c>
      <c r="D24" s="110"/>
      <c r="E24" s="55" t="s">
        <v>2103</v>
      </c>
      <c r="F24" s="55" t="s">
        <v>1090</v>
      </c>
      <c r="G24" s="55" t="s">
        <v>1009</v>
      </c>
      <c r="H24" s="55">
        <v>4</v>
      </c>
      <c r="I24" s="55" t="s">
        <v>352</v>
      </c>
      <c r="J24" s="55" t="s">
        <v>923</v>
      </c>
      <c r="K24" s="55" t="s">
        <v>2087</v>
      </c>
      <c r="L24" s="55"/>
      <c r="M24" s="55"/>
      <c r="N24" s="85" t="s">
        <v>2244</v>
      </c>
      <c r="O24" s="57" t="s">
        <v>954</v>
      </c>
      <c r="S24" s="49">
        <v>6</v>
      </c>
      <c r="T24" s="49">
        <f>T14+アンコモン!T18</f>
        <v>27</v>
      </c>
    </row>
    <row r="25" spans="1:20">
      <c r="A25" s="49" t="str">
        <f t="shared" si="0"/>
        <v>|B06|除去|魂の捕縛|2BB|4|GPT|I|||||非白黒生物破壊　1/1spri　憑依|</v>
      </c>
      <c r="B25" s="49" t="s">
        <v>1744</v>
      </c>
      <c r="C25" s="56" t="s">
        <v>1998</v>
      </c>
      <c r="D25" s="110"/>
      <c r="E25" s="34" t="s">
        <v>2135</v>
      </c>
      <c r="F25" s="55" t="s">
        <v>2405</v>
      </c>
      <c r="G25" s="55" t="s">
        <v>1009</v>
      </c>
      <c r="H25" s="55">
        <v>4</v>
      </c>
      <c r="I25" s="55" t="s">
        <v>349</v>
      </c>
      <c r="J25" s="55" t="s">
        <v>1490</v>
      </c>
      <c r="K25" s="55"/>
      <c r="L25" s="55"/>
      <c r="M25" s="55"/>
      <c r="N25" s="85"/>
      <c r="O25" s="57" t="s">
        <v>2503</v>
      </c>
      <c r="S25" s="49" t="s">
        <v>2251</v>
      </c>
      <c r="T25" s="49">
        <f>T15+アンコモン!T19</f>
        <v>8</v>
      </c>
    </row>
    <row r="26" spans="1:20">
      <c r="A26" s="49" t="str">
        <f t="shared" si="0"/>
        <v>|B07|WB|飢えたるもの、卑堕硫|4B|5|CHK|C|スピリット|||3/2|伝説　飛行　1スピリットS：選択ハンデス　転生4|</v>
      </c>
      <c r="B26" s="49" t="s">
        <v>1744</v>
      </c>
      <c r="C26" s="56" t="s">
        <v>1999</v>
      </c>
      <c r="D26" s="110"/>
      <c r="E26" s="55" t="s">
        <v>33</v>
      </c>
      <c r="F26" s="55" t="s">
        <v>1471</v>
      </c>
      <c r="G26" s="55" t="s">
        <v>1011</v>
      </c>
      <c r="H26" s="55">
        <v>5</v>
      </c>
      <c r="I26" s="55" t="s">
        <v>347</v>
      </c>
      <c r="J26" s="55" t="s">
        <v>923</v>
      </c>
      <c r="K26" s="55" t="s">
        <v>1414</v>
      </c>
      <c r="L26" s="55"/>
      <c r="M26" s="55"/>
      <c r="N26" s="55" t="s">
        <v>1483</v>
      </c>
      <c r="O26" s="57" t="s">
        <v>1472</v>
      </c>
      <c r="T26" s="49" t="s">
        <v>2750</v>
      </c>
    </row>
    <row r="27" spans="1:20">
      <c r="A27" s="49" t="str">
        <f t="shared" si="0"/>
        <v>|B08|他|奸謀|3BB|5|TSB|E|||||自全領域任意部族|</v>
      </c>
      <c r="B27" s="49" t="s">
        <v>1744</v>
      </c>
      <c r="C27" s="56" t="s">
        <v>2000</v>
      </c>
      <c r="D27" s="110"/>
      <c r="E27" s="34" t="s">
        <v>2143</v>
      </c>
      <c r="F27" s="34" t="s">
        <v>3282</v>
      </c>
      <c r="G27" s="34" t="s">
        <v>3283</v>
      </c>
      <c r="H27" s="55">
        <v>5</v>
      </c>
      <c r="I27" s="34" t="s">
        <v>3284</v>
      </c>
      <c r="J27" s="34" t="s">
        <v>2528</v>
      </c>
      <c r="K27" s="55"/>
      <c r="L27" s="55"/>
      <c r="M27" s="55"/>
      <c r="N27" s="85"/>
      <c r="O27" s="57" t="s">
        <v>3285</v>
      </c>
      <c r="T27" s="49" t="s">
        <v>2750</v>
      </c>
    </row>
    <row r="28" spans="1:20" ht="14.25" thickBot="1">
      <c r="A28" s="49" t="str">
        <f t="shared" si="0"/>
        <v>|B09|BG|墓忍び|6BB|8|FUT|C|デーモン|||6/6|飛行　探査|</v>
      </c>
      <c r="B28" s="49" t="s">
        <v>1744</v>
      </c>
      <c r="C28" s="53" t="s">
        <v>2001</v>
      </c>
      <c r="D28" s="111"/>
      <c r="E28" s="54" t="s">
        <v>35</v>
      </c>
      <c r="F28" s="54" t="s">
        <v>2499</v>
      </c>
      <c r="G28" s="54" t="s">
        <v>2500</v>
      </c>
      <c r="H28" s="54">
        <v>8</v>
      </c>
      <c r="I28" s="54" t="s">
        <v>354</v>
      </c>
      <c r="J28" s="54" t="s">
        <v>923</v>
      </c>
      <c r="K28" s="54" t="s">
        <v>2501</v>
      </c>
      <c r="L28" s="54"/>
      <c r="M28" s="54"/>
      <c r="N28" s="93" t="s">
        <v>1485</v>
      </c>
      <c r="O28" s="11" t="s">
        <v>2502</v>
      </c>
      <c r="T28" s="49" t="s">
        <v>2750</v>
      </c>
    </row>
    <row r="29" spans="1:20">
      <c r="A29" s="49" t="str">
        <f t="shared" si="0"/>
        <v>|R01|除去|悪魔火|XR|1|DIS|S|||||X点火力　暴勇非打消|</v>
      </c>
      <c r="B29" s="49" t="s">
        <v>1744</v>
      </c>
      <c r="C29" s="50" t="s">
        <v>2200</v>
      </c>
      <c r="D29" s="109"/>
      <c r="E29" s="68" t="s">
        <v>2135</v>
      </c>
      <c r="F29" s="68" t="s">
        <v>3279</v>
      </c>
      <c r="G29" s="68" t="s">
        <v>2609</v>
      </c>
      <c r="H29" s="51">
        <v>1</v>
      </c>
      <c r="I29" s="68" t="s">
        <v>3280</v>
      </c>
      <c r="J29" s="68" t="s">
        <v>2610</v>
      </c>
      <c r="K29" s="51"/>
      <c r="L29" s="51"/>
      <c r="M29" s="51"/>
      <c r="N29" s="92"/>
      <c r="O29" s="95" t="s">
        <v>3281</v>
      </c>
      <c r="P29" s="62" t="s">
        <v>2641</v>
      </c>
      <c r="Q29" s="62">
        <f>COUNTIF(J29:J37,P29)</f>
        <v>5</v>
      </c>
      <c r="T29" s="49" t="s">
        <v>3286</v>
      </c>
    </row>
    <row r="30" spans="1:20">
      <c r="A30" s="49" t="str">
        <f t="shared" si="0"/>
        <v>|R02|UR|ミジウムの迫撃砲|1R|2|RTR|S|||||生物4点　3RRR:超過|</v>
      </c>
      <c r="B30" s="49" t="s">
        <v>1744</v>
      </c>
      <c r="C30" s="56" t="s">
        <v>2013</v>
      </c>
      <c r="D30" s="110"/>
      <c r="E30" s="55" t="s">
        <v>34</v>
      </c>
      <c r="F30" s="34" t="s">
        <v>2694</v>
      </c>
      <c r="G30" s="34" t="s">
        <v>2695</v>
      </c>
      <c r="H30" s="34">
        <v>2</v>
      </c>
      <c r="I30" s="34" t="s">
        <v>2696</v>
      </c>
      <c r="J30" s="34" t="s">
        <v>2643</v>
      </c>
      <c r="K30" s="55"/>
      <c r="L30" s="55"/>
      <c r="M30" s="55"/>
      <c r="N30" s="85"/>
      <c r="O30" s="94" t="s">
        <v>2697</v>
      </c>
      <c r="P30" s="49" t="s">
        <v>1263</v>
      </c>
      <c r="Q30" s="19">
        <f>COUNTIF(J29:J37,P30)</f>
        <v>1</v>
      </c>
      <c r="T30" s="49" t="s">
        <v>2750</v>
      </c>
    </row>
    <row r="31" spans="1:20">
      <c r="A31" s="49" t="str">
        <f t="shared" si="0"/>
        <v>|R03|UR|白熱の魂炊き|2R|3|LRW|C|エレメンタル|シャーマン||2/2|Elロード　1RT:El騙し討ち|</v>
      </c>
      <c r="B31" s="49" t="s">
        <v>1744</v>
      </c>
      <c r="C31" s="56" t="s">
        <v>2014</v>
      </c>
      <c r="D31" s="110"/>
      <c r="E31" s="34" t="s">
        <v>34</v>
      </c>
      <c r="F31" s="55" t="s">
        <v>1922</v>
      </c>
      <c r="G31" s="55" t="s">
        <v>1014</v>
      </c>
      <c r="H31" s="55">
        <v>3</v>
      </c>
      <c r="I31" s="55" t="s">
        <v>2608</v>
      </c>
      <c r="J31" s="34" t="s">
        <v>923</v>
      </c>
      <c r="K31" s="55" t="s">
        <v>1930</v>
      </c>
      <c r="L31" s="55" t="s">
        <v>2201</v>
      </c>
      <c r="M31" s="55"/>
      <c r="N31" s="85" t="s">
        <v>1475</v>
      </c>
      <c r="O31" s="94" t="s">
        <v>2307</v>
      </c>
      <c r="P31" s="49" t="s">
        <v>758</v>
      </c>
      <c r="Q31" s="19">
        <f>COUNTIF(J29:J37,P31)</f>
        <v>2</v>
      </c>
      <c r="T31" s="49" t="s">
        <v>2750</v>
      </c>
    </row>
    <row r="32" spans="1:20">
      <c r="A32" s="49" t="str">
        <f t="shared" si="0"/>
        <v>|R04|slv|菅草Slv|2R|3|TSP|C|スリヴァー|||2/2|沼コンPT+1+B：再生|</v>
      </c>
      <c r="B32" s="49" t="s">
        <v>1744</v>
      </c>
      <c r="C32" s="56" t="s">
        <v>2015</v>
      </c>
      <c r="D32" s="110"/>
      <c r="E32" s="55" t="s">
        <v>2103</v>
      </c>
      <c r="F32" s="55" t="s">
        <v>1097</v>
      </c>
      <c r="G32" s="55" t="s">
        <v>1014</v>
      </c>
      <c r="H32" s="55">
        <v>3</v>
      </c>
      <c r="I32" s="55" t="s">
        <v>352</v>
      </c>
      <c r="J32" s="55" t="s">
        <v>923</v>
      </c>
      <c r="K32" s="55" t="s">
        <v>2087</v>
      </c>
      <c r="L32" s="55"/>
      <c r="M32" s="55"/>
      <c r="N32" s="85" t="s">
        <v>1475</v>
      </c>
      <c r="O32" s="57" t="s">
        <v>2389</v>
      </c>
      <c r="P32" s="49" t="s">
        <v>1265</v>
      </c>
      <c r="Q32" s="19">
        <f>COUNTIF(J29:J37,P32)</f>
        <v>1</v>
      </c>
      <c r="T32" s="49" t="s">
        <v>2750</v>
      </c>
    </row>
    <row r="33" spans="1:20">
      <c r="A33" s="49" t="str">
        <f t="shared" si="0"/>
        <v>|R05|RW|卑血の芙巳子|2RR|4|BOK|C|人間|侍||3/2|伝説　武X=攻生物　敵軍全強制攻撃|</v>
      </c>
      <c r="B33" s="49" t="s">
        <v>1744</v>
      </c>
      <c r="C33" s="56" t="s">
        <v>2016</v>
      </c>
      <c r="D33" s="110"/>
      <c r="E33" s="55" t="s">
        <v>36</v>
      </c>
      <c r="F33" s="55" t="s">
        <v>1171</v>
      </c>
      <c r="G33" s="55" t="s">
        <v>1187</v>
      </c>
      <c r="H33" s="55">
        <v>4</v>
      </c>
      <c r="I33" s="55" t="s">
        <v>348</v>
      </c>
      <c r="J33" s="55" t="s">
        <v>923</v>
      </c>
      <c r="K33" s="55" t="s">
        <v>1410</v>
      </c>
      <c r="L33" s="55" t="s">
        <v>2132</v>
      </c>
      <c r="M33" s="55"/>
      <c r="N33" s="55" t="s">
        <v>1483</v>
      </c>
      <c r="O33" s="94" t="s">
        <v>2383</v>
      </c>
      <c r="T33" s="49" t="s">
        <v>2750</v>
      </c>
    </row>
    <row r="34" spans="1:20">
      <c r="A34" s="49" t="str">
        <f t="shared" si="0"/>
        <v>|R06|RW|非情なる飯塚|3RR|5|SOK|C|人間|侍||3/3|伝説　武2　2R,侍S：自軍侍二段|</v>
      </c>
      <c r="B34" s="49" t="s">
        <v>1744</v>
      </c>
      <c r="C34" s="56" t="s">
        <v>2017</v>
      </c>
      <c r="D34" s="110"/>
      <c r="E34" s="55" t="s">
        <v>36</v>
      </c>
      <c r="F34" s="55" t="s">
        <v>251</v>
      </c>
      <c r="G34" s="55" t="s">
        <v>1188</v>
      </c>
      <c r="H34" s="55">
        <v>5</v>
      </c>
      <c r="I34" s="55" t="s">
        <v>278</v>
      </c>
      <c r="J34" s="55" t="s">
        <v>923</v>
      </c>
      <c r="K34" s="55" t="s">
        <v>1410</v>
      </c>
      <c r="L34" s="34" t="s">
        <v>2132</v>
      </c>
      <c r="M34" s="55"/>
      <c r="N34" s="55" t="s">
        <v>1479</v>
      </c>
      <c r="O34" s="94" t="s">
        <v>2384</v>
      </c>
      <c r="T34" s="49" t="s">
        <v>2750</v>
      </c>
    </row>
    <row r="35" spans="1:20">
      <c r="A35" s="49" t="str">
        <f t="shared" si="0"/>
        <v>|R07|他|シヴ山のドラゴン|4RR|6|8ED|C|ドラゴン|||5/5|飛行　ブレス|</v>
      </c>
      <c r="B35" s="49" t="s">
        <v>1744</v>
      </c>
      <c r="C35" s="56" t="s">
        <v>2018</v>
      </c>
      <c r="D35" s="110"/>
      <c r="E35" s="34" t="s">
        <v>2143</v>
      </c>
      <c r="F35" s="34" t="s">
        <v>2385</v>
      </c>
      <c r="G35" s="34" t="s">
        <v>2215</v>
      </c>
      <c r="H35" s="55">
        <v>6</v>
      </c>
      <c r="I35" s="34" t="s">
        <v>2386</v>
      </c>
      <c r="J35" s="34" t="s">
        <v>923</v>
      </c>
      <c r="K35" s="34" t="s">
        <v>2387</v>
      </c>
      <c r="L35" s="55"/>
      <c r="M35" s="55"/>
      <c r="N35" s="85" t="s">
        <v>2244</v>
      </c>
      <c r="O35" s="94" t="s">
        <v>2388</v>
      </c>
      <c r="T35" s="49" t="s">
        <v>2750</v>
      </c>
    </row>
    <row r="36" spans="1:20">
      <c r="A36" s="49" t="str">
        <f t="shared" si="0"/>
        <v>|R08|他|怒りの反射|4RR|6|SHM|E|||||自軍二段攻撃|</v>
      </c>
      <c r="B36" s="49" t="s">
        <v>1744</v>
      </c>
      <c r="C36" s="56" t="s">
        <v>2019</v>
      </c>
      <c r="D36" s="110"/>
      <c r="E36" s="34" t="s">
        <v>2143</v>
      </c>
      <c r="F36" s="34" t="s">
        <v>2523</v>
      </c>
      <c r="G36" s="34" t="s">
        <v>2524</v>
      </c>
      <c r="H36" s="55">
        <v>6</v>
      </c>
      <c r="I36" s="34" t="s">
        <v>2525</v>
      </c>
      <c r="J36" s="34" t="s">
        <v>2526</v>
      </c>
      <c r="K36" s="55"/>
      <c r="L36" s="55"/>
      <c r="M36" s="55"/>
      <c r="N36" s="85"/>
      <c r="O36" s="57" t="s">
        <v>2527</v>
      </c>
      <c r="T36" s="49" t="s">
        <v>2750</v>
      </c>
    </row>
    <row r="37" spans="1:20" ht="14.25" thickBot="1">
      <c r="A37" s="49" t="str">
        <f t="shared" si="0"/>
        <v>|R09|GU|心魂破|3RRR|6|10E|I|||||追生物S　S生物P分火力|</v>
      </c>
      <c r="B37" s="49" t="s">
        <v>1744</v>
      </c>
      <c r="C37" s="53" t="s">
        <v>2020</v>
      </c>
      <c r="D37" s="111"/>
      <c r="E37" s="73" t="s">
        <v>37</v>
      </c>
      <c r="F37" s="73" t="s">
        <v>3173</v>
      </c>
      <c r="G37" s="73" t="s">
        <v>2745</v>
      </c>
      <c r="H37" s="73">
        <v>6</v>
      </c>
      <c r="I37" s="73" t="s">
        <v>2746</v>
      </c>
      <c r="J37" s="73" t="s">
        <v>2642</v>
      </c>
      <c r="K37" s="54"/>
      <c r="L37" s="54"/>
      <c r="M37" s="54"/>
      <c r="N37" s="93"/>
      <c r="O37" s="101" t="s">
        <v>2747</v>
      </c>
      <c r="P37" s="62" t="s">
        <v>2641</v>
      </c>
      <c r="Q37" s="19">
        <f>COUNTIF(J38:J46,P37)</f>
        <v>5</v>
      </c>
      <c r="T37" s="49" t="s">
        <v>2750</v>
      </c>
    </row>
    <row r="38" spans="1:20">
      <c r="A38" s="49" t="str">
        <f t="shared" si="0"/>
        <v>|G01|GU|極楽鳥|G|1|9ED|C|鳥|||0/1|マナクリ|</v>
      </c>
      <c r="B38" s="49" t="s">
        <v>1744</v>
      </c>
      <c r="C38" s="50" t="s">
        <v>2217</v>
      </c>
      <c r="D38" s="109"/>
      <c r="E38" s="68" t="s">
        <v>37</v>
      </c>
      <c r="F38" s="68" t="s">
        <v>792</v>
      </c>
      <c r="G38" s="68" t="s">
        <v>28</v>
      </c>
      <c r="H38" s="68">
        <v>1</v>
      </c>
      <c r="I38" s="68" t="s">
        <v>351</v>
      </c>
      <c r="J38" s="68" t="s">
        <v>923</v>
      </c>
      <c r="K38" s="68" t="s">
        <v>2157</v>
      </c>
      <c r="L38" s="51"/>
      <c r="M38" s="51"/>
      <c r="N38" s="92" t="s">
        <v>1415</v>
      </c>
      <c r="O38" s="69" t="s">
        <v>960</v>
      </c>
      <c r="P38" s="49" t="s">
        <v>1263</v>
      </c>
      <c r="Q38" s="19">
        <f>COUNTIF(J38:J46,P38)</f>
        <v>1</v>
      </c>
      <c r="T38" s="49" t="s">
        <v>2750</v>
      </c>
    </row>
    <row r="39" spans="1:20">
      <c r="A39" s="49" t="str">
        <f t="shared" si="0"/>
        <v>|G02|他|硬化した鱗|G|1|KTK|E|||||_+1C乗誘発追加+1C|</v>
      </c>
      <c r="B39" s="49" t="s">
        <v>1744</v>
      </c>
      <c r="C39" s="56" t="s">
        <v>2032</v>
      </c>
      <c r="D39" s="110"/>
      <c r="E39" s="55" t="s">
        <v>2143</v>
      </c>
      <c r="F39" s="34" t="s">
        <v>2537</v>
      </c>
      <c r="G39" s="34" t="s">
        <v>2538</v>
      </c>
      <c r="H39" s="55">
        <v>1</v>
      </c>
      <c r="I39" s="34" t="s">
        <v>2539</v>
      </c>
      <c r="J39" s="34" t="s">
        <v>2528</v>
      </c>
      <c r="K39" s="55"/>
      <c r="L39" s="55"/>
      <c r="M39" s="55"/>
      <c r="N39" s="85"/>
      <c r="O39" s="57" t="s">
        <v>2540</v>
      </c>
      <c r="P39" s="49" t="s">
        <v>758</v>
      </c>
      <c r="Q39" s="19">
        <f>COUNTIF(J38:J46,P39)</f>
        <v>2</v>
      </c>
      <c r="T39" s="49" t="s">
        <v>2750</v>
      </c>
    </row>
    <row r="40" spans="1:20">
      <c r="A40" s="49" t="str">
        <f t="shared" si="0"/>
        <v>|G03|除去|セテッサ式戦術|1G|2|JOU|I|||||奮励G　+1/+1+T:格闘|</v>
      </c>
      <c r="B40" s="49" t="s">
        <v>1744</v>
      </c>
      <c r="C40" s="56" t="s">
        <v>2033</v>
      </c>
      <c r="D40" s="110"/>
      <c r="E40" s="34" t="s">
        <v>2739</v>
      </c>
      <c r="F40" s="34" t="s">
        <v>2735</v>
      </c>
      <c r="G40" s="34" t="s">
        <v>2736</v>
      </c>
      <c r="H40" s="34">
        <v>2</v>
      </c>
      <c r="I40" s="34" t="s">
        <v>2737</v>
      </c>
      <c r="J40" s="34" t="s">
        <v>2642</v>
      </c>
      <c r="K40" s="55"/>
      <c r="L40" s="55"/>
      <c r="M40" s="55"/>
      <c r="N40" s="85"/>
      <c r="O40" s="71" t="s">
        <v>2738</v>
      </c>
      <c r="P40" s="49" t="s">
        <v>1265</v>
      </c>
      <c r="Q40" s="19">
        <f>COUNTIF(J38:J46,P40)</f>
        <v>1</v>
      </c>
      <c r="T40" s="49" t="s">
        <v>2750</v>
      </c>
    </row>
    <row r="41" spans="1:20">
      <c r="A41" s="49" t="str">
        <f t="shared" si="0"/>
        <v>|G04|他|起源の波|XGGG|3|SOM|S|||||DTX公開　CMCX↓Pa戦場　残墓地|</v>
      </c>
      <c r="B41" s="49" t="s">
        <v>1744</v>
      </c>
      <c r="C41" s="56" t="s">
        <v>2034</v>
      </c>
      <c r="D41" s="110"/>
      <c r="E41" s="34" t="s">
        <v>2143</v>
      </c>
      <c r="F41" s="55" t="s">
        <v>816</v>
      </c>
      <c r="G41" s="55" t="s">
        <v>2390</v>
      </c>
      <c r="H41" s="55">
        <v>3</v>
      </c>
      <c r="I41" s="55" t="s">
        <v>364</v>
      </c>
      <c r="J41" s="55" t="s">
        <v>1501</v>
      </c>
      <c r="K41" s="55"/>
      <c r="L41" s="55"/>
      <c r="M41" s="55"/>
      <c r="N41" s="85"/>
      <c r="O41" s="57" t="s">
        <v>2391</v>
      </c>
      <c r="T41" s="49" t="s">
        <v>2750</v>
      </c>
    </row>
    <row r="42" spans="1:20">
      <c r="A42" s="49" t="str">
        <f t="shared" si="0"/>
        <v>|G05|slv|菌類Slv|3G|4|TSP|C|スリヴァー|||2/2|D受毎+1/+1C|</v>
      </c>
      <c r="B42" s="49" t="s">
        <v>1744</v>
      </c>
      <c r="C42" s="56" t="s">
        <v>2035</v>
      </c>
      <c r="D42" s="110"/>
      <c r="E42" s="55" t="s">
        <v>2103</v>
      </c>
      <c r="F42" s="55" t="s">
        <v>1111</v>
      </c>
      <c r="G42" s="55" t="s">
        <v>1027</v>
      </c>
      <c r="H42" s="55">
        <v>4</v>
      </c>
      <c r="I42" s="55" t="s">
        <v>352</v>
      </c>
      <c r="J42" s="55" t="s">
        <v>923</v>
      </c>
      <c r="K42" s="55" t="s">
        <v>2087</v>
      </c>
      <c r="L42" s="55"/>
      <c r="M42" s="55"/>
      <c r="N42" s="85" t="s">
        <v>1475</v>
      </c>
      <c r="O42" s="57" t="s">
        <v>2394</v>
      </c>
      <c r="T42" s="49" t="s">
        <v>2750</v>
      </c>
    </row>
    <row r="43" spans="1:20">
      <c r="A43" s="49" t="str">
        <f t="shared" si="0"/>
        <v>|G06|GU|放浪する森林|3G|4|BFZ|C|エレメンタル|||2/2|警戒　貫通　収斂|</v>
      </c>
      <c r="B43" s="49" t="s">
        <v>1744</v>
      </c>
      <c r="C43" s="56" t="s">
        <v>2036</v>
      </c>
      <c r="D43" s="110"/>
      <c r="E43" s="34" t="s">
        <v>37</v>
      </c>
      <c r="F43" s="55" t="s">
        <v>2466</v>
      </c>
      <c r="G43" s="55" t="s">
        <v>1027</v>
      </c>
      <c r="H43" s="34">
        <v>4</v>
      </c>
      <c r="I43" s="55" t="s">
        <v>378</v>
      </c>
      <c r="J43" s="55" t="s">
        <v>923</v>
      </c>
      <c r="K43" s="55" t="s">
        <v>1930</v>
      </c>
      <c r="L43" s="55"/>
      <c r="M43" s="55"/>
      <c r="N43" s="85" t="s">
        <v>1475</v>
      </c>
      <c r="O43" s="57" t="s">
        <v>2504</v>
      </c>
      <c r="T43" s="49" t="s">
        <v>2750</v>
      </c>
    </row>
    <row r="44" spans="1:20">
      <c r="A44" s="49" t="str">
        <f t="shared" si="0"/>
        <v>|G07|BG|ゴルガリの墓トロール|4G|5|RAV|C|トロール|スケルトン||0/0|墓地生物分+1/+1C　1+1C除:再生　発掘6|</v>
      </c>
      <c r="B44" s="49" t="s">
        <v>1744</v>
      </c>
      <c r="C44" s="56" t="s">
        <v>2037</v>
      </c>
      <c r="D44" s="110"/>
      <c r="E44" s="55" t="s">
        <v>35</v>
      </c>
      <c r="F44" s="55" t="s">
        <v>788</v>
      </c>
      <c r="G44" s="55" t="s">
        <v>1028</v>
      </c>
      <c r="H44" s="55">
        <v>5</v>
      </c>
      <c r="I44" s="55" t="s">
        <v>279</v>
      </c>
      <c r="J44" s="55" t="s">
        <v>923</v>
      </c>
      <c r="K44" s="55" t="s">
        <v>1593</v>
      </c>
      <c r="L44" s="55" t="s">
        <v>2392</v>
      </c>
      <c r="M44" s="55"/>
      <c r="N44" s="85" t="s">
        <v>1716</v>
      </c>
      <c r="O44" s="57" t="s">
        <v>2393</v>
      </c>
      <c r="T44" s="49" t="s">
        <v>2750</v>
      </c>
    </row>
    <row r="45" spans="1:20">
      <c r="A45" s="49" t="str">
        <f t="shared" si="0"/>
        <v>|G08|BG|ﾌｧｲﾚｸｼｱの群れの王|4GG|6|NPH|C|昆虫|ホラー||.4/4|UPK毎敵毒分感染1/1昆虫|</v>
      </c>
      <c r="B45" s="49" t="s">
        <v>1744</v>
      </c>
      <c r="C45" s="56" t="s">
        <v>2038</v>
      </c>
      <c r="D45" s="110"/>
      <c r="E45" s="55" t="s">
        <v>35</v>
      </c>
      <c r="F45" s="34" t="s">
        <v>1402</v>
      </c>
      <c r="G45" s="34" t="s">
        <v>1387</v>
      </c>
      <c r="H45" s="34">
        <v>6</v>
      </c>
      <c r="I45" s="34" t="s">
        <v>366</v>
      </c>
      <c r="J45" s="34" t="s">
        <v>923</v>
      </c>
      <c r="K45" s="34" t="s">
        <v>1272</v>
      </c>
      <c r="L45" s="34" t="s">
        <v>2125</v>
      </c>
      <c r="M45" s="55"/>
      <c r="N45" s="55" t="s">
        <v>1756</v>
      </c>
      <c r="O45" s="57" t="s">
        <v>1344</v>
      </c>
      <c r="T45" s="49" t="s">
        <v>2750</v>
      </c>
    </row>
    <row r="46" spans="1:20" ht="14.25" thickBot="1">
      <c r="A46" s="49" t="str">
        <f t="shared" si="0"/>
        <v>|G09|WB|ニッサの復興|5G|6|BFZ|S|||||3ランパン　7回復|</v>
      </c>
      <c r="B46" s="49" t="s">
        <v>1744</v>
      </c>
      <c r="C46" s="53" t="s">
        <v>2039</v>
      </c>
      <c r="D46" s="111"/>
      <c r="E46" s="73" t="s">
        <v>2740</v>
      </c>
      <c r="F46" s="73" t="s">
        <v>2741</v>
      </c>
      <c r="G46" s="73" t="s">
        <v>2742</v>
      </c>
      <c r="H46" s="73">
        <v>6</v>
      </c>
      <c r="I46" s="73" t="s">
        <v>2743</v>
      </c>
      <c r="J46" s="73" t="s">
        <v>2610</v>
      </c>
      <c r="K46" s="54"/>
      <c r="L46" s="54"/>
      <c r="M46" s="54"/>
      <c r="N46" s="93"/>
      <c r="O46" s="74" t="s">
        <v>2744</v>
      </c>
      <c r="T46" s="49" t="s">
        <v>2750</v>
      </c>
    </row>
    <row r="47" spans="1:20">
      <c r="A47" s="49" t="str">
        <f t="shared" si="0"/>
        <v>|WB1||オルゾフの御曹子、テイサ|1WB|3|GPT|C|人間|アドバイザー||2/3|伝説　白生物3S:生物3追放　黒死誘→1/1spri|</v>
      </c>
      <c r="B47" s="49" t="s">
        <v>1744</v>
      </c>
      <c r="C47" s="67" t="s">
        <v>2231</v>
      </c>
      <c r="D47" s="112"/>
      <c r="E47" s="68"/>
      <c r="F47" s="51" t="s">
        <v>2505</v>
      </c>
      <c r="G47" s="51" t="s">
        <v>1044</v>
      </c>
      <c r="H47" s="51">
        <v>3</v>
      </c>
      <c r="I47" s="51" t="s">
        <v>349</v>
      </c>
      <c r="J47" s="51" t="s">
        <v>923</v>
      </c>
      <c r="K47" s="51" t="s">
        <v>1410</v>
      </c>
      <c r="L47" s="51" t="s">
        <v>2506</v>
      </c>
      <c r="M47" s="51"/>
      <c r="N47" s="92" t="s">
        <v>1480</v>
      </c>
      <c r="O47" s="95" t="s">
        <v>2507</v>
      </c>
      <c r="T47" s="49" t="s">
        <v>2750</v>
      </c>
    </row>
    <row r="48" spans="1:20">
      <c r="A48" s="49" t="str">
        <f t="shared" si="0"/>
        <v>|WB2||オブゼダートの救済|3WB|5|DGM|S|||||墓地のPaリアニ|</v>
      </c>
      <c r="B48" s="49" t="s">
        <v>1744</v>
      </c>
      <c r="C48" s="70" t="s">
        <v>2051</v>
      </c>
      <c r="D48" s="113"/>
      <c r="E48" s="34"/>
      <c r="F48" s="55" t="s">
        <v>2915</v>
      </c>
      <c r="G48" s="55" t="s">
        <v>2916</v>
      </c>
      <c r="H48" s="55">
        <v>5</v>
      </c>
      <c r="I48" s="55" t="s">
        <v>2917</v>
      </c>
      <c r="J48" s="55" t="s">
        <v>2918</v>
      </c>
      <c r="K48" s="34"/>
      <c r="L48" s="55"/>
      <c r="M48" s="55"/>
      <c r="N48" s="85"/>
      <c r="O48" s="98" t="s">
        <v>2919</v>
      </c>
      <c r="T48" s="49" t="s">
        <v>2750</v>
      </c>
    </row>
    <row r="49" spans="1:20">
      <c r="A49" s="49" t="str">
        <f t="shared" si="0"/>
        <v>|UR1||空砕きの呼び声|5U/RU/R|7|EVE|S|||||飛行5/5El　回顧|</v>
      </c>
      <c r="B49" s="49" t="s">
        <v>1744</v>
      </c>
      <c r="C49" s="70" t="s">
        <v>2232</v>
      </c>
      <c r="D49" s="113"/>
      <c r="E49" s="34"/>
      <c r="F49" s="55" t="s">
        <v>2508</v>
      </c>
      <c r="G49" s="55" t="s">
        <v>2509</v>
      </c>
      <c r="H49" s="55">
        <v>7</v>
      </c>
      <c r="I49" s="55" t="s">
        <v>358</v>
      </c>
      <c r="J49" s="55" t="s">
        <v>1501</v>
      </c>
      <c r="K49" s="55"/>
      <c r="L49" s="55"/>
      <c r="M49" s="55"/>
      <c r="N49" s="85"/>
      <c r="O49" s="94" t="s">
        <v>2510</v>
      </c>
      <c r="T49" s="49" t="s">
        <v>2750</v>
      </c>
    </row>
    <row r="50" spans="1:20">
      <c r="A50" s="49" t="str">
        <f t="shared" si="0"/>
        <v>|UR2||対抗変転|UUR|3|RTR|I|||||打消　非打消　超過1UUR|</v>
      </c>
      <c r="B50" s="49" t="s">
        <v>1744</v>
      </c>
      <c r="C50" s="70" t="s">
        <v>2054</v>
      </c>
      <c r="D50" s="113"/>
      <c r="E50" s="34"/>
      <c r="F50" s="55" t="s">
        <v>2927</v>
      </c>
      <c r="G50" s="55" t="s">
        <v>2929</v>
      </c>
      <c r="H50" s="55">
        <v>3</v>
      </c>
      <c r="I50" s="55" t="s">
        <v>2930</v>
      </c>
      <c r="J50" s="55" t="s">
        <v>2931</v>
      </c>
      <c r="K50" s="34"/>
      <c r="L50" s="55"/>
      <c r="M50" s="55"/>
      <c r="N50" s="85"/>
      <c r="O50" s="98" t="s">
        <v>2932</v>
      </c>
      <c r="T50" s="49" t="s">
        <v>2750</v>
      </c>
    </row>
    <row r="51" spans="1:20">
      <c r="A51" s="49" t="str">
        <f t="shared" si="0"/>
        <v>|BG1||花崗岩の凝視|XBBG|3|DGM|S|||||CMCX以下の非土地Pa破壊|</v>
      </c>
      <c r="B51" s="49" t="s">
        <v>1744</v>
      </c>
      <c r="C51" s="70" t="s">
        <v>2233</v>
      </c>
      <c r="D51" s="113"/>
      <c r="E51" s="34"/>
      <c r="F51" s="55" t="s">
        <v>2511</v>
      </c>
      <c r="G51" s="55" t="s">
        <v>2512</v>
      </c>
      <c r="H51" s="55">
        <v>3</v>
      </c>
      <c r="I51" s="55" t="s">
        <v>1504</v>
      </c>
      <c r="J51" s="55" t="s">
        <v>1501</v>
      </c>
      <c r="K51" s="55"/>
      <c r="L51" s="55"/>
      <c r="M51" s="55"/>
      <c r="N51" s="85"/>
      <c r="O51" s="94" t="s">
        <v>2513</v>
      </c>
      <c r="T51" s="49" t="s">
        <v>2750</v>
      </c>
    </row>
    <row r="52" spans="1:20">
      <c r="A52" s="49" t="str">
        <f t="shared" si="0"/>
        <v>|BG2||ジャラドの命令|2BG|4|RTR|S|||||山札生物2探、1手札1墓地|</v>
      </c>
      <c r="B52" s="49" t="s">
        <v>1744</v>
      </c>
      <c r="C52" s="70" t="s">
        <v>2057</v>
      </c>
      <c r="D52" s="113"/>
      <c r="E52" s="34"/>
      <c r="F52" s="55" t="s">
        <v>2933</v>
      </c>
      <c r="G52" s="55" t="s">
        <v>2934</v>
      </c>
      <c r="H52" s="55">
        <v>4</v>
      </c>
      <c r="I52" s="55" t="s">
        <v>2930</v>
      </c>
      <c r="J52" s="55" t="s">
        <v>2918</v>
      </c>
      <c r="K52" s="34"/>
      <c r="L52" s="55"/>
      <c r="M52" s="55"/>
      <c r="N52" s="85"/>
      <c r="O52" s="98" t="s">
        <v>2935</v>
      </c>
      <c r="T52" s="49" t="s">
        <v>2750</v>
      </c>
    </row>
    <row r="53" spans="1:20">
      <c r="A53" s="49" t="str">
        <f t="shared" si="0"/>
        <v>|RW1||炎まといの報復者|2RW|4|GTC|C|天使|||3/3|飛行　大隊-稲妻のらせん|</v>
      </c>
      <c r="B53" s="49" t="s">
        <v>1744</v>
      </c>
      <c r="C53" s="70" t="s">
        <v>2234</v>
      </c>
      <c r="D53" s="113"/>
      <c r="E53" s="34"/>
      <c r="F53" s="55" t="s">
        <v>2514</v>
      </c>
      <c r="G53" s="55" t="s">
        <v>1686</v>
      </c>
      <c r="H53" s="55">
        <v>4</v>
      </c>
      <c r="I53" s="55" t="s">
        <v>371</v>
      </c>
      <c r="J53" s="55" t="s">
        <v>923</v>
      </c>
      <c r="K53" s="55" t="s">
        <v>2290</v>
      </c>
      <c r="L53" s="55"/>
      <c r="M53" s="55"/>
      <c r="N53" s="85" t="s">
        <v>1479</v>
      </c>
      <c r="O53" s="94" t="s">
        <v>2515</v>
      </c>
      <c r="T53" s="49" t="s">
        <v>2750</v>
      </c>
    </row>
    <row r="54" spans="1:20">
      <c r="A54" s="49" t="str">
        <f t="shared" si="0"/>
        <v>|RW2||軍勢の集結|3RW|5|GTC|E|||||UPKC　C分1/1|</v>
      </c>
      <c r="B54" s="49" t="s">
        <v>1744</v>
      </c>
      <c r="C54" s="70" t="s">
        <v>2060</v>
      </c>
      <c r="D54" s="113"/>
      <c r="E54" s="34"/>
      <c r="F54" s="55" t="s">
        <v>2921</v>
      </c>
      <c r="G54" s="55" t="s">
        <v>2923</v>
      </c>
      <c r="H54" s="55">
        <v>5</v>
      </c>
      <c r="I54" s="55" t="s">
        <v>2924</v>
      </c>
      <c r="J54" s="55" t="s">
        <v>2925</v>
      </c>
      <c r="K54" s="34"/>
      <c r="L54" s="55"/>
      <c r="M54" s="55"/>
      <c r="N54" s="85"/>
      <c r="O54" s="98" t="s">
        <v>2926</v>
      </c>
      <c r="T54" s="49" t="s">
        <v>2750</v>
      </c>
    </row>
    <row r="55" spans="1:20">
      <c r="A55" s="49" t="str">
        <f t="shared" si="0"/>
        <v>|GU1||もう一人の自分|X2GU|4|SOI|C||||0/0|クローン　X分+1C|</v>
      </c>
      <c r="B55" s="49" t="s">
        <v>1744</v>
      </c>
      <c r="C55" s="70" t="s">
        <v>2235</v>
      </c>
      <c r="D55" s="113"/>
      <c r="E55" s="34"/>
      <c r="F55" s="55" t="s">
        <v>2516</v>
      </c>
      <c r="G55" s="55" t="s">
        <v>2517</v>
      </c>
      <c r="H55" s="55">
        <v>4</v>
      </c>
      <c r="I55" s="55" t="s">
        <v>380</v>
      </c>
      <c r="J55" s="55" t="s">
        <v>923</v>
      </c>
      <c r="K55" s="55"/>
      <c r="L55" s="55"/>
      <c r="M55" s="55"/>
      <c r="N55" s="85" t="s">
        <v>2594</v>
      </c>
      <c r="O55" s="98" t="s">
        <v>2595</v>
      </c>
      <c r="T55" s="49" t="s">
        <v>2750</v>
      </c>
    </row>
    <row r="56" spans="1:20" ht="14.25" thickBot="1">
      <c r="A56" s="49" t="str">
        <f t="shared" si="0"/>
        <v>|GU2||白日の下に|3GU|5|BFZ|S|||||収斂分CMC以下生物/I/S唱|</v>
      </c>
      <c r="B56" s="49" t="s">
        <v>1744</v>
      </c>
      <c r="C56" s="72" t="s">
        <v>2063</v>
      </c>
      <c r="D56" s="114"/>
      <c r="E56" s="73"/>
      <c r="F56" s="54" t="s">
        <v>2936</v>
      </c>
      <c r="G56" s="54" t="s">
        <v>2937</v>
      </c>
      <c r="H56" s="54">
        <v>5</v>
      </c>
      <c r="I56" s="54" t="s">
        <v>2938</v>
      </c>
      <c r="J56" s="54" t="s">
        <v>2918</v>
      </c>
      <c r="K56" s="73"/>
      <c r="L56" s="54"/>
      <c r="M56" s="54"/>
      <c r="N56" s="93"/>
      <c r="O56" s="101" t="s">
        <v>2939</v>
      </c>
      <c r="T56" s="49" t="s">
        <v>2750</v>
      </c>
    </row>
    <row r="57" spans="1:20">
      <c r="A57" s="49" t="str">
        <f t="shared" si="0"/>
        <v>|URW||壊滅させるものヌーマット|3WUR|6|PLC|C|ドラゴン|||6/6|PL戦D与毎中心色払うと能力起動|</v>
      </c>
      <c r="B57" s="49" t="s">
        <v>1744</v>
      </c>
      <c r="C57" s="75" t="s">
        <v>901</v>
      </c>
      <c r="D57" s="125"/>
      <c r="E57" s="66"/>
      <c r="F57" s="66" t="s">
        <v>2395</v>
      </c>
      <c r="G57" s="60" t="s">
        <v>2518</v>
      </c>
      <c r="H57" s="60">
        <v>6</v>
      </c>
      <c r="I57" s="60" t="s">
        <v>353</v>
      </c>
      <c r="J57" s="60" t="s">
        <v>923</v>
      </c>
      <c r="K57" s="66" t="s">
        <v>2653</v>
      </c>
      <c r="L57" s="60"/>
      <c r="M57" s="60"/>
      <c r="N57" s="87" t="s">
        <v>1485</v>
      </c>
      <c r="O57" s="121" t="s">
        <v>2655</v>
      </c>
      <c r="T57" s="49" t="s">
        <v>2750</v>
      </c>
    </row>
    <row r="58" spans="1:20">
      <c r="A58" s="49" t="str">
        <f t="shared" si="0"/>
        <v>|BGU||狩るものヴォラシュ|3UBG|6|PLC|C|ドラゴン|||6/6|PL戦D与毎中心色払うと能力起動|</v>
      </c>
      <c r="B58" s="49" t="s">
        <v>1744</v>
      </c>
      <c r="C58" s="70" t="s">
        <v>903</v>
      </c>
      <c r="D58" s="113"/>
      <c r="E58" s="34"/>
      <c r="F58" s="34" t="s">
        <v>2396</v>
      </c>
      <c r="G58" s="55" t="s">
        <v>2519</v>
      </c>
      <c r="H58" s="55">
        <v>6</v>
      </c>
      <c r="I58" s="55" t="s">
        <v>353</v>
      </c>
      <c r="J58" s="55" t="s">
        <v>923</v>
      </c>
      <c r="K58" s="34" t="s">
        <v>2653</v>
      </c>
      <c r="L58" s="55"/>
      <c r="M58" s="55"/>
      <c r="N58" s="85" t="s">
        <v>1485</v>
      </c>
      <c r="O58" s="98" t="s">
        <v>2655</v>
      </c>
      <c r="T58" s="49" t="s">
        <v>2750</v>
      </c>
    </row>
    <row r="59" spans="1:20">
      <c r="A59" s="49" t="str">
        <f t="shared" si="0"/>
        <v>|RWB||報復するものオロス|3BRW|6|PLC|C|ドラゴン|||6/6|PL戦D与毎中心色払うと能力起動|</v>
      </c>
      <c r="B59" s="49" t="s">
        <v>1744</v>
      </c>
      <c r="C59" s="70" t="s">
        <v>905</v>
      </c>
      <c r="D59" s="113"/>
      <c r="E59" s="34"/>
      <c r="F59" s="34" t="s">
        <v>2397</v>
      </c>
      <c r="G59" s="55" t="s">
        <v>2520</v>
      </c>
      <c r="H59" s="55">
        <v>6</v>
      </c>
      <c r="I59" s="55" t="s">
        <v>353</v>
      </c>
      <c r="J59" s="55" t="s">
        <v>923</v>
      </c>
      <c r="K59" s="34" t="s">
        <v>2653</v>
      </c>
      <c r="L59" s="55"/>
      <c r="M59" s="55"/>
      <c r="N59" s="85" t="s">
        <v>1485</v>
      </c>
      <c r="O59" s="98" t="s">
        <v>2655</v>
      </c>
      <c r="T59" s="49" t="s">
        <v>2750</v>
      </c>
    </row>
    <row r="60" spans="1:20">
      <c r="A60" s="49" t="str">
        <f t="shared" si="0"/>
        <v>|GUR||夢見るものインテット|3RGU|6|PLC|C|ドラゴン|||6/6|PL戦D与毎中心色払うと能力起動|</v>
      </c>
      <c r="B60" s="49" t="s">
        <v>1744</v>
      </c>
      <c r="C60" s="70" t="s">
        <v>907</v>
      </c>
      <c r="D60" s="113"/>
      <c r="E60" s="34"/>
      <c r="F60" s="34" t="s">
        <v>2398</v>
      </c>
      <c r="G60" s="55" t="s">
        <v>2521</v>
      </c>
      <c r="H60" s="55">
        <v>6</v>
      </c>
      <c r="I60" s="55" t="s">
        <v>353</v>
      </c>
      <c r="J60" s="55" t="s">
        <v>923</v>
      </c>
      <c r="K60" s="34" t="s">
        <v>2653</v>
      </c>
      <c r="L60" s="55"/>
      <c r="M60" s="55"/>
      <c r="N60" s="85" t="s">
        <v>1485</v>
      </c>
      <c r="O60" s="98" t="s">
        <v>2655</v>
      </c>
      <c r="T60" s="49" t="s">
        <v>2750</v>
      </c>
    </row>
    <row r="61" spans="1:20">
      <c r="A61" s="49" t="str">
        <f t="shared" si="0"/>
        <v>|WBG||収穫するものテネブ|3GWB|6|PLC|C|ドラゴン|||6/6|PL戦D与毎中心色払うと能力起動|</v>
      </c>
      <c r="B61" s="49" t="s">
        <v>1744</v>
      </c>
      <c r="C61" s="70" t="s">
        <v>899</v>
      </c>
      <c r="D61" s="113"/>
      <c r="E61" s="34"/>
      <c r="F61" s="34" t="s">
        <v>2399</v>
      </c>
      <c r="G61" s="55" t="s">
        <v>2522</v>
      </c>
      <c r="H61" s="55">
        <v>6</v>
      </c>
      <c r="I61" s="55" t="s">
        <v>353</v>
      </c>
      <c r="J61" s="55" t="s">
        <v>923</v>
      </c>
      <c r="K61" s="34" t="s">
        <v>2653</v>
      </c>
      <c r="L61" s="55"/>
      <c r="M61" s="55"/>
      <c r="N61" s="85" t="s">
        <v>1485</v>
      </c>
      <c r="O61" s="98" t="s">
        <v>2655</v>
      </c>
      <c r="T61" s="49" t="s">
        <v>2750</v>
      </c>
    </row>
    <row r="62" spans="1:20" ht="14.25" thickBot="1">
      <c r="A62" s="49" t="str">
        <f t="shared" si="0"/>
        <v>|5C|slv|Slv軍団|WUBRG|5|FUT|C|スリヴァー|||7/7||</v>
      </c>
      <c r="B62" s="49" t="s">
        <v>1744</v>
      </c>
      <c r="C62" s="72" t="s">
        <v>918</v>
      </c>
      <c r="D62" s="114"/>
      <c r="E62" s="73" t="s">
        <v>2103</v>
      </c>
      <c r="F62" s="54" t="s">
        <v>1130</v>
      </c>
      <c r="G62" s="54" t="s">
        <v>1029</v>
      </c>
      <c r="H62" s="54">
        <v>5</v>
      </c>
      <c r="I62" s="54" t="s">
        <v>354</v>
      </c>
      <c r="J62" s="54" t="s">
        <v>923</v>
      </c>
      <c r="K62" s="54" t="s">
        <v>2087</v>
      </c>
      <c r="L62" s="54"/>
      <c r="M62" s="54"/>
      <c r="N62" s="93" t="s">
        <v>2323</v>
      </c>
      <c r="O62" s="11"/>
      <c r="T62" s="49" t="s">
        <v>2750</v>
      </c>
    </row>
    <row r="63" spans="1:20">
      <c r="A63" s="49" t="str">
        <f t="shared" si="0"/>
        <v>|N01||巣石|2|2|TSP|F|||||自軍生物はslv化|</v>
      </c>
      <c r="B63" s="49" t="s">
        <v>1744</v>
      </c>
      <c r="C63" s="67" t="s">
        <v>2236</v>
      </c>
      <c r="D63" s="112"/>
      <c r="E63" s="68"/>
      <c r="F63" s="51" t="s">
        <v>2400</v>
      </c>
      <c r="G63" s="51">
        <v>2</v>
      </c>
      <c r="H63" s="51">
        <v>2</v>
      </c>
      <c r="I63" s="51" t="s">
        <v>352</v>
      </c>
      <c r="J63" s="68" t="s">
        <v>2237</v>
      </c>
      <c r="K63" s="51"/>
      <c r="L63" s="51"/>
      <c r="M63" s="51"/>
      <c r="N63" s="92"/>
      <c r="O63" s="52" t="s">
        <v>2401</v>
      </c>
      <c r="T63" s="49" t="s">
        <v>2750</v>
      </c>
    </row>
    <row r="64" spans="1:20">
      <c r="A64" s="49" t="str">
        <f t="shared" si="0"/>
        <v>|N02||精霊信者の剣|2|2|ORI|F|装備品||||攻毎ランパン　+1/+1　2:装備|</v>
      </c>
      <c r="B64" s="49" t="s">
        <v>1744</v>
      </c>
      <c r="C64" s="70" t="s">
        <v>2066</v>
      </c>
      <c r="D64" s="113"/>
      <c r="E64" s="34"/>
      <c r="F64" s="34" t="s">
        <v>2714</v>
      </c>
      <c r="G64" s="55">
        <v>2</v>
      </c>
      <c r="H64" s="34">
        <v>2</v>
      </c>
      <c r="I64" s="34" t="s">
        <v>2670</v>
      </c>
      <c r="J64" s="34" t="s">
        <v>2237</v>
      </c>
      <c r="K64" s="34" t="s">
        <v>2715</v>
      </c>
      <c r="L64" s="55"/>
      <c r="M64" s="55"/>
      <c r="N64" s="85"/>
      <c r="O64" s="98" t="s">
        <v>2716</v>
      </c>
      <c r="T64" s="49" t="s">
        <v>2750</v>
      </c>
    </row>
    <row r="65" spans="1:20">
      <c r="A65" s="49" t="str">
        <f t="shared" si="0"/>
        <v>|N03||真面目な身代わり|4|4|M12|FC||||2/2|ランパンマン|</v>
      </c>
      <c r="B65" s="49" t="s">
        <v>1744</v>
      </c>
      <c r="C65" s="70" t="s">
        <v>2067</v>
      </c>
      <c r="D65" s="113"/>
      <c r="E65" s="34"/>
      <c r="F65" s="34" t="s">
        <v>2731</v>
      </c>
      <c r="G65" s="55">
        <v>4</v>
      </c>
      <c r="H65" s="34">
        <v>4</v>
      </c>
      <c r="I65" s="34" t="s">
        <v>2732</v>
      </c>
      <c r="J65" s="34" t="s">
        <v>2733</v>
      </c>
      <c r="K65" s="34"/>
      <c r="L65" s="55"/>
      <c r="M65" s="55"/>
      <c r="N65" s="85" t="s">
        <v>2672</v>
      </c>
      <c r="O65" s="106" t="s">
        <v>2734</v>
      </c>
      <c r="T65" s="49" t="s">
        <v>2750</v>
      </c>
    </row>
    <row r="66" spans="1:20" ht="14.25" thickBot="1">
      <c r="A66" s="49" t="str">
        <f t="shared" ref="A66:A92" si="3">B66&amp;C66&amp;B66&amp;E66&amp;B66&amp;F66&amp;B66&amp;G66&amp;B66&amp;H66&amp;B66&amp;I66&amp;B66&amp;J66&amp;B66&amp;K66&amp;B66&amp;L66&amp;B66&amp;M66&amp;B66&amp;N66&amp;B66&amp;O66&amp;B66</f>
        <v>|N04||タミヨウの日誌|5|5|SOI|F|||||UPK調査|</v>
      </c>
      <c r="B66" s="49" t="s">
        <v>1744</v>
      </c>
      <c r="C66" s="72" t="s">
        <v>2068</v>
      </c>
      <c r="D66" s="114"/>
      <c r="E66" s="73"/>
      <c r="F66" s="73" t="s">
        <v>2729</v>
      </c>
      <c r="G66" s="54">
        <v>5</v>
      </c>
      <c r="H66" s="73">
        <v>5</v>
      </c>
      <c r="I66" s="73" t="s">
        <v>2724</v>
      </c>
      <c r="J66" s="73" t="s">
        <v>2237</v>
      </c>
      <c r="K66" s="54"/>
      <c r="L66" s="54"/>
      <c r="M66" s="54"/>
      <c r="N66" s="93"/>
      <c r="O66" s="74" t="s">
        <v>2730</v>
      </c>
      <c r="T66" s="49" t="s">
        <v>2750</v>
      </c>
    </row>
    <row r="67" spans="1:20">
      <c r="A67" s="49" t="str">
        <f t="shared" si="3"/>
        <v>|L01||スリヴァーの巣|||M15|L|||||T:C　T:Slvマナ　5T:1/1Slv|</v>
      </c>
      <c r="B67" s="49" t="s">
        <v>1744</v>
      </c>
      <c r="C67" s="75" t="s">
        <v>2243</v>
      </c>
      <c r="D67" s="125"/>
      <c r="E67" s="66"/>
      <c r="F67" s="60" t="s">
        <v>2403</v>
      </c>
      <c r="G67" s="60"/>
      <c r="H67" s="60"/>
      <c r="I67" s="66" t="s">
        <v>2749</v>
      </c>
      <c r="J67" s="60" t="s">
        <v>249</v>
      </c>
      <c r="K67" s="60"/>
      <c r="L67" s="60"/>
      <c r="M67" s="60"/>
      <c r="N67" s="87"/>
      <c r="O67" s="100" t="s">
        <v>2404</v>
      </c>
      <c r="T67" s="49" t="s">
        <v>2750</v>
      </c>
    </row>
    <row r="68" spans="1:20">
      <c r="A68" s="49" t="str">
        <f t="shared" si="3"/>
        <v>|L02||ニクソス|||THS|L||||||</v>
      </c>
      <c r="B68" s="49" t="s">
        <v>1744</v>
      </c>
      <c r="C68" s="70" t="s">
        <v>2072</v>
      </c>
      <c r="D68" s="113"/>
      <c r="E68" s="34"/>
      <c r="F68" s="55" t="s">
        <v>2402</v>
      </c>
      <c r="G68" s="55"/>
      <c r="H68" s="55"/>
      <c r="I68" s="34" t="s">
        <v>2637</v>
      </c>
      <c r="J68" s="55" t="s">
        <v>249</v>
      </c>
      <c r="K68" s="55"/>
      <c r="L68" s="55"/>
      <c r="M68" s="55"/>
      <c r="N68" s="85"/>
      <c r="O68" s="57"/>
      <c r="T68" s="49" t="s">
        <v>2750</v>
      </c>
    </row>
    <row r="69" spans="1:20">
      <c r="A69" s="49" t="str">
        <f t="shared" si="3"/>
        <v>|L03||墨蛾の生息地|||MBS|L||||||</v>
      </c>
      <c r="B69" s="49" t="s">
        <v>1744</v>
      </c>
      <c r="C69" s="70" t="s">
        <v>2073</v>
      </c>
      <c r="D69" s="113"/>
      <c r="E69" s="34"/>
      <c r="F69" s="34" t="s">
        <v>1260</v>
      </c>
      <c r="G69" s="55"/>
      <c r="H69" s="55"/>
      <c r="I69" s="34" t="s">
        <v>2689</v>
      </c>
      <c r="J69" s="55" t="s">
        <v>249</v>
      </c>
      <c r="K69" s="55"/>
      <c r="L69" s="55"/>
      <c r="M69" s="55"/>
      <c r="N69" s="85"/>
      <c r="O69" s="57"/>
      <c r="T69" s="49" t="s">
        <v>2750</v>
      </c>
    </row>
    <row r="70" spans="1:20">
      <c r="A70" s="49" t="str">
        <f t="shared" si="3"/>
        <v>|L04||マナの合流点|||JOU|L||||||</v>
      </c>
      <c r="B70" s="49" t="s">
        <v>1744</v>
      </c>
      <c r="C70" s="70" t="s">
        <v>2074</v>
      </c>
      <c r="D70" s="113"/>
      <c r="E70" s="34"/>
      <c r="F70" s="34" t="s">
        <v>2640</v>
      </c>
      <c r="G70" s="55"/>
      <c r="H70" s="55"/>
      <c r="I70" s="55" t="s">
        <v>2737</v>
      </c>
      <c r="J70" s="34" t="s">
        <v>249</v>
      </c>
      <c r="K70" s="55"/>
      <c r="L70" s="55"/>
      <c r="M70" s="55"/>
      <c r="N70" s="85"/>
      <c r="O70" s="57"/>
      <c r="T70" s="49" t="s">
        <v>2750</v>
      </c>
    </row>
    <row r="71" spans="1:20" ht="14.25" thickBot="1">
      <c r="A71" s="49" t="str">
        <f t="shared" si="3"/>
        <v>|L05||戦の大聖堂|||M13|L||||||</v>
      </c>
      <c r="B71" s="49" t="s">
        <v>1744</v>
      </c>
      <c r="C71" s="72" t="s">
        <v>2075</v>
      </c>
      <c r="D71" s="114"/>
      <c r="E71" s="73"/>
      <c r="F71" s="73" t="s">
        <v>2728</v>
      </c>
      <c r="G71" s="54"/>
      <c r="H71" s="54"/>
      <c r="I71" s="54" t="s">
        <v>2748</v>
      </c>
      <c r="J71" s="73" t="s">
        <v>249</v>
      </c>
      <c r="K71" s="54"/>
      <c r="L71" s="54"/>
      <c r="M71" s="54"/>
      <c r="N71" s="93"/>
      <c r="O71" s="11"/>
      <c r="T71" s="49" t="s">
        <v>2750</v>
      </c>
    </row>
    <row r="72" spans="1:20" ht="14.25" thickBot="1">
      <c r="A72" s="49" t="str">
        <f t="shared" si="3"/>
        <v/>
      </c>
      <c r="T72" s="49" t="s">
        <v>2750</v>
      </c>
    </row>
    <row r="73" spans="1:20">
      <c r="A73" s="49" t="str">
        <f t="shared" si="3"/>
        <v>|MW1||永岩城の君主、今田|5WW|7|CHK|C|人間|侍||.3/3|伝説　破壊不能　警戒　武5|</v>
      </c>
      <c r="B73" s="49" t="s">
        <v>2570</v>
      </c>
      <c r="C73" s="50" t="s">
        <v>2543</v>
      </c>
      <c r="D73" s="109"/>
      <c r="E73" s="51"/>
      <c r="F73" s="51" t="s">
        <v>1181</v>
      </c>
      <c r="G73" s="51" t="s">
        <v>1186</v>
      </c>
      <c r="H73" s="51">
        <v>7</v>
      </c>
      <c r="I73" s="51" t="s">
        <v>347</v>
      </c>
      <c r="J73" s="51" t="s">
        <v>923</v>
      </c>
      <c r="K73" s="51" t="s">
        <v>1195</v>
      </c>
      <c r="L73" s="51" t="s">
        <v>1149</v>
      </c>
      <c r="M73" s="51"/>
      <c r="N73" s="51" t="s">
        <v>1753</v>
      </c>
      <c r="O73" s="95" t="s">
        <v>2578</v>
      </c>
      <c r="T73" s="49" t="s">
        <v>2750</v>
      </c>
    </row>
    <row r="74" spans="1:20">
      <c r="A74" s="49" t="str">
        <f t="shared" si="3"/>
        <v>|MW2||黄金たてがみのアジャニ||||PW|アジャニ|||||</v>
      </c>
      <c r="B74" s="49" t="s">
        <v>2570</v>
      </c>
      <c r="C74" s="56" t="s">
        <v>2544</v>
      </c>
      <c r="D74" s="110"/>
      <c r="E74" s="55"/>
      <c r="F74" s="55" t="s">
        <v>2545</v>
      </c>
      <c r="G74" s="55"/>
      <c r="H74" s="55"/>
      <c r="I74" s="55"/>
      <c r="J74" s="55" t="s">
        <v>2567</v>
      </c>
      <c r="K74" s="55" t="s">
        <v>2705</v>
      </c>
      <c r="L74" s="55"/>
      <c r="M74" s="55"/>
      <c r="N74" s="85"/>
      <c r="O74" s="57"/>
      <c r="T74" s="49" t="s">
        <v>2750</v>
      </c>
    </row>
    <row r="75" spans="1:20">
      <c r="A75" s="49" t="str">
        <f t="shared" si="3"/>
        <v>|MU1||波使い|3U|4|THS|C|マーフォーク|||2/1|プロ赤　Elロード　信心分1/0El|</v>
      </c>
      <c r="B75" s="49" t="s">
        <v>2570</v>
      </c>
      <c r="C75" s="56" t="s">
        <v>2546</v>
      </c>
      <c r="D75" s="110"/>
      <c r="E75" s="55"/>
      <c r="F75" s="55" t="s">
        <v>1929</v>
      </c>
      <c r="G75" s="55" t="s">
        <v>2573</v>
      </c>
      <c r="H75" s="55">
        <v>4</v>
      </c>
      <c r="I75" s="55" t="s">
        <v>2577</v>
      </c>
      <c r="J75" s="55" t="s">
        <v>923</v>
      </c>
      <c r="K75" s="55" t="s">
        <v>2574</v>
      </c>
      <c r="L75" s="55"/>
      <c r="M75" s="55"/>
      <c r="N75" s="85" t="s">
        <v>2575</v>
      </c>
      <c r="O75" s="104" t="s">
        <v>2576</v>
      </c>
      <c r="T75" s="49" t="s">
        <v>2750</v>
      </c>
    </row>
    <row r="76" spans="1:20">
      <c r="A76" s="49" t="str">
        <f t="shared" si="3"/>
        <v>|MU2||ジェイス・ベレレン|1UU|3||PW|ジェイス|||||</v>
      </c>
      <c r="B76" s="49" t="s">
        <v>2570</v>
      </c>
      <c r="C76" s="56" t="s">
        <v>2547</v>
      </c>
      <c r="D76" s="110"/>
      <c r="E76" s="55"/>
      <c r="F76" s="55" t="s">
        <v>2548</v>
      </c>
      <c r="G76" s="55" t="s">
        <v>2579</v>
      </c>
      <c r="H76" s="55">
        <v>3</v>
      </c>
      <c r="I76" s="55"/>
      <c r="J76" s="55" t="s">
        <v>2567</v>
      </c>
      <c r="K76" s="55" t="s">
        <v>2706</v>
      </c>
      <c r="L76" s="55"/>
      <c r="M76" s="55"/>
      <c r="N76" s="85"/>
      <c r="O76" s="57"/>
      <c r="T76" s="49" t="s">
        <v>2750</v>
      </c>
    </row>
    <row r="77" spans="1:20">
      <c r="A77" s="49" t="str">
        <f t="shared" si="3"/>
        <v>|MB1||荒廃のﾄﾞﾗｺﾞﾝ､ｽｷｼﾞﾘｸｽ|3BB|5|SOM|C|ドラゴン|スケルトン||.4/4|伝説飛行　B：速攻　BB：再生|</v>
      </c>
      <c r="B77" s="49" t="s">
        <v>2570</v>
      </c>
      <c r="C77" s="56" t="s">
        <v>2549</v>
      </c>
      <c r="D77" s="110"/>
      <c r="E77" s="55"/>
      <c r="F77" s="55" t="s">
        <v>1403</v>
      </c>
      <c r="G77" s="55" t="s">
        <v>1404</v>
      </c>
      <c r="H77" s="55">
        <v>5</v>
      </c>
      <c r="I77" s="55" t="s">
        <v>364</v>
      </c>
      <c r="J77" s="55" t="s">
        <v>923</v>
      </c>
      <c r="K77" s="55" t="s">
        <v>2387</v>
      </c>
      <c r="L77" s="55" t="s">
        <v>2392</v>
      </c>
      <c r="M77" s="55"/>
      <c r="N77" s="55" t="s">
        <v>1756</v>
      </c>
      <c r="O77" s="57" t="s">
        <v>1349</v>
      </c>
      <c r="T77" s="49" t="s">
        <v>2750</v>
      </c>
    </row>
    <row r="78" spans="1:20">
      <c r="A78" s="49" t="str">
        <f t="shared" si="3"/>
        <v>|MB2||リリアナ・ヴェス||||PW|リリアナ|||||</v>
      </c>
      <c r="B78" s="49" t="s">
        <v>2570</v>
      </c>
      <c r="C78" s="56" t="s">
        <v>2550</v>
      </c>
      <c r="D78" s="110"/>
      <c r="E78" s="55"/>
      <c r="F78" s="55" t="s">
        <v>2551</v>
      </c>
      <c r="G78" s="55"/>
      <c r="H78" s="55"/>
      <c r="I78" s="55"/>
      <c r="J78" s="55" t="s">
        <v>2567</v>
      </c>
      <c r="K78" s="55" t="s">
        <v>2707</v>
      </c>
      <c r="L78" s="55"/>
      <c r="M78" s="55"/>
      <c r="N78" s="85"/>
      <c r="O78" s="57"/>
      <c r="T78" s="49" t="s">
        <v>2750</v>
      </c>
    </row>
    <row r="79" spans="1:20">
      <c r="A79" s="49" t="str">
        <f t="shared" si="3"/>
        <v>|MR1||忌むべき者のかがり火|XXR|3|AVR|S|||||敵&amp;敵軍X点　XR:奇跡|</v>
      </c>
      <c r="B79" s="49" t="s">
        <v>2570</v>
      </c>
      <c r="C79" s="56" t="s">
        <v>2552</v>
      </c>
      <c r="D79" s="110"/>
      <c r="E79" s="55"/>
      <c r="F79" s="55" t="s">
        <v>2649</v>
      </c>
      <c r="G79" s="55" t="s">
        <v>2652</v>
      </c>
      <c r="H79" s="55">
        <v>3</v>
      </c>
      <c r="I79" s="55" t="s">
        <v>2650</v>
      </c>
      <c r="J79" s="55" t="s">
        <v>1501</v>
      </c>
      <c r="K79" s="55"/>
      <c r="L79" s="55"/>
      <c r="M79" s="55"/>
      <c r="N79" s="85"/>
      <c r="O79" s="57" t="s">
        <v>2651</v>
      </c>
      <c r="T79" s="49" t="s">
        <v>2750</v>
      </c>
    </row>
    <row r="80" spans="1:20">
      <c r="A80" s="49" t="str">
        <f t="shared" si="3"/>
        <v>|MR2||チャンドラ・ナラー||||PW|チャンドラ|||||</v>
      </c>
      <c r="B80" s="49" t="s">
        <v>2570</v>
      </c>
      <c r="C80" s="56" t="s">
        <v>2553</v>
      </c>
      <c r="D80" s="110"/>
      <c r="E80" s="55"/>
      <c r="F80" s="55" t="s">
        <v>2554</v>
      </c>
      <c r="G80" s="55"/>
      <c r="H80" s="55"/>
      <c r="I80" s="55"/>
      <c r="J80" s="55" t="s">
        <v>2567</v>
      </c>
      <c r="K80" s="55" t="s">
        <v>2708</v>
      </c>
      <c r="L80" s="55"/>
      <c r="M80" s="55"/>
      <c r="N80" s="85"/>
      <c r="O80" s="57"/>
      <c r="T80" s="49" t="s">
        <v>2750</v>
      </c>
    </row>
    <row r="81" spans="1:20">
      <c r="A81" s="49" t="str">
        <f t="shared" si="3"/>
        <v>|MG1||世界を喰らう者、ポルクラノス|2GG|4|THS|C|ハイドラ|||4/4|伝説　貫通　怪物的XXG|</v>
      </c>
      <c r="B81" s="49" t="s">
        <v>2570</v>
      </c>
      <c r="C81" s="56" t="s">
        <v>2555</v>
      </c>
      <c r="D81" s="110"/>
      <c r="E81" s="55"/>
      <c r="F81" s="55" t="s">
        <v>2556</v>
      </c>
      <c r="G81" s="55" t="s">
        <v>2636</v>
      </c>
      <c r="H81" s="55">
        <v>4</v>
      </c>
      <c r="I81" s="55" t="s">
        <v>2637</v>
      </c>
      <c r="J81" s="55" t="s">
        <v>923</v>
      </c>
      <c r="K81" s="55" t="s">
        <v>2638</v>
      </c>
      <c r="L81" s="55"/>
      <c r="M81" s="55"/>
      <c r="N81" s="85" t="s">
        <v>2626</v>
      </c>
      <c r="O81" s="57" t="s">
        <v>2639</v>
      </c>
      <c r="T81" s="49" t="s">
        <v>2750</v>
      </c>
    </row>
    <row r="82" spans="1:20" ht="14.25" thickBot="1">
      <c r="A82" s="49" t="str">
        <f t="shared" si="3"/>
        <v>|MG2||野生語りのガラク||||PW|ガラク|||||</v>
      </c>
      <c r="B82" s="49" t="s">
        <v>2570</v>
      </c>
      <c r="C82" s="53" t="s">
        <v>2557</v>
      </c>
      <c r="D82" s="111"/>
      <c r="E82" s="54"/>
      <c r="F82" s="54" t="s">
        <v>2558</v>
      </c>
      <c r="G82" s="54"/>
      <c r="H82" s="54"/>
      <c r="I82" s="54"/>
      <c r="J82" s="54" t="s">
        <v>2567</v>
      </c>
      <c r="K82" s="54" t="s">
        <v>2709</v>
      </c>
      <c r="L82" s="54"/>
      <c r="M82" s="54"/>
      <c r="N82" s="93"/>
      <c r="O82" s="11"/>
      <c r="T82" s="49" t="s">
        <v>2750</v>
      </c>
    </row>
    <row r="83" spans="1:20">
      <c r="A83" s="49" t="str">
        <f t="shared" si="3"/>
        <v>|MWU||スフィンクスの啓示|XWUU|4|RTR|I|||||X泥　X回復|</v>
      </c>
      <c r="B83" s="49" t="s">
        <v>2570</v>
      </c>
      <c r="C83" s="99" t="s">
        <v>2559</v>
      </c>
      <c r="D83" s="117"/>
      <c r="E83" s="60"/>
      <c r="F83" s="60" t="s">
        <v>830</v>
      </c>
      <c r="G83" s="60" t="s">
        <v>2581</v>
      </c>
      <c r="H83" s="60">
        <v>4</v>
      </c>
      <c r="I83" s="60" t="s">
        <v>2582</v>
      </c>
      <c r="J83" s="60" t="s">
        <v>1490</v>
      </c>
      <c r="K83" s="60"/>
      <c r="L83" s="60"/>
      <c r="M83" s="60"/>
      <c r="N83" s="87"/>
      <c r="O83" s="100" t="s">
        <v>2583</v>
      </c>
      <c r="T83" s="49" t="s">
        <v>2750</v>
      </c>
    </row>
    <row r="84" spans="1:20">
      <c r="A84" s="49" t="str">
        <f t="shared" si="3"/>
        <v>|MBR||ファルケンラスの貴種|2BR|4|DKA|C|吸血鬼|||4/1|伝説　飛行　CS:破壊不能|</v>
      </c>
      <c r="B84" s="49" t="s">
        <v>2570</v>
      </c>
      <c r="C84" s="56" t="s">
        <v>2560</v>
      </c>
      <c r="D84" s="110"/>
      <c r="E84" s="55"/>
      <c r="F84" s="55" t="s">
        <v>2632</v>
      </c>
      <c r="G84" s="55" t="s">
        <v>2634</v>
      </c>
      <c r="H84" s="55">
        <v>4</v>
      </c>
      <c r="I84" s="55" t="s">
        <v>2635</v>
      </c>
      <c r="J84" s="55" t="s">
        <v>923</v>
      </c>
      <c r="K84" s="55" t="s">
        <v>2625</v>
      </c>
      <c r="L84" s="55"/>
      <c r="M84" s="55"/>
      <c r="N84" s="85" t="s">
        <v>2633</v>
      </c>
      <c r="O84" s="57" t="s">
        <v>2580</v>
      </c>
      <c r="T84" s="49" t="s">
        <v>2750</v>
      </c>
    </row>
    <row r="85" spans="1:20">
      <c r="A85" s="49" t="str">
        <f t="shared" si="3"/>
        <v>|MRG||強欲なるスロモック|3RG|5|PC2|C|ヘリオン|||0/0|伝説　貪食X|</v>
      </c>
      <c r="B85" s="49" t="s">
        <v>2570</v>
      </c>
      <c r="C85" s="56" t="s">
        <v>2561</v>
      </c>
      <c r="D85" s="110"/>
      <c r="E85" s="55"/>
      <c r="F85" s="55" t="s">
        <v>2627</v>
      </c>
      <c r="G85" s="55" t="s">
        <v>2628</v>
      </c>
      <c r="H85" s="55">
        <v>5</v>
      </c>
      <c r="I85" s="55" t="s">
        <v>2630</v>
      </c>
      <c r="J85" s="55" t="s">
        <v>923</v>
      </c>
      <c r="K85" s="55" t="s">
        <v>2629</v>
      </c>
      <c r="L85" s="55"/>
      <c r="M85" s="55"/>
      <c r="N85" s="85" t="s">
        <v>2631</v>
      </c>
      <c r="O85" s="57" t="s">
        <v>2698</v>
      </c>
      <c r="T85" s="49" t="s">
        <v>2750</v>
      </c>
    </row>
    <row r="86" spans="1:20">
      <c r="A86" s="49" t="str">
        <f t="shared" si="3"/>
        <v>|MGW||ミラーリの目覚め|3GW|5|CON|E|||||アンセム　マナ倍加|</v>
      </c>
      <c r="B86" s="49" t="s">
        <v>2570</v>
      </c>
      <c r="C86" s="56" t="s">
        <v>2562</v>
      </c>
      <c r="D86" s="110"/>
      <c r="E86" s="55"/>
      <c r="F86" s="55" t="s">
        <v>2719</v>
      </c>
      <c r="G86" s="55" t="s">
        <v>2720</v>
      </c>
      <c r="H86" s="55">
        <v>5</v>
      </c>
      <c r="I86" s="55" t="s">
        <v>2703</v>
      </c>
      <c r="J86" s="55" t="s">
        <v>2662</v>
      </c>
      <c r="K86" s="55"/>
      <c r="L86" s="55"/>
      <c r="M86" s="55"/>
      <c r="N86" s="85"/>
      <c r="O86" s="57" t="s">
        <v>2721</v>
      </c>
      <c r="T86" s="49" t="s">
        <v>2750</v>
      </c>
    </row>
    <row r="87" spans="1:20">
      <c r="A87" s="49" t="str">
        <f t="shared" si="3"/>
        <v>|MWB||ヴィズコーパの血男爵|3WB|5|GTC|C|吸血鬼|||4/4|プロ白黒　絆魂|</v>
      </c>
      <c r="B87" s="49" t="s">
        <v>2570</v>
      </c>
      <c r="C87" s="56" t="s">
        <v>2563</v>
      </c>
      <c r="D87" s="110"/>
      <c r="E87" s="55"/>
      <c r="F87" s="55" t="s">
        <v>2623</v>
      </c>
      <c r="G87" s="55" t="s">
        <v>2624</v>
      </c>
      <c r="H87" s="55">
        <v>5</v>
      </c>
      <c r="I87" s="55" t="s">
        <v>2614</v>
      </c>
      <c r="J87" s="55" t="s">
        <v>923</v>
      </c>
      <c r="K87" s="55" t="s">
        <v>2625</v>
      </c>
      <c r="L87" s="55"/>
      <c r="M87" s="55"/>
      <c r="N87" s="85" t="s">
        <v>2626</v>
      </c>
      <c r="O87" s="57" t="s">
        <v>2571</v>
      </c>
      <c r="T87" s="49" t="s">
        <v>2750</v>
      </c>
    </row>
    <row r="88" spans="1:20">
      <c r="A88" s="49" t="str">
        <f t="shared" si="3"/>
        <v>|MBG||ギトラグの怪物|3BG|5|SOI|C|カエル|ホラー||6/6|接死　土地加速　UPK土地S|</v>
      </c>
      <c r="B88" s="49" t="s">
        <v>2570</v>
      </c>
      <c r="C88" s="56" t="s">
        <v>2564</v>
      </c>
      <c r="D88" s="110"/>
      <c r="E88" s="55"/>
      <c r="F88" s="55" t="s">
        <v>2722</v>
      </c>
      <c r="G88" s="55" t="s">
        <v>2723</v>
      </c>
      <c r="H88" s="55">
        <v>5</v>
      </c>
      <c r="I88" s="55" t="s">
        <v>2724</v>
      </c>
      <c r="J88" s="55" t="s">
        <v>2615</v>
      </c>
      <c r="K88" s="55" t="s">
        <v>2725</v>
      </c>
      <c r="L88" s="55" t="s">
        <v>2726</v>
      </c>
      <c r="M88" s="55"/>
      <c r="N88" s="85" t="s">
        <v>2654</v>
      </c>
      <c r="O88" s="57" t="s">
        <v>2727</v>
      </c>
      <c r="T88" s="49" t="s">
        <v>2750</v>
      </c>
    </row>
    <row r="89" spans="1:20">
      <c r="A89" s="49" t="str">
        <f t="shared" si="3"/>
        <v>|MRW||戦導者オレリア|2RRWW|6|GTC|C|天使|||3/4|伝説飛行警戒速攻　T初攻撃で自軍UT追加攻撃|</v>
      </c>
      <c r="B89" s="49" t="s">
        <v>2570</v>
      </c>
      <c r="C89" s="56" t="s">
        <v>2565</v>
      </c>
      <c r="D89" s="110"/>
      <c r="E89" s="55"/>
      <c r="F89" s="55" t="s">
        <v>2612</v>
      </c>
      <c r="G89" s="55" t="s">
        <v>2613</v>
      </c>
      <c r="H89" s="55">
        <v>6</v>
      </c>
      <c r="I89" s="55" t="s">
        <v>2614</v>
      </c>
      <c r="J89" s="55" t="s">
        <v>923</v>
      </c>
      <c r="K89" s="55" t="s">
        <v>2616</v>
      </c>
      <c r="L89" s="55"/>
      <c r="M89" s="55"/>
      <c r="N89" s="85" t="s">
        <v>2617</v>
      </c>
      <c r="O89" s="57" t="s">
        <v>2699</v>
      </c>
      <c r="T89" s="49" t="s">
        <v>2750</v>
      </c>
    </row>
    <row r="90" spans="1:20">
      <c r="A90" s="49" t="str">
        <f t="shared" si="3"/>
        <v>|MGU||練達の生術師|2GU|4|GTC|C|エルフ|ウィザード||2/4|後続+1CX乗　X=自P|</v>
      </c>
      <c r="B90" s="49" t="s">
        <v>2570</v>
      </c>
      <c r="C90" s="56" t="s">
        <v>2566</v>
      </c>
      <c r="D90" s="110"/>
      <c r="E90" s="55"/>
      <c r="F90" s="55" t="s">
        <v>2618</v>
      </c>
      <c r="G90" s="55" t="s">
        <v>2619</v>
      </c>
      <c r="H90" s="55">
        <v>4</v>
      </c>
      <c r="I90" s="55" t="s">
        <v>2614</v>
      </c>
      <c r="J90" s="55" t="s">
        <v>923</v>
      </c>
      <c r="K90" s="55" t="s">
        <v>2620</v>
      </c>
      <c r="L90" s="55" t="s">
        <v>2621</v>
      </c>
      <c r="M90" s="55"/>
      <c r="N90" s="85" t="s">
        <v>2622</v>
      </c>
      <c r="O90" s="57" t="s">
        <v>2572</v>
      </c>
      <c r="T90" s="49" t="s">
        <v>2750</v>
      </c>
    </row>
    <row r="91" spans="1:20">
      <c r="A91" s="49" t="str">
        <f t="shared" si="3"/>
        <v>|UBR||プレインズウォーカー、二コル・ボーラス|3UBBR|7|CON|PW|ボーラス|||||</v>
      </c>
      <c r="B91" s="49" t="s">
        <v>2570</v>
      </c>
      <c r="C91" s="56" t="s">
        <v>2700</v>
      </c>
      <c r="D91" s="110"/>
      <c r="E91" s="55"/>
      <c r="F91" s="55" t="s">
        <v>2701</v>
      </c>
      <c r="G91" s="55" t="s">
        <v>2702</v>
      </c>
      <c r="H91" s="55">
        <v>7</v>
      </c>
      <c r="I91" s="55" t="s">
        <v>2703</v>
      </c>
      <c r="J91" s="55" t="s">
        <v>2704</v>
      </c>
      <c r="K91" s="55" t="s">
        <v>2710</v>
      </c>
      <c r="L91" s="55"/>
      <c r="M91" s="55"/>
      <c r="N91" s="85"/>
      <c r="O91" s="57"/>
      <c r="T91" s="49" t="s">
        <v>2750</v>
      </c>
    </row>
    <row r="92" spans="1:20" ht="14.25" thickBot="1">
      <c r="A92" s="49" t="str">
        <f t="shared" si="3"/>
        <v>|MN1||紅蓮術士のゴーグル|5|5|ORI|F||||||</v>
      </c>
      <c r="B92" s="49" t="s">
        <v>2570</v>
      </c>
      <c r="C92" s="53" t="s">
        <v>2711</v>
      </c>
      <c r="D92" s="111"/>
      <c r="E92" s="54"/>
      <c r="F92" s="54" t="s">
        <v>2718</v>
      </c>
      <c r="G92" s="54">
        <v>5</v>
      </c>
      <c r="H92" s="54">
        <v>5</v>
      </c>
      <c r="I92" s="54" t="s">
        <v>2646</v>
      </c>
      <c r="J92" s="54" t="s">
        <v>2717</v>
      </c>
      <c r="K92" s="54"/>
      <c r="L92" s="54"/>
      <c r="M92" s="54"/>
      <c r="N92" s="93"/>
      <c r="O92" s="11"/>
      <c r="T92" s="49" t="s">
        <v>2750</v>
      </c>
    </row>
    <row r="93" spans="1:20">
      <c r="T93" s="49" t="s">
        <v>2750</v>
      </c>
    </row>
  </sheetData>
  <phoneticPr fontId="1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F90"/>
  <sheetViews>
    <sheetView topLeftCell="J1" workbookViewId="0">
      <selection activeCell="R2" sqref="R2"/>
    </sheetView>
  </sheetViews>
  <sheetFormatPr defaultRowHeight="13.5"/>
  <cols>
    <col min="1" max="26" width="4" style="25" customWidth="1"/>
    <col min="27" max="27" width="4.375" style="25" customWidth="1"/>
    <col min="28" max="28" width="3.75" style="25" bestFit="1" customWidth="1"/>
    <col min="29" max="29" width="2.75" style="25" bestFit="1" customWidth="1"/>
    <col min="30" max="30" width="3.5" style="25" bestFit="1" customWidth="1"/>
    <col min="31" max="31" width="4.5" style="25" bestFit="1" customWidth="1"/>
    <col min="32" max="32" width="5.5" style="25" customWidth="1"/>
    <col min="33" max="16384" width="9" style="25"/>
  </cols>
  <sheetData>
    <row r="1" spans="2:30">
      <c r="E1" s="25" t="s">
        <v>1245</v>
      </c>
      <c r="F1" s="25" t="s">
        <v>1246</v>
      </c>
      <c r="G1" s="25" t="s">
        <v>1247</v>
      </c>
    </row>
    <row r="2" spans="2:30">
      <c r="C2" s="25" t="s">
        <v>1240</v>
      </c>
      <c r="E2" s="25" t="s">
        <v>1254</v>
      </c>
    </row>
    <row r="3" spans="2:30">
      <c r="C3" s="25" t="s">
        <v>1241</v>
      </c>
      <c r="E3" s="25" t="s">
        <v>1931</v>
      </c>
    </row>
    <row r="4" spans="2:30">
      <c r="C4" s="25" t="s">
        <v>1242</v>
      </c>
      <c r="E4" s="25" t="s">
        <v>1932</v>
      </c>
    </row>
    <row r="5" spans="2:30">
      <c r="C5" s="25" t="s">
        <v>1243</v>
      </c>
      <c r="E5" s="25" t="s">
        <v>1763</v>
      </c>
    </row>
    <row r="6" spans="2:30">
      <c r="C6" s="25" t="s">
        <v>1244</v>
      </c>
      <c r="E6" s="25" t="s">
        <v>1933</v>
      </c>
      <c r="G6" s="25" t="s">
        <v>1252</v>
      </c>
      <c r="I6" s="25" t="s">
        <v>148</v>
      </c>
      <c r="K6" s="25" t="s">
        <v>1239</v>
      </c>
      <c r="M6" s="25" t="s">
        <v>40</v>
      </c>
      <c r="Q6" s="25" t="s">
        <v>1252</v>
      </c>
      <c r="S6" s="25" t="s">
        <v>148</v>
      </c>
      <c r="U6" s="25" t="s">
        <v>1239</v>
      </c>
      <c r="W6" s="25" t="s">
        <v>40</v>
      </c>
      <c r="AA6" s="25" t="s">
        <v>1934</v>
      </c>
    </row>
    <row r="7" spans="2:30">
      <c r="G7" s="25">
        <v>20</v>
      </c>
      <c r="H7" s="25" t="s">
        <v>1253</v>
      </c>
      <c r="I7" s="25">
        <v>11</v>
      </c>
      <c r="J7" s="25" t="s">
        <v>1253</v>
      </c>
      <c r="K7" s="25">
        <v>9</v>
      </c>
      <c r="L7" s="25" t="s">
        <v>1253</v>
      </c>
      <c r="M7" s="25">
        <v>3</v>
      </c>
      <c r="N7" s="25" t="s">
        <v>1253</v>
      </c>
      <c r="Q7" s="25">
        <v>4</v>
      </c>
      <c r="R7" s="25" t="s">
        <v>1253</v>
      </c>
      <c r="S7" s="25">
        <v>3</v>
      </c>
      <c r="T7" s="25" t="s">
        <v>1253</v>
      </c>
      <c r="U7" s="25">
        <v>1</v>
      </c>
      <c r="V7" s="25" t="s">
        <v>1253</v>
      </c>
      <c r="W7" s="25">
        <v>1</v>
      </c>
      <c r="X7" s="25" t="s">
        <v>1253</v>
      </c>
      <c r="AA7" s="25" t="s">
        <v>1739</v>
      </c>
      <c r="AB7" s="25" t="s">
        <v>1935</v>
      </c>
      <c r="AC7" s="25" t="s">
        <v>1936</v>
      </c>
      <c r="AD7" s="25" t="s">
        <v>1954</v>
      </c>
    </row>
    <row r="8" spans="2:30">
      <c r="F8" s="25" t="s">
        <v>1248</v>
      </c>
      <c r="G8" s="25">
        <v>4</v>
      </c>
      <c r="H8" s="25">
        <v>3</v>
      </c>
      <c r="I8" s="25">
        <v>2</v>
      </c>
      <c r="J8" s="25">
        <v>1</v>
      </c>
      <c r="K8" s="25">
        <v>2</v>
      </c>
      <c r="L8" s="25">
        <v>1</v>
      </c>
      <c r="M8" s="25">
        <v>1</v>
      </c>
      <c r="N8" s="25">
        <v>1</v>
      </c>
      <c r="P8" s="25" t="s">
        <v>1407</v>
      </c>
      <c r="Q8" s="25">
        <v>2</v>
      </c>
      <c r="R8" s="25">
        <v>2</v>
      </c>
      <c r="S8" s="25">
        <v>1</v>
      </c>
      <c r="T8" s="25">
        <v>1</v>
      </c>
      <c r="U8" s="25">
        <v>1</v>
      </c>
      <c r="V8" s="25">
        <v>1</v>
      </c>
      <c r="W8" s="25">
        <v>1</v>
      </c>
      <c r="X8" s="25">
        <v>1</v>
      </c>
      <c r="AA8" s="25" t="s">
        <v>1741</v>
      </c>
      <c r="AB8" s="25" t="s">
        <v>1937</v>
      </c>
      <c r="AC8" s="25" t="s">
        <v>1938</v>
      </c>
    </row>
    <row r="9" spans="2:30">
      <c r="F9" s="25" t="s">
        <v>1249</v>
      </c>
      <c r="G9" s="25">
        <v>4</v>
      </c>
      <c r="H9" s="25">
        <v>3</v>
      </c>
      <c r="I9" s="25">
        <v>2</v>
      </c>
      <c r="J9" s="25">
        <v>1</v>
      </c>
      <c r="K9" s="25">
        <v>2</v>
      </c>
      <c r="L9" s="25">
        <v>1</v>
      </c>
      <c r="M9" s="25">
        <v>1</v>
      </c>
      <c r="N9" s="25">
        <v>1</v>
      </c>
      <c r="P9" s="25" t="s">
        <v>1194</v>
      </c>
      <c r="AA9" s="25" t="s">
        <v>1743</v>
      </c>
      <c r="AB9" s="25" t="s">
        <v>1939</v>
      </c>
      <c r="AC9" s="25" t="s">
        <v>1940</v>
      </c>
    </row>
    <row r="10" spans="2:30">
      <c r="F10" s="25" t="s">
        <v>1250</v>
      </c>
      <c r="G10" s="25">
        <v>3</v>
      </c>
      <c r="H10" s="25">
        <v>2</v>
      </c>
      <c r="I10" s="25">
        <v>1</v>
      </c>
      <c r="J10" s="25">
        <v>1</v>
      </c>
      <c r="K10" s="25">
        <v>1</v>
      </c>
      <c r="P10" s="25" t="s">
        <v>1193</v>
      </c>
      <c r="S10" s="25">
        <v>1</v>
      </c>
      <c r="T10" s="25">
        <v>1</v>
      </c>
      <c r="AA10" s="25" t="s">
        <v>1740</v>
      </c>
      <c r="AB10" s="25" t="s">
        <v>1941</v>
      </c>
      <c r="AC10" s="25" t="s">
        <v>1942</v>
      </c>
      <c r="AD10" s="25" t="s">
        <v>1955</v>
      </c>
    </row>
    <row r="11" spans="2:30">
      <c r="F11" s="25" t="s">
        <v>1194</v>
      </c>
      <c r="G11" s="25">
        <v>4</v>
      </c>
      <c r="I11" s="25">
        <v>3</v>
      </c>
      <c r="K11" s="25">
        <v>1</v>
      </c>
      <c r="P11" s="25" t="s">
        <v>1251</v>
      </c>
      <c r="Q11" s="25">
        <v>2</v>
      </c>
      <c r="S11" s="25">
        <v>1</v>
      </c>
      <c r="AA11" s="25" t="s">
        <v>1742</v>
      </c>
      <c r="AB11" s="25" t="s">
        <v>1943</v>
      </c>
      <c r="AC11" s="25" t="s">
        <v>1944</v>
      </c>
      <c r="AD11" s="25" t="s">
        <v>1953</v>
      </c>
    </row>
    <row r="12" spans="2:30">
      <c r="E12" s="25">
        <v>38</v>
      </c>
      <c r="F12" s="25" t="s">
        <v>1193</v>
      </c>
      <c r="G12" s="25">
        <v>3</v>
      </c>
      <c r="H12" s="25">
        <v>3</v>
      </c>
      <c r="I12" s="25">
        <v>1</v>
      </c>
      <c r="J12" s="25">
        <v>1</v>
      </c>
      <c r="K12" s="25">
        <v>1</v>
      </c>
      <c r="L12" s="25">
        <v>1</v>
      </c>
      <c r="Q12" s="25">
        <f t="shared" ref="Q12:X12" si="0">SUM(Q8:Q11)</f>
        <v>4</v>
      </c>
      <c r="R12" s="25">
        <f t="shared" si="0"/>
        <v>2</v>
      </c>
      <c r="S12" s="25">
        <f t="shared" si="0"/>
        <v>3</v>
      </c>
      <c r="T12" s="25">
        <f t="shared" si="0"/>
        <v>2</v>
      </c>
      <c r="U12" s="25">
        <f t="shared" si="0"/>
        <v>1</v>
      </c>
      <c r="V12" s="25">
        <f t="shared" si="0"/>
        <v>1</v>
      </c>
      <c r="W12" s="25">
        <f t="shared" si="0"/>
        <v>1</v>
      </c>
      <c r="X12" s="25">
        <f t="shared" si="0"/>
        <v>1</v>
      </c>
    </row>
    <row r="13" spans="2:30">
      <c r="B13" s="25">
        <v>16</v>
      </c>
      <c r="C13" s="25">
        <v>16</v>
      </c>
      <c r="D13" s="25">
        <v>6</v>
      </c>
      <c r="F13" s="25" t="s">
        <v>1251</v>
      </c>
      <c r="G13" s="25">
        <v>2</v>
      </c>
      <c r="I13" s="25">
        <v>2</v>
      </c>
      <c r="K13" s="25">
        <v>2</v>
      </c>
      <c r="M13" s="25">
        <v>1</v>
      </c>
    </row>
    <row r="14" spans="2:30">
      <c r="B14" s="25">
        <f>B13*6</f>
        <v>96</v>
      </c>
      <c r="C14" s="25">
        <f>C13*4</f>
        <v>64</v>
      </c>
      <c r="D14" s="25">
        <f>D13</f>
        <v>6</v>
      </c>
      <c r="E14" s="25">
        <f>SUM(B14:D14)</f>
        <v>166</v>
      </c>
      <c r="G14" s="25">
        <f t="shared" ref="G14:N14" si="1">SUM(G8:G13)</f>
        <v>20</v>
      </c>
      <c r="H14" s="25">
        <f t="shared" si="1"/>
        <v>11</v>
      </c>
      <c r="I14" s="25">
        <f t="shared" si="1"/>
        <v>11</v>
      </c>
      <c r="J14" s="25">
        <f t="shared" si="1"/>
        <v>4</v>
      </c>
      <c r="K14" s="25">
        <f t="shared" si="1"/>
        <v>9</v>
      </c>
      <c r="L14" s="25">
        <f t="shared" si="1"/>
        <v>3</v>
      </c>
      <c r="M14" s="25">
        <f t="shared" si="1"/>
        <v>3</v>
      </c>
      <c r="N14" s="25">
        <f t="shared" si="1"/>
        <v>2</v>
      </c>
      <c r="R14" s="25">
        <f>Q12+S12+U12+W12</f>
        <v>9</v>
      </c>
    </row>
    <row r="15" spans="2:30">
      <c r="R15" s="25">
        <f>R14*0.45</f>
        <v>4.05</v>
      </c>
      <c r="S15" s="25">
        <f>R12+T12+V12+X12</f>
        <v>6</v>
      </c>
      <c r="AA15" s="25" t="s">
        <v>1948</v>
      </c>
    </row>
    <row r="16" spans="2:30">
      <c r="E16" s="25">
        <f>E14/1408</f>
        <v>0.11789772727272728</v>
      </c>
      <c r="H16" s="25">
        <f>G14+I14+K14+M14</f>
        <v>43</v>
      </c>
      <c r="M16" s="25">
        <f>G8+G9+G10+Q8</f>
        <v>13</v>
      </c>
      <c r="N16" s="25">
        <f>I8+I9+I10+S8</f>
        <v>6</v>
      </c>
      <c r="O16" s="25">
        <f>K8+K9+K10+U8</f>
        <v>6</v>
      </c>
      <c r="P16" s="25">
        <f>M8+M9+W8</f>
        <v>3</v>
      </c>
      <c r="Q16" s="25">
        <f>SUM(M16:P16)</f>
        <v>28</v>
      </c>
      <c r="AA16" s="25" t="s">
        <v>1945</v>
      </c>
      <c r="AB16" s="25" t="s">
        <v>1949</v>
      </c>
      <c r="AC16" s="25" t="s">
        <v>1950</v>
      </c>
    </row>
    <row r="17" spans="1:32">
      <c r="H17" s="25">
        <f>H16*0.45</f>
        <v>19.350000000000001</v>
      </c>
      <c r="I17" s="25">
        <f>H14+J14+L14+N14</f>
        <v>20</v>
      </c>
      <c r="M17" s="25">
        <f>M16*6</f>
        <v>78</v>
      </c>
      <c r="N17" s="25">
        <f>N16*4</f>
        <v>24</v>
      </c>
      <c r="O17" s="25">
        <f>O16*2</f>
        <v>12</v>
      </c>
      <c r="P17" s="25">
        <f>P16</f>
        <v>3</v>
      </c>
      <c r="Q17" s="25">
        <f>SUM(M17:P17)</f>
        <v>117</v>
      </c>
      <c r="AA17" s="25" t="s">
        <v>1946</v>
      </c>
      <c r="AB17" s="25" t="s">
        <v>1951</v>
      </c>
    </row>
    <row r="18" spans="1:32">
      <c r="AA18" s="25" t="s">
        <v>1947</v>
      </c>
      <c r="AB18" s="25" t="s">
        <v>1952</v>
      </c>
    </row>
    <row r="22" spans="1:32">
      <c r="B22" s="18"/>
      <c r="C22" s="18" t="s">
        <v>5</v>
      </c>
      <c r="D22" s="18" t="s">
        <v>4</v>
      </c>
      <c r="E22" s="18" t="s">
        <v>3</v>
      </c>
      <c r="F22" s="18" t="s">
        <v>2</v>
      </c>
      <c r="G22" s="18" t="s">
        <v>28</v>
      </c>
      <c r="H22" s="18" t="s">
        <v>30</v>
      </c>
      <c r="I22" s="25" t="s">
        <v>7</v>
      </c>
      <c r="J22" s="25" t="s">
        <v>8</v>
      </c>
      <c r="K22" s="25" t="s">
        <v>31</v>
      </c>
      <c r="L22" s="25" t="s">
        <v>32</v>
      </c>
      <c r="M22" s="25" t="s">
        <v>33</v>
      </c>
      <c r="N22" s="25" t="s">
        <v>34</v>
      </c>
      <c r="O22" s="25" t="s">
        <v>35</v>
      </c>
      <c r="P22" s="25" t="s">
        <v>36</v>
      </c>
      <c r="Q22" s="25" t="s">
        <v>37</v>
      </c>
      <c r="R22" s="25" t="s">
        <v>590</v>
      </c>
      <c r="S22" s="25" t="s">
        <v>141</v>
      </c>
      <c r="T22" s="25" t="s">
        <v>756</v>
      </c>
      <c r="U22" s="25" t="s">
        <v>591</v>
      </c>
      <c r="V22" s="25" t="s">
        <v>589</v>
      </c>
      <c r="W22" s="25" t="s">
        <v>902</v>
      </c>
      <c r="X22" s="25" t="s">
        <v>904</v>
      </c>
      <c r="Y22" s="25" t="s">
        <v>906</v>
      </c>
      <c r="Z22" s="25" t="s">
        <v>908</v>
      </c>
      <c r="AA22" s="25" t="s">
        <v>900</v>
      </c>
      <c r="AB22" s="25" t="s">
        <v>915</v>
      </c>
      <c r="AC22" s="25" t="s">
        <v>1236</v>
      </c>
      <c r="AD22" s="25" t="s">
        <v>1237</v>
      </c>
      <c r="AE22" s="25" t="s">
        <v>928</v>
      </c>
    </row>
    <row r="23" spans="1:32">
      <c r="B23" s="18" t="s">
        <v>16</v>
      </c>
      <c r="C23" s="18">
        <f>COUNTIF($B$36:$Y$45,C22)</f>
        <v>20</v>
      </c>
      <c r="D23" s="18">
        <f t="shared" ref="D23:AD23" si="2">COUNTIF($B$36:$Y$45,D22)</f>
        <v>20</v>
      </c>
      <c r="E23" s="18">
        <f t="shared" si="2"/>
        <v>20</v>
      </c>
      <c r="F23" s="18">
        <f t="shared" si="2"/>
        <v>20</v>
      </c>
      <c r="G23" s="18">
        <f t="shared" si="2"/>
        <v>20</v>
      </c>
      <c r="H23" s="18">
        <f t="shared" si="2"/>
        <v>0</v>
      </c>
      <c r="I23" s="18">
        <f t="shared" si="2"/>
        <v>0</v>
      </c>
      <c r="J23" s="18">
        <f t="shared" si="2"/>
        <v>0</v>
      </c>
      <c r="K23" s="18">
        <f t="shared" si="2"/>
        <v>0</v>
      </c>
      <c r="L23" s="18">
        <f t="shared" si="2"/>
        <v>0</v>
      </c>
      <c r="M23" s="18">
        <f t="shared" si="2"/>
        <v>6</v>
      </c>
      <c r="N23" s="18">
        <f t="shared" si="2"/>
        <v>6</v>
      </c>
      <c r="O23" s="18">
        <f t="shared" si="2"/>
        <v>6</v>
      </c>
      <c r="P23" s="18">
        <f t="shared" si="2"/>
        <v>6</v>
      </c>
      <c r="Q23" s="18">
        <f t="shared" si="2"/>
        <v>6</v>
      </c>
      <c r="R23" s="18">
        <f t="shared" si="2"/>
        <v>0</v>
      </c>
      <c r="S23" s="18">
        <f t="shared" si="2"/>
        <v>0</v>
      </c>
      <c r="T23" s="18">
        <f t="shared" si="2"/>
        <v>0</v>
      </c>
      <c r="U23" s="18">
        <f t="shared" si="2"/>
        <v>0</v>
      </c>
      <c r="V23" s="18">
        <f t="shared" si="2"/>
        <v>0</v>
      </c>
      <c r="W23" s="18">
        <f t="shared" si="2"/>
        <v>0</v>
      </c>
      <c r="X23" s="18">
        <f t="shared" si="2"/>
        <v>0</v>
      </c>
      <c r="Y23" s="18">
        <f t="shared" si="2"/>
        <v>0</v>
      </c>
      <c r="Z23" s="18">
        <f t="shared" si="2"/>
        <v>0</v>
      </c>
      <c r="AA23" s="18">
        <f t="shared" si="2"/>
        <v>0</v>
      </c>
      <c r="AB23" s="18">
        <f t="shared" si="2"/>
        <v>0</v>
      </c>
      <c r="AC23" s="18">
        <f t="shared" si="2"/>
        <v>8</v>
      </c>
      <c r="AD23" s="18">
        <f t="shared" si="2"/>
        <v>9</v>
      </c>
      <c r="AE23" s="18">
        <f>SUM(C23:AD23)</f>
        <v>147</v>
      </c>
      <c r="AF23" s="18">
        <f>AE23*A31</f>
        <v>735</v>
      </c>
    </row>
    <row r="24" spans="1:32">
      <c r="B24" s="18" t="s">
        <v>148</v>
      </c>
      <c r="C24" s="18">
        <f>COUNTIF($B$51:$K$65,C22)</f>
        <v>11</v>
      </c>
      <c r="D24" s="18">
        <f t="shared" ref="D24:AD24" si="3">COUNTIF($B$51:$K$65,D22)</f>
        <v>11</v>
      </c>
      <c r="E24" s="18">
        <f t="shared" si="3"/>
        <v>11</v>
      </c>
      <c r="F24" s="18">
        <f t="shared" si="3"/>
        <v>11</v>
      </c>
      <c r="G24" s="18">
        <f t="shared" si="3"/>
        <v>11</v>
      </c>
      <c r="H24" s="18">
        <f t="shared" si="3"/>
        <v>1</v>
      </c>
      <c r="I24" s="18">
        <f t="shared" si="3"/>
        <v>1</v>
      </c>
      <c r="J24" s="18">
        <f t="shared" si="3"/>
        <v>1</v>
      </c>
      <c r="K24" s="18">
        <f t="shared" si="3"/>
        <v>1</v>
      </c>
      <c r="L24" s="18">
        <f t="shared" si="3"/>
        <v>1</v>
      </c>
      <c r="M24" s="18">
        <f t="shared" si="3"/>
        <v>4</v>
      </c>
      <c r="N24" s="18">
        <f t="shared" si="3"/>
        <v>4</v>
      </c>
      <c r="O24" s="18">
        <f t="shared" si="3"/>
        <v>4</v>
      </c>
      <c r="P24" s="18">
        <f t="shared" si="3"/>
        <v>4</v>
      </c>
      <c r="Q24" s="18">
        <f t="shared" si="3"/>
        <v>4</v>
      </c>
      <c r="R24" s="18">
        <f t="shared" si="3"/>
        <v>0</v>
      </c>
      <c r="S24" s="18">
        <f t="shared" si="3"/>
        <v>0</v>
      </c>
      <c r="T24" s="18">
        <f t="shared" si="3"/>
        <v>0</v>
      </c>
      <c r="U24" s="18">
        <f t="shared" si="3"/>
        <v>0</v>
      </c>
      <c r="V24" s="18">
        <f t="shared" si="3"/>
        <v>0</v>
      </c>
      <c r="W24" s="18">
        <f t="shared" si="3"/>
        <v>0</v>
      </c>
      <c r="X24" s="18">
        <f t="shared" si="3"/>
        <v>0</v>
      </c>
      <c r="Y24" s="18">
        <f t="shared" si="3"/>
        <v>0</v>
      </c>
      <c r="Z24" s="18">
        <f t="shared" si="3"/>
        <v>0</v>
      </c>
      <c r="AA24" s="18">
        <f t="shared" si="3"/>
        <v>0</v>
      </c>
      <c r="AB24" s="18">
        <f t="shared" si="3"/>
        <v>0</v>
      </c>
      <c r="AC24" s="18">
        <f t="shared" si="3"/>
        <v>5</v>
      </c>
      <c r="AD24" s="18">
        <f t="shared" si="3"/>
        <v>5</v>
      </c>
      <c r="AE24" s="18">
        <f>SUM(C24:AD24)</f>
        <v>90</v>
      </c>
      <c r="AF24" s="18">
        <f>AE24*A48</f>
        <v>360</v>
      </c>
    </row>
    <row r="25" spans="1:32">
      <c r="B25" s="18" t="s">
        <v>0</v>
      </c>
      <c r="C25" s="18">
        <f t="shared" ref="C25:AD25" si="4">COUNTIF($B$69:$F$83,C22)</f>
        <v>9</v>
      </c>
      <c r="D25" s="18">
        <f t="shared" si="4"/>
        <v>9</v>
      </c>
      <c r="E25" s="18">
        <f t="shared" si="4"/>
        <v>9</v>
      </c>
      <c r="F25" s="18">
        <f t="shared" si="4"/>
        <v>9</v>
      </c>
      <c r="G25" s="18">
        <f t="shared" si="4"/>
        <v>9</v>
      </c>
      <c r="H25" s="18">
        <f t="shared" si="4"/>
        <v>0</v>
      </c>
      <c r="I25" s="18">
        <f t="shared" si="4"/>
        <v>0</v>
      </c>
      <c r="J25" s="18">
        <f t="shared" si="4"/>
        <v>0</v>
      </c>
      <c r="K25" s="18">
        <f t="shared" si="4"/>
        <v>0</v>
      </c>
      <c r="L25" s="18">
        <f t="shared" si="4"/>
        <v>0</v>
      </c>
      <c r="M25" s="18">
        <f t="shared" si="4"/>
        <v>2</v>
      </c>
      <c r="N25" s="18">
        <f t="shared" si="4"/>
        <v>2</v>
      </c>
      <c r="O25" s="18">
        <f t="shared" si="4"/>
        <v>2</v>
      </c>
      <c r="P25" s="18">
        <f t="shared" si="4"/>
        <v>2</v>
      </c>
      <c r="Q25" s="18">
        <f t="shared" si="4"/>
        <v>2</v>
      </c>
      <c r="R25" s="18">
        <f t="shared" si="4"/>
        <v>0</v>
      </c>
      <c r="S25" s="18">
        <f t="shared" si="4"/>
        <v>0</v>
      </c>
      <c r="T25" s="18">
        <f t="shared" si="4"/>
        <v>0</v>
      </c>
      <c r="U25" s="18">
        <f t="shared" si="4"/>
        <v>0</v>
      </c>
      <c r="V25" s="18">
        <f t="shared" si="4"/>
        <v>0</v>
      </c>
      <c r="W25" s="18">
        <f t="shared" si="4"/>
        <v>1</v>
      </c>
      <c r="X25" s="18">
        <f t="shared" si="4"/>
        <v>1</v>
      </c>
      <c r="Y25" s="18">
        <f t="shared" si="4"/>
        <v>1</v>
      </c>
      <c r="Z25" s="18">
        <f t="shared" si="4"/>
        <v>1</v>
      </c>
      <c r="AA25" s="18">
        <f t="shared" si="4"/>
        <v>1</v>
      </c>
      <c r="AB25" s="18">
        <f t="shared" si="4"/>
        <v>1</v>
      </c>
      <c r="AC25" s="18">
        <f t="shared" si="4"/>
        <v>4</v>
      </c>
      <c r="AD25" s="18">
        <f t="shared" si="4"/>
        <v>5</v>
      </c>
      <c r="AE25" s="18">
        <f>SUM(C25:AD25)</f>
        <v>70</v>
      </c>
      <c r="AF25" s="18">
        <f>AE25*2</f>
        <v>140</v>
      </c>
    </row>
    <row r="26" spans="1:32">
      <c r="B26" s="18" t="s">
        <v>40</v>
      </c>
      <c r="C26" s="18">
        <f>COUNTIF($B$84:$F$88,C22)</f>
        <v>2</v>
      </c>
      <c r="D26" s="18">
        <f t="shared" ref="D26:AD26" si="5">COUNTIF($B$84:$F$88,D22)</f>
        <v>2</v>
      </c>
      <c r="E26" s="18">
        <f t="shared" si="5"/>
        <v>2</v>
      </c>
      <c r="F26" s="18">
        <f t="shared" si="5"/>
        <v>2</v>
      </c>
      <c r="G26" s="18">
        <f t="shared" si="5"/>
        <v>2</v>
      </c>
      <c r="H26" s="18">
        <f t="shared" si="5"/>
        <v>1</v>
      </c>
      <c r="I26" s="18">
        <f t="shared" si="5"/>
        <v>1</v>
      </c>
      <c r="J26" s="18">
        <f t="shared" si="5"/>
        <v>1</v>
      </c>
      <c r="K26" s="18">
        <f t="shared" si="5"/>
        <v>1</v>
      </c>
      <c r="L26" s="18">
        <f t="shared" si="5"/>
        <v>1</v>
      </c>
      <c r="M26" s="18">
        <f t="shared" si="5"/>
        <v>1</v>
      </c>
      <c r="N26" s="18">
        <f t="shared" si="5"/>
        <v>1</v>
      </c>
      <c r="O26" s="18">
        <f t="shared" si="5"/>
        <v>1</v>
      </c>
      <c r="P26" s="18">
        <f t="shared" si="5"/>
        <v>1</v>
      </c>
      <c r="Q26" s="18">
        <f t="shared" si="5"/>
        <v>1</v>
      </c>
      <c r="R26" s="18">
        <f t="shared" si="5"/>
        <v>0</v>
      </c>
      <c r="S26" s="18">
        <f t="shared" si="5"/>
        <v>0</v>
      </c>
      <c r="T26" s="18">
        <f t="shared" si="5"/>
        <v>0</v>
      </c>
      <c r="U26" s="18">
        <f t="shared" si="5"/>
        <v>0</v>
      </c>
      <c r="V26" s="18">
        <f t="shared" si="5"/>
        <v>0</v>
      </c>
      <c r="W26" s="18">
        <f t="shared" si="5"/>
        <v>0</v>
      </c>
      <c r="X26" s="18">
        <f t="shared" si="5"/>
        <v>0</v>
      </c>
      <c r="Y26" s="18">
        <f t="shared" si="5"/>
        <v>0</v>
      </c>
      <c r="Z26" s="18">
        <f t="shared" si="5"/>
        <v>0</v>
      </c>
      <c r="AA26" s="18">
        <f t="shared" si="5"/>
        <v>0</v>
      </c>
      <c r="AB26" s="18">
        <f t="shared" si="5"/>
        <v>0</v>
      </c>
      <c r="AC26" s="18">
        <f t="shared" si="5"/>
        <v>0</v>
      </c>
      <c r="AD26" s="18">
        <f t="shared" si="5"/>
        <v>0</v>
      </c>
      <c r="AE26" s="18">
        <f>SUM(C26:AD26)</f>
        <v>20</v>
      </c>
      <c r="AF26" s="18">
        <f>AE26</f>
        <v>20</v>
      </c>
    </row>
    <row r="27" spans="1:32">
      <c r="B27" s="18"/>
      <c r="C27" s="18">
        <f>SUM(C23:C26)</f>
        <v>42</v>
      </c>
      <c r="D27" s="18">
        <f t="shared" ref="D27:AD27" si="6">SUM(D23:D26)</f>
        <v>42</v>
      </c>
      <c r="E27" s="18">
        <f t="shared" si="6"/>
        <v>42</v>
      </c>
      <c r="F27" s="18">
        <f t="shared" si="6"/>
        <v>42</v>
      </c>
      <c r="G27" s="18">
        <f t="shared" si="6"/>
        <v>42</v>
      </c>
      <c r="H27" s="18">
        <f t="shared" si="6"/>
        <v>2</v>
      </c>
      <c r="I27" s="18">
        <f t="shared" si="6"/>
        <v>2</v>
      </c>
      <c r="J27" s="18">
        <f t="shared" si="6"/>
        <v>2</v>
      </c>
      <c r="K27" s="18">
        <f t="shared" si="6"/>
        <v>2</v>
      </c>
      <c r="L27" s="18">
        <f t="shared" si="6"/>
        <v>2</v>
      </c>
      <c r="M27" s="18">
        <f t="shared" si="6"/>
        <v>13</v>
      </c>
      <c r="N27" s="18">
        <f t="shared" si="6"/>
        <v>13</v>
      </c>
      <c r="O27" s="18">
        <f t="shared" si="6"/>
        <v>13</v>
      </c>
      <c r="P27" s="18">
        <f t="shared" si="6"/>
        <v>13</v>
      </c>
      <c r="Q27" s="18">
        <f t="shared" si="6"/>
        <v>13</v>
      </c>
      <c r="R27" s="18">
        <f t="shared" si="6"/>
        <v>0</v>
      </c>
      <c r="S27" s="18">
        <f t="shared" si="6"/>
        <v>0</v>
      </c>
      <c r="T27" s="18">
        <f t="shared" si="6"/>
        <v>0</v>
      </c>
      <c r="U27" s="18">
        <f t="shared" si="6"/>
        <v>0</v>
      </c>
      <c r="V27" s="18">
        <f t="shared" si="6"/>
        <v>0</v>
      </c>
      <c r="W27" s="18">
        <f t="shared" si="6"/>
        <v>1</v>
      </c>
      <c r="X27" s="18">
        <f t="shared" si="6"/>
        <v>1</v>
      </c>
      <c r="Y27" s="18">
        <f t="shared" si="6"/>
        <v>1</v>
      </c>
      <c r="Z27" s="18">
        <f t="shared" si="6"/>
        <v>1</v>
      </c>
      <c r="AA27" s="18">
        <f t="shared" si="6"/>
        <v>1</v>
      </c>
      <c r="AB27" s="18">
        <f t="shared" si="6"/>
        <v>1</v>
      </c>
      <c r="AC27" s="18">
        <f t="shared" si="6"/>
        <v>17</v>
      </c>
      <c r="AD27" s="18">
        <f t="shared" si="6"/>
        <v>19</v>
      </c>
      <c r="AE27" s="18">
        <f>SUM(C27:AD27)</f>
        <v>327</v>
      </c>
      <c r="AF27" s="18">
        <f>SUM(AF23:AF26)</f>
        <v>1255</v>
      </c>
    </row>
    <row r="31" spans="1:32" ht="14.25" thickBot="1">
      <c r="A31" s="25">
        <v>5</v>
      </c>
      <c r="B31" s="25">
        <f>8*3</f>
        <v>24</v>
      </c>
      <c r="K31" s="25">
        <f>SUM(B35:K35)</f>
        <v>350</v>
      </c>
      <c r="Y31" s="25">
        <f>SUM(L35:Y35)</f>
        <v>420</v>
      </c>
    </row>
    <row r="32" spans="1:32">
      <c r="A32" s="77"/>
      <c r="B32" s="67" t="s">
        <v>873</v>
      </c>
      <c r="C32" s="68" t="s">
        <v>874</v>
      </c>
      <c r="D32" s="68" t="s">
        <v>875</v>
      </c>
      <c r="E32" s="68" t="s">
        <v>876</v>
      </c>
      <c r="F32" s="68" t="s">
        <v>877</v>
      </c>
      <c r="G32" s="68" t="s">
        <v>878</v>
      </c>
      <c r="H32" s="68" t="s">
        <v>879</v>
      </c>
      <c r="I32" s="68" t="s">
        <v>880</v>
      </c>
      <c r="J32" s="68" t="s">
        <v>881</v>
      </c>
      <c r="K32" s="69" t="s">
        <v>882</v>
      </c>
      <c r="L32" s="67" t="s">
        <v>883</v>
      </c>
      <c r="M32" s="68" t="s">
        <v>884</v>
      </c>
      <c r="N32" s="68" t="s">
        <v>885</v>
      </c>
      <c r="O32" s="68" t="s">
        <v>886</v>
      </c>
      <c r="P32" s="68" t="s">
        <v>887</v>
      </c>
      <c r="Q32" s="68" t="s">
        <v>891</v>
      </c>
      <c r="R32" s="68" t="s">
        <v>892</v>
      </c>
      <c r="S32" s="68" t="s">
        <v>893</v>
      </c>
      <c r="T32" s="68" t="s">
        <v>894</v>
      </c>
      <c r="U32" s="69" t="s">
        <v>895</v>
      </c>
      <c r="V32" s="67" t="s">
        <v>888</v>
      </c>
      <c r="W32" s="68" t="s">
        <v>889</v>
      </c>
      <c r="X32" s="68" t="s">
        <v>890</v>
      </c>
      <c r="Y32" s="69" t="s">
        <v>250</v>
      </c>
      <c r="Z32" s="81"/>
    </row>
    <row r="33" spans="1:27">
      <c r="A33" s="78"/>
      <c r="B33" s="70" t="s">
        <v>5</v>
      </c>
      <c r="C33" s="34" t="s">
        <v>4</v>
      </c>
      <c r="D33" s="34" t="s">
        <v>3</v>
      </c>
      <c r="E33" s="34" t="s">
        <v>2</v>
      </c>
      <c r="F33" s="34" t="s">
        <v>28</v>
      </c>
      <c r="G33" s="34" t="s">
        <v>5</v>
      </c>
      <c r="H33" s="34" t="s">
        <v>4</v>
      </c>
      <c r="I33" s="34" t="s">
        <v>3</v>
      </c>
      <c r="J33" s="34" t="s">
        <v>2</v>
      </c>
      <c r="K33" s="71" t="s">
        <v>28</v>
      </c>
      <c r="L33" s="70" t="s">
        <v>5</v>
      </c>
      <c r="M33" s="34" t="s">
        <v>4</v>
      </c>
      <c r="N33" s="34" t="s">
        <v>3</v>
      </c>
      <c r="O33" s="34" t="s">
        <v>2</v>
      </c>
      <c r="P33" s="34" t="s">
        <v>28</v>
      </c>
      <c r="Q33" s="34" t="s">
        <v>5</v>
      </c>
      <c r="R33" s="34" t="s">
        <v>4</v>
      </c>
      <c r="S33" s="34" t="s">
        <v>3</v>
      </c>
      <c r="T33" s="34" t="s">
        <v>2</v>
      </c>
      <c r="U33" s="71" t="s">
        <v>28</v>
      </c>
      <c r="V33" s="70" t="s">
        <v>896</v>
      </c>
      <c r="W33" s="34" t="s">
        <v>897</v>
      </c>
      <c r="X33" s="34" t="s">
        <v>898</v>
      </c>
      <c r="Y33" s="71" t="s">
        <v>250</v>
      </c>
      <c r="Z33" s="82"/>
    </row>
    <row r="34" spans="1:27">
      <c r="A34" s="78"/>
      <c r="B34" s="70">
        <f t="shared" ref="B34:Y34" si="7">COUNTA(B36:B46)</f>
        <v>7</v>
      </c>
      <c r="C34" s="34">
        <f t="shared" si="7"/>
        <v>7</v>
      </c>
      <c r="D34" s="34">
        <f t="shared" si="7"/>
        <v>7</v>
      </c>
      <c r="E34" s="34">
        <f t="shared" si="7"/>
        <v>7</v>
      </c>
      <c r="F34" s="34">
        <f t="shared" si="7"/>
        <v>7</v>
      </c>
      <c r="G34" s="34">
        <f t="shared" si="7"/>
        <v>7</v>
      </c>
      <c r="H34" s="34">
        <f t="shared" si="7"/>
        <v>7</v>
      </c>
      <c r="I34" s="34">
        <f t="shared" si="7"/>
        <v>7</v>
      </c>
      <c r="J34" s="34">
        <f t="shared" si="7"/>
        <v>7</v>
      </c>
      <c r="K34" s="71">
        <f t="shared" si="7"/>
        <v>7</v>
      </c>
      <c r="L34" s="70">
        <f t="shared" ref="L34:U34" si="8">COUNTA(L36:L46)</f>
        <v>6</v>
      </c>
      <c r="M34" s="34">
        <f t="shared" si="8"/>
        <v>6</v>
      </c>
      <c r="N34" s="34">
        <f t="shared" si="8"/>
        <v>6</v>
      </c>
      <c r="O34" s="34">
        <f t="shared" si="8"/>
        <v>6</v>
      </c>
      <c r="P34" s="34">
        <f t="shared" si="8"/>
        <v>6</v>
      </c>
      <c r="Q34" s="34">
        <f t="shared" si="8"/>
        <v>6</v>
      </c>
      <c r="R34" s="34">
        <f t="shared" si="8"/>
        <v>6</v>
      </c>
      <c r="S34" s="34">
        <f t="shared" si="8"/>
        <v>6</v>
      </c>
      <c r="T34" s="34">
        <f t="shared" si="8"/>
        <v>6</v>
      </c>
      <c r="U34" s="71">
        <f t="shared" si="8"/>
        <v>6</v>
      </c>
      <c r="V34" s="70">
        <f t="shared" si="7"/>
        <v>8</v>
      </c>
      <c r="W34" s="34">
        <f t="shared" si="7"/>
        <v>0</v>
      </c>
      <c r="X34" s="34">
        <f t="shared" si="7"/>
        <v>0</v>
      </c>
      <c r="Y34" s="71">
        <f t="shared" si="7"/>
        <v>9</v>
      </c>
      <c r="Z34" s="82">
        <f>SUM(B34:Y34)</f>
        <v>147</v>
      </c>
    </row>
    <row r="35" spans="1:27" ht="14.25" thickBot="1">
      <c r="A35" s="79"/>
      <c r="B35" s="72">
        <f>B34*$A$31</f>
        <v>35</v>
      </c>
      <c r="C35" s="73">
        <f t="shared" ref="C35:X35" si="9">C34*$A$31</f>
        <v>35</v>
      </c>
      <c r="D35" s="73">
        <f t="shared" si="9"/>
        <v>35</v>
      </c>
      <c r="E35" s="73">
        <f t="shared" si="9"/>
        <v>35</v>
      </c>
      <c r="F35" s="73">
        <f t="shared" si="9"/>
        <v>35</v>
      </c>
      <c r="G35" s="73">
        <f t="shared" si="9"/>
        <v>35</v>
      </c>
      <c r="H35" s="73">
        <f t="shared" si="9"/>
        <v>35</v>
      </c>
      <c r="I35" s="73">
        <f t="shared" si="9"/>
        <v>35</v>
      </c>
      <c r="J35" s="73">
        <f t="shared" si="9"/>
        <v>35</v>
      </c>
      <c r="K35" s="74">
        <f t="shared" si="9"/>
        <v>35</v>
      </c>
      <c r="L35" s="72">
        <f t="shared" si="9"/>
        <v>30</v>
      </c>
      <c r="M35" s="73">
        <f t="shared" si="9"/>
        <v>30</v>
      </c>
      <c r="N35" s="73">
        <f t="shared" si="9"/>
        <v>30</v>
      </c>
      <c r="O35" s="73">
        <f t="shared" si="9"/>
        <v>30</v>
      </c>
      <c r="P35" s="73">
        <f t="shared" si="9"/>
        <v>30</v>
      </c>
      <c r="Q35" s="73">
        <f t="shared" si="9"/>
        <v>30</v>
      </c>
      <c r="R35" s="73">
        <f t="shared" si="9"/>
        <v>30</v>
      </c>
      <c r="S35" s="73">
        <f t="shared" si="9"/>
        <v>30</v>
      </c>
      <c r="T35" s="73">
        <f t="shared" si="9"/>
        <v>30</v>
      </c>
      <c r="U35" s="74">
        <f t="shared" si="9"/>
        <v>30</v>
      </c>
      <c r="V35" s="72">
        <f t="shared" si="9"/>
        <v>40</v>
      </c>
      <c r="W35" s="73">
        <f t="shared" si="9"/>
        <v>0</v>
      </c>
      <c r="X35" s="73">
        <f t="shared" si="9"/>
        <v>0</v>
      </c>
      <c r="Y35" s="74">
        <f>(Y34-2)*10+10</f>
        <v>80</v>
      </c>
      <c r="Z35" s="83">
        <f>SUM(B35:Y35)</f>
        <v>770</v>
      </c>
    </row>
    <row r="36" spans="1:27">
      <c r="A36" s="80">
        <v>1</v>
      </c>
      <c r="B36" s="75" t="s">
        <v>5</v>
      </c>
      <c r="C36" s="66" t="s">
        <v>4</v>
      </c>
      <c r="D36" s="66" t="s">
        <v>3</v>
      </c>
      <c r="E36" s="66" t="s">
        <v>2</v>
      </c>
      <c r="F36" s="66" t="s">
        <v>28</v>
      </c>
      <c r="G36" s="66" t="s">
        <v>5</v>
      </c>
      <c r="H36" s="66" t="s">
        <v>4</v>
      </c>
      <c r="I36" s="66" t="s">
        <v>3</v>
      </c>
      <c r="J36" s="66" t="s">
        <v>2</v>
      </c>
      <c r="K36" s="76" t="s">
        <v>28</v>
      </c>
      <c r="L36" s="75" t="s">
        <v>33</v>
      </c>
      <c r="M36" s="66" t="s">
        <v>34</v>
      </c>
      <c r="N36" s="66" t="s">
        <v>35</v>
      </c>
      <c r="O36" s="66" t="s">
        <v>36</v>
      </c>
      <c r="P36" s="66" t="s">
        <v>37</v>
      </c>
      <c r="Q36" s="66" t="s">
        <v>33</v>
      </c>
      <c r="R36" s="66" t="s">
        <v>34</v>
      </c>
      <c r="S36" s="66" t="s">
        <v>35</v>
      </c>
      <c r="T36" s="66" t="s">
        <v>36</v>
      </c>
      <c r="U36" s="76" t="s">
        <v>37</v>
      </c>
      <c r="V36" s="75" t="s">
        <v>767</v>
      </c>
      <c r="W36" s="66"/>
      <c r="X36" s="66"/>
      <c r="Y36" s="76" t="s">
        <v>249</v>
      </c>
      <c r="Z36" s="84"/>
      <c r="AA36" s="25">
        <f>Z35/8</f>
        <v>96.25</v>
      </c>
    </row>
    <row r="37" spans="1:27">
      <c r="A37" s="78">
        <v>2</v>
      </c>
      <c r="B37" s="70" t="s">
        <v>5</v>
      </c>
      <c r="C37" s="34" t="s">
        <v>4</v>
      </c>
      <c r="D37" s="34" t="s">
        <v>3</v>
      </c>
      <c r="E37" s="34" t="s">
        <v>2</v>
      </c>
      <c r="F37" s="34" t="s">
        <v>28</v>
      </c>
      <c r="G37" s="34" t="s">
        <v>5</v>
      </c>
      <c r="H37" s="34" t="s">
        <v>4</v>
      </c>
      <c r="I37" s="34" t="s">
        <v>3</v>
      </c>
      <c r="J37" s="34" t="s">
        <v>2</v>
      </c>
      <c r="K37" s="71" t="s">
        <v>28</v>
      </c>
      <c r="L37" s="70" t="s">
        <v>33</v>
      </c>
      <c r="M37" s="34" t="s">
        <v>34</v>
      </c>
      <c r="N37" s="34" t="s">
        <v>35</v>
      </c>
      <c r="O37" s="34" t="s">
        <v>36</v>
      </c>
      <c r="P37" s="34" t="s">
        <v>37</v>
      </c>
      <c r="Q37" s="34" t="s">
        <v>33</v>
      </c>
      <c r="R37" s="34" t="s">
        <v>34</v>
      </c>
      <c r="S37" s="34" t="s">
        <v>35</v>
      </c>
      <c r="T37" s="34" t="s">
        <v>36</v>
      </c>
      <c r="U37" s="71" t="s">
        <v>37</v>
      </c>
      <c r="V37" s="70" t="s">
        <v>1236</v>
      </c>
      <c r="W37" s="34"/>
      <c r="X37" s="34"/>
      <c r="Y37" s="71" t="s">
        <v>249</v>
      </c>
      <c r="Z37" s="82"/>
    </row>
    <row r="38" spans="1:27">
      <c r="A38" s="78">
        <v>3</v>
      </c>
      <c r="B38" s="70" t="s">
        <v>5</v>
      </c>
      <c r="C38" s="34" t="s">
        <v>4</v>
      </c>
      <c r="D38" s="34" t="s">
        <v>3</v>
      </c>
      <c r="E38" s="34" t="s">
        <v>2</v>
      </c>
      <c r="F38" s="34" t="s">
        <v>28</v>
      </c>
      <c r="G38" s="34" t="s">
        <v>5</v>
      </c>
      <c r="H38" s="34" t="s">
        <v>4</v>
      </c>
      <c r="I38" s="34" t="s">
        <v>3</v>
      </c>
      <c r="J38" s="34" t="s">
        <v>2</v>
      </c>
      <c r="K38" s="71" t="s">
        <v>28</v>
      </c>
      <c r="L38" s="70" t="s">
        <v>33</v>
      </c>
      <c r="M38" s="34" t="s">
        <v>34</v>
      </c>
      <c r="N38" s="34" t="s">
        <v>35</v>
      </c>
      <c r="O38" s="34" t="s">
        <v>36</v>
      </c>
      <c r="P38" s="34" t="s">
        <v>37</v>
      </c>
      <c r="Q38" s="34" t="s">
        <v>33</v>
      </c>
      <c r="R38" s="34" t="s">
        <v>34</v>
      </c>
      <c r="S38" s="34" t="s">
        <v>35</v>
      </c>
      <c r="T38" s="34" t="s">
        <v>36</v>
      </c>
      <c r="U38" s="71" t="s">
        <v>37</v>
      </c>
      <c r="V38" s="70" t="s">
        <v>1236</v>
      </c>
      <c r="W38" s="34"/>
      <c r="X38" s="34"/>
      <c r="Y38" s="71" t="s">
        <v>249</v>
      </c>
      <c r="Z38" s="82"/>
    </row>
    <row r="39" spans="1:27">
      <c r="A39" s="78">
        <v>4</v>
      </c>
      <c r="B39" s="70" t="s">
        <v>5</v>
      </c>
      <c r="C39" s="34" t="s">
        <v>4</v>
      </c>
      <c r="D39" s="34" t="s">
        <v>3</v>
      </c>
      <c r="E39" s="34" t="s">
        <v>2</v>
      </c>
      <c r="F39" s="34" t="s">
        <v>28</v>
      </c>
      <c r="G39" s="34" t="s">
        <v>5</v>
      </c>
      <c r="H39" s="34" t="s">
        <v>4</v>
      </c>
      <c r="I39" s="34" t="s">
        <v>3</v>
      </c>
      <c r="J39" s="34" t="s">
        <v>2</v>
      </c>
      <c r="K39" s="71" t="s">
        <v>28</v>
      </c>
      <c r="L39" s="70" t="s">
        <v>5</v>
      </c>
      <c r="M39" s="34" t="s">
        <v>4</v>
      </c>
      <c r="N39" s="34" t="s">
        <v>3</v>
      </c>
      <c r="O39" s="34" t="s">
        <v>2</v>
      </c>
      <c r="P39" s="34" t="s">
        <v>28</v>
      </c>
      <c r="Q39" s="34" t="s">
        <v>5</v>
      </c>
      <c r="R39" s="34" t="s">
        <v>4</v>
      </c>
      <c r="S39" s="34" t="s">
        <v>3</v>
      </c>
      <c r="T39" s="34" t="s">
        <v>2</v>
      </c>
      <c r="U39" s="71" t="s">
        <v>28</v>
      </c>
      <c r="V39" s="70" t="s">
        <v>852</v>
      </c>
      <c r="W39" s="34"/>
      <c r="X39" s="34"/>
      <c r="Y39" s="71" t="s">
        <v>249</v>
      </c>
      <c r="Z39" s="82"/>
    </row>
    <row r="40" spans="1:27">
      <c r="A40" s="78">
        <v>5</v>
      </c>
      <c r="B40" s="70" t="s">
        <v>5</v>
      </c>
      <c r="C40" s="34" t="s">
        <v>4</v>
      </c>
      <c r="D40" s="34" t="s">
        <v>3</v>
      </c>
      <c r="E40" s="34" t="s">
        <v>2</v>
      </c>
      <c r="F40" s="34" t="s">
        <v>28</v>
      </c>
      <c r="G40" s="34" t="s">
        <v>5</v>
      </c>
      <c r="H40" s="34" t="s">
        <v>4</v>
      </c>
      <c r="I40" s="34" t="s">
        <v>3</v>
      </c>
      <c r="J40" s="34" t="s">
        <v>2</v>
      </c>
      <c r="K40" s="71" t="s">
        <v>28</v>
      </c>
      <c r="L40" s="70" t="s">
        <v>2</v>
      </c>
      <c r="M40" s="34" t="s">
        <v>28</v>
      </c>
      <c r="N40" s="34" t="s">
        <v>5</v>
      </c>
      <c r="O40" s="34" t="s">
        <v>4</v>
      </c>
      <c r="P40" s="34" t="s">
        <v>3</v>
      </c>
      <c r="Q40" s="34" t="s">
        <v>2</v>
      </c>
      <c r="R40" s="34" t="s">
        <v>28</v>
      </c>
      <c r="S40" s="34" t="s">
        <v>5</v>
      </c>
      <c r="T40" s="34" t="s">
        <v>4</v>
      </c>
      <c r="U40" s="71" t="s">
        <v>3</v>
      </c>
      <c r="V40" s="70" t="s">
        <v>852</v>
      </c>
      <c r="W40" s="34"/>
      <c r="X40" s="34"/>
      <c r="Y40" s="71" t="s">
        <v>249</v>
      </c>
      <c r="Z40" s="82"/>
    </row>
    <row r="41" spans="1:27">
      <c r="A41" s="78">
        <v>6</v>
      </c>
      <c r="B41" s="70" t="s">
        <v>5</v>
      </c>
      <c r="C41" s="34" t="s">
        <v>4</v>
      </c>
      <c r="D41" s="34" t="s">
        <v>3</v>
      </c>
      <c r="E41" s="34" t="s">
        <v>2</v>
      </c>
      <c r="F41" s="34" t="s">
        <v>28</v>
      </c>
      <c r="G41" s="34" t="s">
        <v>5</v>
      </c>
      <c r="H41" s="34" t="s">
        <v>4</v>
      </c>
      <c r="I41" s="34" t="s">
        <v>3</v>
      </c>
      <c r="J41" s="34" t="s">
        <v>2</v>
      </c>
      <c r="K41" s="71" t="s">
        <v>28</v>
      </c>
      <c r="L41" s="70" t="s">
        <v>4</v>
      </c>
      <c r="M41" s="34" t="s">
        <v>3</v>
      </c>
      <c r="N41" s="34" t="s">
        <v>2</v>
      </c>
      <c r="O41" s="34" t="s">
        <v>28</v>
      </c>
      <c r="P41" s="34" t="s">
        <v>5</v>
      </c>
      <c r="Q41" s="34" t="s">
        <v>4</v>
      </c>
      <c r="R41" s="34" t="s">
        <v>3</v>
      </c>
      <c r="S41" s="34" t="s">
        <v>2</v>
      </c>
      <c r="T41" s="34" t="s">
        <v>28</v>
      </c>
      <c r="U41" s="71" t="s">
        <v>2858</v>
      </c>
      <c r="V41" s="70" t="s">
        <v>852</v>
      </c>
      <c r="W41" s="34"/>
      <c r="X41" s="34"/>
      <c r="Y41" s="70" t="s">
        <v>249</v>
      </c>
      <c r="Z41" s="82"/>
    </row>
    <row r="42" spans="1:27">
      <c r="A42" s="78">
        <v>7</v>
      </c>
      <c r="B42" s="70" t="s">
        <v>5</v>
      </c>
      <c r="C42" s="34" t="s">
        <v>42</v>
      </c>
      <c r="D42" s="34" t="s">
        <v>27</v>
      </c>
      <c r="E42" s="34" t="s">
        <v>2</v>
      </c>
      <c r="F42" s="34" t="s">
        <v>28</v>
      </c>
      <c r="G42" s="34" t="s">
        <v>5</v>
      </c>
      <c r="H42" s="34" t="s">
        <v>4</v>
      </c>
      <c r="I42" s="34" t="s">
        <v>3</v>
      </c>
      <c r="J42" s="34" t="s">
        <v>2</v>
      </c>
      <c r="K42" s="71" t="s">
        <v>28</v>
      </c>
      <c r="L42" s="70"/>
      <c r="M42" s="34"/>
      <c r="N42" s="34"/>
      <c r="O42" s="34"/>
      <c r="P42" s="34"/>
      <c r="Q42" s="34"/>
      <c r="R42" s="34"/>
      <c r="S42" s="34"/>
      <c r="T42" s="34"/>
      <c r="U42" s="71"/>
      <c r="V42" s="70" t="s">
        <v>852</v>
      </c>
      <c r="W42" s="34"/>
      <c r="X42" s="34"/>
      <c r="Y42" s="70" t="s">
        <v>249</v>
      </c>
      <c r="Z42" s="82"/>
    </row>
    <row r="43" spans="1:27">
      <c r="A43" s="78">
        <v>8</v>
      </c>
      <c r="B43" s="70"/>
      <c r="C43" s="34"/>
      <c r="D43" s="34"/>
      <c r="E43" s="34"/>
      <c r="F43" s="34"/>
      <c r="G43" s="34"/>
      <c r="H43" s="34"/>
      <c r="I43" s="34"/>
      <c r="J43" s="34"/>
      <c r="K43" s="71"/>
      <c r="L43" s="70"/>
      <c r="M43" s="34"/>
      <c r="N43" s="34"/>
      <c r="O43" s="34"/>
      <c r="P43" s="34"/>
      <c r="Q43" s="34"/>
      <c r="R43" s="34"/>
      <c r="S43" s="34"/>
      <c r="T43" s="34"/>
      <c r="U43" s="71"/>
      <c r="V43" s="70" t="s">
        <v>852</v>
      </c>
      <c r="W43" s="34"/>
      <c r="X43" s="34"/>
      <c r="Y43" s="70" t="s">
        <v>249</v>
      </c>
      <c r="Z43" s="82"/>
    </row>
    <row r="44" spans="1:27">
      <c r="A44" s="78">
        <v>9</v>
      </c>
      <c r="B44" s="70"/>
      <c r="C44" s="34"/>
      <c r="D44" s="34"/>
      <c r="E44" s="34"/>
      <c r="F44" s="34"/>
      <c r="G44" s="34"/>
      <c r="H44" s="34"/>
      <c r="I44" s="34"/>
      <c r="J44" s="34"/>
      <c r="K44" s="71"/>
      <c r="L44" s="70"/>
      <c r="M44" s="34"/>
      <c r="N44" s="34"/>
      <c r="O44" s="34"/>
      <c r="P44" s="34"/>
      <c r="Q44" s="34"/>
      <c r="R44" s="34"/>
      <c r="S44" s="34"/>
      <c r="T44" s="34"/>
      <c r="U44" s="71"/>
      <c r="W44" s="34"/>
      <c r="X44" s="34"/>
      <c r="Y44" s="70" t="s">
        <v>249</v>
      </c>
      <c r="Z44" s="82"/>
    </row>
    <row r="45" spans="1:27" ht="14.25" thickBot="1">
      <c r="A45" s="79">
        <v>10</v>
      </c>
      <c r="B45" s="72"/>
      <c r="C45" s="73"/>
      <c r="D45" s="73"/>
      <c r="E45" s="73"/>
      <c r="F45" s="73"/>
      <c r="G45" s="73"/>
      <c r="H45" s="73"/>
      <c r="I45" s="73"/>
      <c r="J45" s="73"/>
      <c r="K45" s="74"/>
      <c r="L45" s="72"/>
      <c r="M45" s="73"/>
      <c r="N45" s="73"/>
      <c r="O45" s="73"/>
      <c r="P45" s="73"/>
      <c r="Q45" s="73"/>
      <c r="R45" s="73"/>
      <c r="S45" s="73"/>
      <c r="T45" s="73"/>
      <c r="U45" s="74"/>
      <c r="V45" s="72"/>
      <c r="W45" s="73"/>
      <c r="X45" s="73"/>
      <c r="Y45" s="74"/>
      <c r="Z45" s="83"/>
    </row>
    <row r="47" spans="1:27" ht="14.25" thickBot="1"/>
    <row r="48" spans="1:27">
      <c r="A48" s="77">
        <v>4</v>
      </c>
      <c r="B48" s="67">
        <v>1</v>
      </c>
      <c r="C48" s="68">
        <v>2</v>
      </c>
      <c r="D48" s="68">
        <v>3</v>
      </c>
      <c r="E48" s="68">
        <v>4</v>
      </c>
      <c r="F48" s="68">
        <v>5</v>
      </c>
      <c r="G48" s="68">
        <v>6</v>
      </c>
      <c r="H48" s="68">
        <v>7</v>
      </c>
      <c r="I48" s="68">
        <v>8</v>
      </c>
      <c r="J48" s="68">
        <v>9</v>
      </c>
      <c r="K48" s="69">
        <v>10</v>
      </c>
      <c r="L48" s="81"/>
    </row>
    <row r="49" spans="1:12">
      <c r="A49" s="78"/>
      <c r="B49" s="70">
        <f t="shared" ref="B49:K49" si="10">COUNTA(B51:B65)</f>
        <v>9</v>
      </c>
      <c r="C49" s="34">
        <f t="shared" si="10"/>
        <v>9</v>
      </c>
      <c r="D49" s="34">
        <f t="shared" si="10"/>
        <v>9</v>
      </c>
      <c r="E49" s="34">
        <f t="shared" si="10"/>
        <v>9</v>
      </c>
      <c r="F49" s="34">
        <f t="shared" si="10"/>
        <v>9</v>
      </c>
      <c r="G49" s="34">
        <f t="shared" si="10"/>
        <v>9</v>
      </c>
      <c r="H49" s="34">
        <f t="shared" si="10"/>
        <v>9</v>
      </c>
      <c r="I49" s="34">
        <f t="shared" si="10"/>
        <v>9</v>
      </c>
      <c r="J49" s="34">
        <f t="shared" si="10"/>
        <v>9</v>
      </c>
      <c r="K49" s="71">
        <f t="shared" si="10"/>
        <v>9</v>
      </c>
      <c r="L49" s="82">
        <f>SUM(B49:K49)</f>
        <v>90</v>
      </c>
    </row>
    <row r="50" spans="1:12" ht="14.25" thickBot="1">
      <c r="A50" s="78"/>
      <c r="B50" s="72">
        <f>B49*$A$48</f>
        <v>36</v>
      </c>
      <c r="C50" s="73">
        <f t="shared" ref="C50:K50" si="11">C49*$A$48</f>
        <v>36</v>
      </c>
      <c r="D50" s="73">
        <f t="shared" si="11"/>
        <v>36</v>
      </c>
      <c r="E50" s="73">
        <f t="shared" si="11"/>
        <v>36</v>
      </c>
      <c r="F50" s="73">
        <f t="shared" si="11"/>
        <v>36</v>
      </c>
      <c r="G50" s="73">
        <f t="shared" si="11"/>
        <v>36</v>
      </c>
      <c r="H50" s="73">
        <f t="shared" si="11"/>
        <v>36</v>
      </c>
      <c r="I50" s="73">
        <f t="shared" si="11"/>
        <v>36</v>
      </c>
      <c r="J50" s="73">
        <f t="shared" si="11"/>
        <v>36</v>
      </c>
      <c r="K50" s="74">
        <f t="shared" si="11"/>
        <v>36</v>
      </c>
      <c r="L50" s="83">
        <f>SUM(B50:K50)</f>
        <v>360</v>
      </c>
    </row>
    <row r="51" spans="1:12">
      <c r="A51" s="78">
        <v>1</v>
      </c>
      <c r="B51" s="75" t="s">
        <v>5</v>
      </c>
      <c r="C51" s="66" t="s">
        <v>5</v>
      </c>
      <c r="D51" s="66" t="s">
        <v>5</v>
      </c>
      <c r="E51" s="66" t="s">
        <v>5</v>
      </c>
      <c r="F51" s="66" t="s">
        <v>5</v>
      </c>
      <c r="G51" s="66" t="s">
        <v>5</v>
      </c>
      <c r="H51" s="66" t="s">
        <v>5</v>
      </c>
      <c r="I51" s="66" t="s">
        <v>5</v>
      </c>
      <c r="J51" s="66" t="s">
        <v>5</v>
      </c>
      <c r="K51" s="76" t="s">
        <v>5</v>
      </c>
      <c r="L51" s="84"/>
    </row>
    <row r="52" spans="1:12">
      <c r="A52" s="78">
        <v>2</v>
      </c>
      <c r="B52" s="70" t="s">
        <v>4</v>
      </c>
      <c r="C52" s="34" t="s">
        <v>4</v>
      </c>
      <c r="D52" s="34" t="s">
        <v>4</v>
      </c>
      <c r="E52" s="34" t="s">
        <v>4</v>
      </c>
      <c r="F52" s="34" t="s">
        <v>4</v>
      </c>
      <c r="G52" s="34" t="s">
        <v>4</v>
      </c>
      <c r="H52" s="34" t="s">
        <v>4</v>
      </c>
      <c r="I52" s="34" t="s">
        <v>4</v>
      </c>
      <c r="J52" s="34" t="s">
        <v>4</v>
      </c>
      <c r="K52" s="71" t="s">
        <v>4</v>
      </c>
      <c r="L52" s="82"/>
    </row>
    <row r="53" spans="1:12">
      <c r="A53" s="78">
        <v>3</v>
      </c>
      <c r="B53" s="70" t="s">
        <v>3</v>
      </c>
      <c r="C53" s="34" t="s">
        <v>3</v>
      </c>
      <c r="D53" s="34" t="s">
        <v>3</v>
      </c>
      <c r="E53" s="34" t="s">
        <v>3</v>
      </c>
      <c r="F53" s="34" t="s">
        <v>3</v>
      </c>
      <c r="G53" s="34" t="s">
        <v>3</v>
      </c>
      <c r="H53" s="34" t="s">
        <v>3</v>
      </c>
      <c r="I53" s="34" t="s">
        <v>3</v>
      </c>
      <c r="J53" s="34" t="s">
        <v>3</v>
      </c>
      <c r="K53" s="71" t="s">
        <v>3</v>
      </c>
      <c r="L53" s="82"/>
    </row>
    <row r="54" spans="1:12">
      <c r="A54" s="78">
        <v>4</v>
      </c>
      <c r="B54" s="70" t="s">
        <v>2</v>
      </c>
      <c r="C54" s="34" t="s">
        <v>2</v>
      </c>
      <c r="D54" s="34" t="s">
        <v>2</v>
      </c>
      <c r="E54" s="34" t="s">
        <v>2</v>
      </c>
      <c r="F54" s="34" t="s">
        <v>2</v>
      </c>
      <c r="G54" s="34" t="s">
        <v>2</v>
      </c>
      <c r="H54" s="34" t="s">
        <v>2</v>
      </c>
      <c r="I54" s="34" t="s">
        <v>2</v>
      </c>
      <c r="J54" s="34" t="s">
        <v>2</v>
      </c>
      <c r="K54" s="71" t="s">
        <v>2</v>
      </c>
      <c r="L54" s="82"/>
    </row>
    <row r="55" spans="1:12">
      <c r="A55" s="78">
        <v>5</v>
      </c>
      <c r="B55" s="70" t="s">
        <v>28</v>
      </c>
      <c r="C55" s="34" t="s">
        <v>28</v>
      </c>
      <c r="D55" s="34" t="s">
        <v>28</v>
      </c>
      <c r="E55" s="34" t="s">
        <v>28</v>
      </c>
      <c r="F55" s="34" t="s">
        <v>28</v>
      </c>
      <c r="G55" s="34" t="s">
        <v>28</v>
      </c>
      <c r="H55" s="34" t="s">
        <v>28</v>
      </c>
      <c r="I55" s="34" t="s">
        <v>28</v>
      </c>
      <c r="J55" s="34" t="s">
        <v>28</v>
      </c>
      <c r="K55" s="71" t="s">
        <v>28</v>
      </c>
      <c r="L55" s="82"/>
    </row>
    <row r="56" spans="1:12">
      <c r="A56" s="78">
        <v>6</v>
      </c>
      <c r="B56" s="70" t="s">
        <v>33</v>
      </c>
      <c r="C56" s="34" t="s">
        <v>34</v>
      </c>
      <c r="D56" s="34" t="s">
        <v>35</v>
      </c>
      <c r="E56" s="34" t="s">
        <v>36</v>
      </c>
      <c r="F56" s="34" t="s">
        <v>37</v>
      </c>
      <c r="G56" s="34" t="s">
        <v>33</v>
      </c>
      <c r="H56" s="34" t="s">
        <v>34</v>
      </c>
      <c r="I56" s="34" t="s">
        <v>35</v>
      </c>
      <c r="J56" s="34" t="s">
        <v>36</v>
      </c>
      <c r="K56" s="71" t="s">
        <v>37</v>
      </c>
      <c r="L56" s="82"/>
    </row>
    <row r="57" spans="1:12">
      <c r="A57" s="78">
        <v>7</v>
      </c>
      <c r="B57" s="70" t="s">
        <v>30</v>
      </c>
      <c r="C57" s="34" t="s">
        <v>33</v>
      </c>
      <c r="D57" s="34" t="s">
        <v>31</v>
      </c>
      <c r="E57" s="34" t="s">
        <v>34</v>
      </c>
      <c r="F57" s="34" t="s">
        <v>7</v>
      </c>
      <c r="G57" s="34" t="s">
        <v>35</v>
      </c>
      <c r="H57" s="34" t="s">
        <v>32</v>
      </c>
      <c r="I57" s="34" t="s">
        <v>36</v>
      </c>
      <c r="J57" s="34" t="s">
        <v>8</v>
      </c>
      <c r="K57" s="71" t="s">
        <v>37</v>
      </c>
      <c r="L57" s="82"/>
    </row>
    <row r="58" spans="1:12">
      <c r="A58" s="78">
        <v>8</v>
      </c>
      <c r="B58" s="70" t="s">
        <v>5</v>
      </c>
      <c r="C58" s="34" t="s">
        <v>4</v>
      </c>
      <c r="D58" s="34" t="s">
        <v>3</v>
      </c>
      <c r="E58" s="34" t="s">
        <v>2</v>
      </c>
      <c r="F58" s="34" t="s">
        <v>28</v>
      </c>
      <c r="G58" s="34" t="s">
        <v>33</v>
      </c>
      <c r="H58" s="34" t="s">
        <v>34</v>
      </c>
      <c r="I58" s="34" t="s">
        <v>35</v>
      </c>
      <c r="J58" s="34" t="s">
        <v>36</v>
      </c>
      <c r="K58" s="71" t="s">
        <v>37</v>
      </c>
      <c r="L58" s="82"/>
    </row>
    <row r="59" spans="1:12">
      <c r="A59" s="78">
        <v>9</v>
      </c>
      <c r="B59" s="70" t="s">
        <v>852</v>
      </c>
      <c r="C59" s="34" t="s">
        <v>1236</v>
      </c>
      <c r="D59" s="34" t="s">
        <v>1236</v>
      </c>
      <c r="E59" s="34" t="s">
        <v>1236</v>
      </c>
      <c r="F59" s="34" t="s">
        <v>1236</v>
      </c>
      <c r="G59" s="34" t="s">
        <v>249</v>
      </c>
      <c r="H59" s="34" t="s">
        <v>2844</v>
      </c>
      <c r="I59" s="34" t="s">
        <v>249</v>
      </c>
      <c r="J59" s="34" t="s">
        <v>249</v>
      </c>
      <c r="K59" s="71" t="s">
        <v>249</v>
      </c>
      <c r="L59" s="82"/>
    </row>
    <row r="60" spans="1:12" ht="14.25" thickBot="1">
      <c r="A60" s="79">
        <v>10</v>
      </c>
      <c r="B60" s="72"/>
      <c r="C60" s="73"/>
      <c r="D60" s="73"/>
      <c r="E60" s="73"/>
      <c r="F60" s="73"/>
      <c r="G60" s="73"/>
      <c r="H60" s="73"/>
      <c r="I60" s="73"/>
      <c r="J60" s="73"/>
      <c r="K60" s="74"/>
      <c r="L60" s="83"/>
    </row>
    <row r="61" spans="1:12">
      <c r="A61" s="25">
        <v>11</v>
      </c>
    </row>
    <row r="62" spans="1:12">
      <c r="A62" s="25">
        <v>12</v>
      </c>
    </row>
    <row r="63" spans="1:12">
      <c r="A63" s="25">
        <v>13</v>
      </c>
    </row>
    <row r="64" spans="1:12">
      <c r="A64" s="25">
        <v>14</v>
      </c>
    </row>
    <row r="65" spans="1:14">
      <c r="A65" s="25">
        <v>15</v>
      </c>
    </row>
    <row r="67" spans="1:14">
      <c r="A67" s="49"/>
      <c r="B67" s="49">
        <v>1</v>
      </c>
      <c r="C67" s="49">
        <v>2</v>
      </c>
      <c r="D67" s="49">
        <v>3</v>
      </c>
      <c r="E67" s="49">
        <v>4</v>
      </c>
      <c r="F67" s="49">
        <v>5</v>
      </c>
      <c r="G67" s="49">
        <v>6</v>
      </c>
      <c r="I67" s="49"/>
      <c r="J67" s="25" t="s">
        <v>1239</v>
      </c>
      <c r="K67" s="25" t="s">
        <v>40</v>
      </c>
    </row>
    <row r="68" spans="1:14">
      <c r="A68" s="49"/>
      <c r="B68" s="49">
        <f t="shared" ref="B68:G68" si="12">COUNTA(B69:B88)</f>
        <v>18</v>
      </c>
      <c r="C68" s="49">
        <f t="shared" si="12"/>
        <v>18</v>
      </c>
      <c r="D68" s="49">
        <f t="shared" si="12"/>
        <v>18</v>
      </c>
      <c r="E68" s="49">
        <f t="shared" si="12"/>
        <v>18</v>
      </c>
      <c r="F68" s="49">
        <f t="shared" si="12"/>
        <v>18</v>
      </c>
      <c r="G68" s="49">
        <f t="shared" si="12"/>
        <v>0</v>
      </c>
      <c r="I68" s="49">
        <f>SUM(B68:F68)</f>
        <v>90</v>
      </c>
      <c r="J68" s="49">
        <f>COUNTA(B69:F82)</f>
        <v>70</v>
      </c>
      <c r="K68" s="49">
        <f>COUNTA(B84:F88)</f>
        <v>20</v>
      </c>
    </row>
    <row r="69" spans="1:14">
      <c r="A69" s="49">
        <v>1</v>
      </c>
      <c r="B69" s="49" t="s">
        <v>5</v>
      </c>
      <c r="C69" s="49" t="s">
        <v>5</v>
      </c>
      <c r="D69" s="49" t="s">
        <v>5</v>
      </c>
      <c r="E69" s="49" t="s">
        <v>5</v>
      </c>
      <c r="F69" s="49" t="s">
        <v>5</v>
      </c>
      <c r="G69" s="49"/>
    </row>
    <row r="70" spans="1:14">
      <c r="A70" s="49">
        <v>2</v>
      </c>
      <c r="B70" s="49" t="s">
        <v>4</v>
      </c>
      <c r="C70" s="49" t="s">
        <v>4</v>
      </c>
      <c r="D70" s="49" t="s">
        <v>4</v>
      </c>
      <c r="E70" s="49" t="s">
        <v>4</v>
      </c>
      <c r="F70" s="49" t="s">
        <v>4</v>
      </c>
      <c r="G70" s="49"/>
      <c r="N70" s="25">
        <f>90/6</f>
        <v>15</v>
      </c>
    </row>
    <row r="71" spans="1:14">
      <c r="A71" s="49">
        <v>3</v>
      </c>
      <c r="B71" s="49" t="s">
        <v>3</v>
      </c>
      <c r="C71" s="49" t="s">
        <v>3</v>
      </c>
      <c r="D71" s="49" t="s">
        <v>3</v>
      </c>
      <c r="E71" s="49" t="s">
        <v>3</v>
      </c>
      <c r="F71" s="49" t="s">
        <v>3</v>
      </c>
      <c r="G71" s="49"/>
    </row>
    <row r="72" spans="1:14">
      <c r="A72" s="49">
        <v>4</v>
      </c>
      <c r="B72" s="49" t="s">
        <v>2</v>
      </c>
      <c r="C72" s="49" t="s">
        <v>2</v>
      </c>
      <c r="D72" s="49" t="s">
        <v>2</v>
      </c>
      <c r="E72" s="49" t="s">
        <v>2</v>
      </c>
      <c r="F72" s="49" t="s">
        <v>2</v>
      </c>
      <c r="G72" s="49"/>
      <c r="K72" s="25">
        <v>7</v>
      </c>
    </row>
    <row r="73" spans="1:14">
      <c r="A73" s="49">
        <v>5</v>
      </c>
      <c r="B73" s="49" t="s">
        <v>28</v>
      </c>
      <c r="C73" s="49" t="s">
        <v>28</v>
      </c>
      <c r="D73" s="49" t="s">
        <v>28</v>
      </c>
      <c r="E73" s="49" t="s">
        <v>28</v>
      </c>
      <c r="F73" s="49" t="s">
        <v>28</v>
      </c>
      <c r="G73" s="49"/>
      <c r="K73" s="25">
        <v>14</v>
      </c>
    </row>
    <row r="74" spans="1:14">
      <c r="A74" s="49">
        <v>6</v>
      </c>
      <c r="B74" s="49" t="s">
        <v>5</v>
      </c>
      <c r="C74" s="49" t="s">
        <v>4</v>
      </c>
      <c r="D74" s="49" t="s">
        <v>3</v>
      </c>
      <c r="E74" s="49" t="s">
        <v>2</v>
      </c>
      <c r="F74" s="49" t="s">
        <v>28</v>
      </c>
      <c r="G74" s="49"/>
      <c r="K74" s="25">
        <v>2</v>
      </c>
    </row>
    <row r="75" spans="1:14">
      <c r="A75" s="49">
        <v>7</v>
      </c>
      <c r="B75" s="49" t="s">
        <v>4</v>
      </c>
      <c r="C75" s="49" t="s">
        <v>3</v>
      </c>
      <c r="D75" s="49" t="s">
        <v>2</v>
      </c>
      <c r="E75" s="49" t="s">
        <v>28</v>
      </c>
      <c r="F75" s="49" t="s">
        <v>5</v>
      </c>
      <c r="K75" s="25">
        <v>16</v>
      </c>
    </row>
    <row r="76" spans="1:14">
      <c r="A76" s="49">
        <v>8</v>
      </c>
      <c r="B76" s="49" t="s">
        <v>3</v>
      </c>
      <c r="C76" s="49" t="s">
        <v>2</v>
      </c>
      <c r="D76" s="49" t="s">
        <v>28</v>
      </c>
      <c r="E76" s="49" t="s">
        <v>5</v>
      </c>
      <c r="F76" s="49" t="s">
        <v>4</v>
      </c>
    </row>
    <row r="77" spans="1:14">
      <c r="A77" s="49">
        <v>9</v>
      </c>
      <c r="B77" s="49" t="s">
        <v>2</v>
      </c>
      <c r="C77" s="49" t="s">
        <v>28</v>
      </c>
      <c r="D77" s="49" t="s">
        <v>5</v>
      </c>
      <c r="E77" s="49" t="s">
        <v>4</v>
      </c>
      <c r="F77" s="49" t="s">
        <v>3</v>
      </c>
    </row>
    <row r="78" spans="1:14">
      <c r="A78" s="49">
        <v>10</v>
      </c>
      <c r="B78" s="49" t="s">
        <v>33</v>
      </c>
      <c r="C78" s="49" t="s">
        <v>34</v>
      </c>
      <c r="D78" s="49" t="s">
        <v>35</v>
      </c>
      <c r="E78" s="49" t="s">
        <v>36</v>
      </c>
      <c r="F78" s="49" t="s">
        <v>37</v>
      </c>
      <c r="G78" s="49"/>
    </row>
    <row r="79" spans="1:14">
      <c r="A79" s="49">
        <v>11</v>
      </c>
      <c r="B79" s="49" t="s">
        <v>33</v>
      </c>
      <c r="C79" s="49" t="s">
        <v>34</v>
      </c>
      <c r="D79" s="49" t="s">
        <v>35</v>
      </c>
      <c r="E79" s="49" t="s">
        <v>36</v>
      </c>
      <c r="F79" s="49" t="s">
        <v>37</v>
      </c>
      <c r="G79" s="49"/>
    </row>
    <row r="80" spans="1:14">
      <c r="A80" s="49">
        <v>12</v>
      </c>
      <c r="B80" s="49" t="s">
        <v>901</v>
      </c>
      <c r="C80" s="49" t="s">
        <v>903</v>
      </c>
      <c r="D80" s="49" t="s">
        <v>905</v>
      </c>
      <c r="E80" s="49" t="s">
        <v>907</v>
      </c>
      <c r="F80" s="49" t="s">
        <v>899</v>
      </c>
      <c r="G80" s="49"/>
    </row>
    <row r="81" spans="1:14">
      <c r="A81" s="49">
        <v>13</v>
      </c>
      <c r="B81" s="49" t="s">
        <v>1236</v>
      </c>
      <c r="C81" s="49" t="s">
        <v>1236</v>
      </c>
      <c r="D81" s="49" t="s">
        <v>1236</v>
      </c>
      <c r="E81" s="49" t="s">
        <v>1236</v>
      </c>
      <c r="F81" s="49" t="s">
        <v>915</v>
      </c>
      <c r="G81" s="49"/>
    </row>
    <row r="82" spans="1:14">
      <c r="A82" s="49">
        <v>14</v>
      </c>
      <c r="B82" s="49" t="s">
        <v>249</v>
      </c>
      <c r="C82" s="49" t="s">
        <v>249</v>
      </c>
      <c r="D82" s="49" t="s">
        <v>249</v>
      </c>
      <c r="E82" s="49" t="s">
        <v>249</v>
      </c>
      <c r="F82" s="49" t="s">
        <v>249</v>
      </c>
      <c r="G82" s="49"/>
      <c r="I82" s="49"/>
    </row>
    <row r="83" spans="1:14">
      <c r="A83" s="49">
        <v>15</v>
      </c>
      <c r="G83" s="49"/>
      <c r="I83" s="49"/>
    </row>
    <row r="84" spans="1:14">
      <c r="A84" s="49" t="s">
        <v>757</v>
      </c>
      <c r="B84" s="49" t="s">
        <v>5</v>
      </c>
      <c r="C84" s="49" t="s">
        <v>4</v>
      </c>
      <c r="D84" s="49" t="s">
        <v>3</v>
      </c>
      <c r="E84" s="49" t="s">
        <v>2</v>
      </c>
      <c r="F84" s="49" t="s">
        <v>28</v>
      </c>
      <c r="G84" s="49"/>
      <c r="I84" s="49"/>
    </row>
    <row r="85" spans="1:14">
      <c r="A85" s="49" t="s">
        <v>1238</v>
      </c>
      <c r="B85" s="49" t="s">
        <v>5</v>
      </c>
      <c r="C85" s="49" t="s">
        <v>4</v>
      </c>
      <c r="D85" s="49" t="s">
        <v>3</v>
      </c>
      <c r="E85" s="49" t="s">
        <v>2</v>
      </c>
      <c r="F85" s="49" t="s">
        <v>28</v>
      </c>
      <c r="G85" s="49"/>
      <c r="I85" s="49"/>
    </row>
    <row r="86" spans="1:14">
      <c r="A86" s="49" t="s">
        <v>217</v>
      </c>
      <c r="B86" s="49" t="s">
        <v>30</v>
      </c>
      <c r="C86" s="49" t="s">
        <v>7</v>
      </c>
      <c r="D86" s="49" t="s">
        <v>8</v>
      </c>
      <c r="E86" s="49" t="s">
        <v>31</v>
      </c>
      <c r="F86" s="49" t="s">
        <v>32</v>
      </c>
      <c r="G86" s="49"/>
      <c r="I86" s="49"/>
      <c r="N86" s="49"/>
    </row>
    <row r="87" spans="1:14">
      <c r="A87" s="49" t="s">
        <v>218</v>
      </c>
      <c r="B87" s="49" t="s">
        <v>33</v>
      </c>
      <c r="C87" s="49" t="s">
        <v>34</v>
      </c>
      <c r="D87" s="49" t="s">
        <v>35</v>
      </c>
      <c r="E87" s="49" t="s">
        <v>36</v>
      </c>
      <c r="F87" s="49" t="s">
        <v>37</v>
      </c>
      <c r="G87" s="49"/>
      <c r="I87" s="49"/>
      <c r="N87" s="49"/>
    </row>
    <row r="88" spans="1:14">
      <c r="A88" s="49" t="s">
        <v>219</v>
      </c>
      <c r="B88" s="49"/>
      <c r="C88" s="49"/>
      <c r="D88" s="49"/>
      <c r="E88" s="49"/>
      <c r="F88" s="49"/>
      <c r="G88" s="49"/>
      <c r="I88" s="49"/>
      <c r="N88" s="49"/>
    </row>
    <row r="89" spans="1:14">
      <c r="I89" s="49"/>
      <c r="N89" s="49"/>
    </row>
    <row r="90" spans="1:14">
      <c r="I90" s="49"/>
      <c r="N90" s="49"/>
    </row>
  </sheetData>
  <phoneticPr fontId="1"/>
  <pageMargins left="0.7" right="0.7" top="0.75" bottom="0.75" header="0.3" footer="0.3"/>
  <pageSetup paperSize="9" orientation="landscape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Q153"/>
  <sheetViews>
    <sheetView workbookViewId="0">
      <selection activeCell="G28" sqref="G28"/>
    </sheetView>
  </sheetViews>
  <sheetFormatPr defaultRowHeight="14.25" customHeight="1"/>
  <cols>
    <col min="7" max="7" width="11.625" bestFit="1" customWidth="1"/>
  </cols>
  <sheetData>
    <row r="1" spans="1:15" ht="14.25" customHeight="1">
      <c r="A1" t="s">
        <v>216</v>
      </c>
      <c r="B1">
        <f>SUM(C1:F1)</f>
        <v>324</v>
      </c>
      <c r="C1">
        <f>F23</f>
        <v>144</v>
      </c>
      <c r="D1">
        <f>F24</f>
        <v>90</v>
      </c>
      <c r="E1">
        <f>F25</f>
        <v>70</v>
      </c>
      <c r="F1">
        <f>F26</f>
        <v>20</v>
      </c>
      <c r="I1">
        <f>240/4</f>
        <v>60</v>
      </c>
      <c r="J1">
        <f>96/3</f>
        <v>32</v>
      </c>
      <c r="K1">
        <f>24/2</f>
        <v>12</v>
      </c>
      <c r="O1" s="30">
        <f>3/90</f>
        <v>3.3333333333333333E-2</v>
      </c>
    </row>
    <row r="2" spans="1:15" ht="14.25" customHeight="1">
      <c r="A2" t="s">
        <v>13</v>
      </c>
      <c r="B2">
        <v>249</v>
      </c>
      <c r="C2">
        <v>101</v>
      </c>
      <c r="D2">
        <v>80</v>
      </c>
      <c r="E2">
        <v>53</v>
      </c>
      <c r="F2">
        <f>F26</f>
        <v>20</v>
      </c>
      <c r="H2">
        <f>SUM(C2:G2)</f>
        <v>254</v>
      </c>
      <c r="K2">
        <f>SUM(I1:K1)</f>
        <v>104</v>
      </c>
      <c r="L2">
        <v>264</v>
      </c>
      <c r="O2" s="14">
        <f>3/5</f>
        <v>0.6</v>
      </c>
    </row>
    <row r="3" spans="1:15" ht="14.25" customHeight="1">
      <c r="A3" t="s">
        <v>12</v>
      </c>
      <c r="B3">
        <v>264</v>
      </c>
      <c r="C3">
        <v>101</v>
      </c>
      <c r="D3">
        <v>80</v>
      </c>
      <c r="E3">
        <v>53</v>
      </c>
      <c r="F3">
        <v>15</v>
      </c>
      <c r="G3">
        <v>15</v>
      </c>
      <c r="H3">
        <f>SUM(C3:G3)</f>
        <v>264</v>
      </c>
      <c r="L3">
        <f>L2-20</f>
        <v>244</v>
      </c>
    </row>
    <row r="4" spans="1:15" ht="14.25" customHeight="1">
      <c r="A4" t="s">
        <v>114</v>
      </c>
      <c r="C4">
        <v>101</v>
      </c>
      <c r="D4">
        <v>80</v>
      </c>
      <c r="E4">
        <v>55</v>
      </c>
      <c r="F4">
        <v>16</v>
      </c>
      <c r="G4">
        <v>20</v>
      </c>
      <c r="H4">
        <f>SUM(C4:G4)</f>
        <v>272</v>
      </c>
      <c r="J4">
        <v>5</v>
      </c>
      <c r="L4">
        <f>L3/5</f>
        <v>48.8</v>
      </c>
      <c r="M4">
        <f>130/5</f>
        <v>26</v>
      </c>
    </row>
    <row r="5" spans="1:15" ht="14.25" customHeight="1">
      <c r="C5" s="14">
        <f>C8/G8</f>
        <v>0.58064516129032262</v>
      </c>
      <c r="D5" s="14">
        <f>D8/G8</f>
        <v>0.29032258064516131</v>
      </c>
      <c r="E5" s="14">
        <f>E8/G8</f>
        <v>0.11290322580645161</v>
      </c>
      <c r="F5" s="14">
        <f>F8/G8</f>
        <v>1.6129032258064516E-2</v>
      </c>
    </row>
    <row r="6" spans="1:15" ht="14.25" customHeight="1">
      <c r="C6" t="s">
        <v>6</v>
      </c>
      <c r="D6" t="s">
        <v>1</v>
      </c>
      <c r="E6" t="s">
        <v>0</v>
      </c>
      <c r="F6" t="s">
        <v>10</v>
      </c>
      <c r="G6" t="s">
        <v>9</v>
      </c>
      <c r="J6">
        <v>10</v>
      </c>
    </row>
    <row r="7" spans="1:15" ht="14.25" customHeight="1" thickBot="1">
      <c r="B7" t="s">
        <v>11</v>
      </c>
      <c r="C7">
        <v>5</v>
      </c>
      <c r="D7">
        <v>4</v>
      </c>
      <c r="E7">
        <v>2</v>
      </c>
      <c r="H7" t="s">
        <v>241</v>
      </c>
      <c r="J7">
        <v>15</v>
      </c>
      <c r="M7">
        <v>19</v>
      </c>
      <c r="N7">
        <f t="shared" ref="N7:N15" si="0">M7*4</f>
        <v>76</v>
      </c>
    </row>
    <row r="8" spans="1:15" ht="14.25" customHeight="1" thickBot="1">
      <c r="C8" s="12">
        <f>C1*C7</f>
        <v>720</v>
      </c>
      <c r="D8" s="13">
        <f>D1*D7</f>
        <v>360</v>
      </c>
      <c r="E8" s="13">
        <f>E1*E7</f>
        <v>140</v>
      </c>
      <c r="F8" s="13">
        <f>F1</f>
        <v>20</v>
      </c>
      <c r="G8" s="5">
        <f>SUM(C8:F8)</f>
        <v>1240</v>
      </c>
      <c r="H8">
        <v>250</v>
      </c>
      <c r="J8">
        <v>20</v>
      </c>
      <c r="K8">
        <v>220</v>
      </c>
      <c r="M8">
        <v>18</v>
      </c>
      <c r="N8">
        <f t="shared" si="0"/>
        <v>72</v>
      </c>
      <c r="O8">
        <f>6*4</f>
        <v>24</v>
      </c>
    </row>
    <row r="9" spans="1:15" ht="14.25" customHeight="1" thickBot="1">
      <c r="B9">
        <f>B2*4</f>
        <v>996</v>
      </c>
      <c r="C9" s="5">
        <f>3*8*C10</f>
        <v>264</v>
      </c>
      <c r="D9" s="5">
        <f>3*8*D10</f>
        <v>72</v>
      </c>
      <c r="E9" s="5">
        <f>3*8*1</f>
        <v>24</v>
      </c>
      <c r="F9" s="5"/>
      <c r="G9" s="5">
        <f>3*8*15</f>
        <v>360</v>
      </c>
      <c r="H9">
        <f>H8/5</f>
        <v>50</v>
      </c>
      <c r="J9">
        <v>25</v>
      </c>
      <c r="K9">
        <f>72/K8</f>
        <v>0.32727272727272727</v>
      </c>
      <c r="M9">
        <v>17</v>
      </c>
      <c r="N9">
        <f t="shared" si="0"/>
        <v>68</v>
      </c>
    </row>
    <row r="10" spans="1:15" s="49" customFormat="1" ht="14.25" customHeight="1">
      <c r="C10" s="19">
        <v>11</v>
      </c>
      <c r="D10" s="19">
        <v>3</v>
      </c>
      <c r="E10" s="19">
        <v>1</v>
      </c>
      <c r="F10" s="19"/>
      <c r="G10" s="19"/>
    </row>
    <row r="11" spans="1:15" ht="14.25" customHeight="1" thickBot="1">
      <c r="C11" s="14">
        <f>C9/C8</f>
        <v>0.36666666666666664</v>
      </c>
      <c r="D11" s="14">
        <f>D9/D8</f>
        <v>0.2</v>
      </c>
      <c r="E11" s="14">
        <f>E9/(E8+F8)</f>
        <v>0.15</v>
      </c>
      <c r="F11" s="14"/>
      <c r="G11" s="14">
        <f>G9/G8</f>
        <v>0.29032258064516131</v>
      </c>
      <c r="I11">
        <f>20/240</f>
        <v>8.3333333333333329E-2</v>
      </c>
      <c r="J11">
        <v>30</v>
      </c>
      <c r="M11">
        <v>16</v>
      </c>
      <c r="N11">
        <f t="shared" si="0"/>
        <v>64</v>
      </c>
    </row>
    <row r="12" spans="1:15" ht="14.25" customHeight="1">
      <c r="A12">
        <v>15</v>
      </c>
      <c r="B12">
        <v>16</v>
      </c>
      <c r="C12" s="1">
        <v>17</v>
      </c>
      <c r="D12">
        <v>18</v>
      </c>
      <c r="E12">
        <v>19</v>
      </c>
      <c r="F12" s="14">
        <f>F8/(E8+F8)</f>
        <v>0.125</v>
      </c>
      <c r="J12">
        <v>35</v>
      </c>
      <c r="M12">
        <v>15</v>
      </c>
      <c r="N12">
        <f t="shared" si="0"/>
        <v>60</v>
      </c>
      <c r="O12">
        <f>6*8</f>
        <v>48</v>
      </c>
    </row>
    <row r="13" spans="1:15" ht="14.25" customHeight="1">
      <c r="A13">
        <f>A12*5</f>
        <v>75</v>
      </c>
      <c r="B13">
        <f>B12*5</f>
        <v>80</v>
      </c>
      <c r="C13" s="2">
        <f>C12*5</f>
        <v>85</v>
      </c>
      <c r="D13">
        <f>D12*5</f>
        <v>90</v>
      </c>
      <c r="E13">
        <f>E12*5</f>
        <v>95</v>
      </c>
      <c r="J13">
        <v>40</v>
      </c>
      <c r="M13">
        <v>14</v>
      </c>
      <c r="N13">
        <f t="shared" si="0"/>
        <v>56</v>
      </c>
      <c r="O13">
        <f>48*15</f>
        <v>720</v>
      </c>
    </row>
    <row r="14" spans="1:15" ht="14.25" customHeight="1" thickBot="1">
      <c r="A14">
        <f>101-A13</f>
        <v>26</v>
      </c>
      <c r="B14">
        <f>101-B13</f>
        <v>21</v>
      </c>
      <c r="C14" s="3">
        <f>101-C13</f>
        <v>16</v>
      </c>
      <c r="D14">
        <f>101-D13</f>
        <v>11</v>
      </c>
      <c r="E14">
        <f>101-E13</f>
        <v>6</v>
      </c>
      <c r="G14" s="15">
        <v>42297</v>
      </c>
      <c r="H14" s="16">
        <v>0.41666666666666669</v>
      </c>
      <c r="I14" s="16">
        <v>0.25</v>
      </c>
      <c r="J14">
        <v>45</v>
      </c>
      <c r="K14">
        <v>19</v>
      </c>
      <c r="M14">
        <v>13</v>
      </c>
      <c r="N14">
        <f t="shared" si="0"/>
        <v>52</v>
      </c>
    </row>
    <row r="15" spans="1:15" ht="14.25" customHeight="1">
      <c r="D15">
        <v>40</v>
      </c>
      <c r="G15" s="15">
        <v>42300</v>
      </c>
      <c r="H15" s="16">
        <v>0.625</v>
      </c>
      <c r="I15" s="16">
        <v>0.33333333333333331</v>
      </c>
      <c r="J15">
        <v>50</v>
      </c>
      <c r="K15">
        <v>12</v>
      </c>
      <c r="M15">
        <v>12</v>
      </c>
      <c r="N15">
        <f t="shared" si="0"/>
        <v>48</v>
      </c>
    </row>
    <row r="16" spans="1:15" ht="14.25" customHeight="1" thickBot="1">
      <c r="B16" t="s">
        <v>165</v>
      </c>
      <c r="C16" t="s">
        <v>166</v>
      </c>
      <c r="D16" t="s">
        <v>168</v>
      </c>
      <c r="E16" t="s">
        <v>167</v>
      </c>
      <c r="G16">
        <f>E8+F8</f>
        <v>160</v>
      </c>
      <c r="H16" s="15"/>
      <c r="I16" s="16"/>
      <c r="J16" s="16"/>
      <c r="K16">
        <v>7</v>
      </c>
      <c r="N16">
        <v>11</v>
      </c>
      <c r="O16">
        <f>N16*4</f>
        <v>44</v>
      </c>
    </row>
    <row r="17" spans="1:17" ht="14.25" customHeight="1">
      <c r="A17" s="22" t="s">
        <v>16</v>
      </c>
      <c r="B17" s="6">
        <v>19</v>
      </c>
      <c r="C17" s="7">
        <v>5</v>
      </c>
      <c r="D17" s="26">
        <v>1</v>
      </c>
      <c r="E17" s="8">
        <v>0</v>
      </c>
      <c r="F17" s="22">
        <f>SUM(B17*5,C17:E17)</f>
        <v>101</v>
      </c>
      <c r="J17" s="16">
        <v>0.20833333333333334</v>
      </c>
      <c r="K17">
        <v>2</v>
      </c>
      <c r="L17">
        <v>5</v>
      </c>
      <c r="N17">
        <v>10</v>
      </c>
      <c r="O17">
        <f>N17*4</f>
        <v>40</v>
      </c>
    </row>
    <row r="18" spans="1:17" ht="14.25" customHeight="1">
      <c r="A18" s="23" t="s">
        <v>148</v>
      </c>
      <c r="B18" s="20">
        <v>12</v>
      </c>
      <c r="C18" s="17">
        <v>6</v>
      </c>
      <c r="D18" s="12">
        <v>4</v>
      </c>
      <c r="E18" s="21">
        <v>10</v>
      </c>
      <c r="F18" s="23">
        <f>SUM(B18*5,C18:E18)</f>
        <v>80</v>
      </c>
      <c r="J18" s="16"/>
      <c r="K18">
        <f>SUM(K14:K17)</f>
        <v>40</v>
      </c>
      <c r="N18">
        <v>9</v>
      </c>
      <c r="O18">
        <f>N18*4</f>
        <v>36</v>
      </c>
    </row>
    <row r="19" spans="1:17" ht="14.25" customHeight="1">
      <c r="A19" s="23" t="s">
        <v>149</v>
      </c>
      <c r="B19" s="20">
        <v>7</v>
      </c>
      <c r="C19" s="17">
        <v>3</v>
      </c>
      <c r="D19" s="12">
        <v>5</v>
      </c>
      <c r="E19" s="21">
        <v>10</v>
      </c>
      <c r="F19" s="23">
        <f>SUM(B19*5,C19:E19)</f>
        <v>53</v>
      </c>
      <c r="G19">
        <v>10</v>
      </c>
      <c r="H19">
        <f>SUM(G20:G29)</f>
        <v>66</v>
      </c>
      <c r="J19" s="16"/>
      <c r="N19">
        <v>8</v>
      </c>
      <c r="O19">
        <f>N19*4</f>
        <v>32</v>
      </c>
    </row>
    <row r="20" spans="1:17" ht="14.25" customHeight="1" thickBot="1">
      <c r="A20" s="24" t="s">
        <v>150</v>
      </c>
      <c r="B20" s="9">
        <v>2</v>
      </c>
      <c r="C20" s="10"/>
      <c r="D20" s="27"/>
      <c r="E20" s="11">
        <v>5</v>
      </c>
      <c r="F20" s="24">
        <f>SUM(B20*5,C20:E20)</f>
        <v>15</v>
      </c>
      <c r="H20">
        <v>3</v>
      </c>
      <c r="J20" s="16"/>
      <c r="N20">
        <v>7</v>
      </c>
      <c r="O20">
        <f>N20*4</f>
        <v>28</v>
      </c>
    </row>
    <row r="21" spans="1:17" ht="14.25" customHeight="1">
      <c r="G21">
        <v>10</v>
      </c>
      <c r="H21" t="s">
        <v>238</v>
      </c>
      <c r="I21" s="28"/>
      <c r="J21" s="14"/>
      <c r="M21">
        <v>6</v>
      </c>
      <c r="N21">
        <f>M21*4</f>
        <v>24</v>
      </c>
    </row>
    <row r="22" spans="1:17" ht="14.25" customHeight="1" thickBot="1">
      <c r="B22" t="s">
        <v>165</v>
      </c>
      <c r="C22" t="s">
        <v>166</v>
      </c>
      <c r="D22" t="s">
        <v>168</v>
      </c>
      <c r="E22" t="s">
        <v>167</v>
      </c>
      <c r="F22" t="s">
        <v>240</v>
      </c>
      <c r="G22" s="28">
        <v>8</v>
      </c>
      <c r="H22" t="s">
        <v>226</v>
      </c>
      <c r="I22" s="16" t="s">
        <v>227</v>
      </c>
      <c r="J22" t="s">
        <v>228</v>
      </c>
      <c r="K22" t="s">
        <v>229</v>
      </c>
      <c r="L22" t="s">
        <v>230</v>
      </c>
      <c r="M22" t="s">
        <v>237</v>
      </c>
      <c r="N22">
        <v>2</v>
      </c>
    </row>
    <row r="23" spans="1:17" ht="14.25" customHeight="1" thickBot="1">
      <c r="A23" s="22" t="s">
        <v>16</v>
      </c>
      <c r="B23" s="6">
        <v>20</v>
      </c>
      <c r="C23" s="7">
        <v>7</v>
      </c>
      <c r="D23" s="26">
        <v>7</v>
      </c>
      <c r="E23" s="8">
        <v>30</v>
      </c>
      <c r="F23" s="22">
        <f>SUM(B23*5,C23:E23)</f>
        <v>144</v>
      </c>
      <c r="G23" s="29"/>
      <c r="M23" t="s">
        <v>239</v>
      </c>
    </row>
    <row r="24" spans="1:17" ht="14.25" customHeight="1" thickBot="1">
      <c r="A24" s="23" t="s">
        <v>148</v>
      </c>
      <c r="B24" s="20">
        <v>11</v>
      </c>
      <c r="C24" s="17">
        <v>9</v>
      </c>
      <c r="D24" s="12">
        <v>6</v>
      </c>
      <c r="E24" s="21">
        <v>20</v>
      </c>
      <c r="F24" s="22">
        <f>SUM(B24*5,C24:E24)</f>
        <v>90</v>
      </c>
      <c r="H24" t="s">
        <v>231</v>
      </c>
      <c r="I24" s="16" t="s">
        <v>232</v>
      </c>
      <c r="J24" t="s">
        <v>233</v>
      </c>
      <c r="K24" t="s">
        <v>234</v>
      </c>
      <c r="L24" t="s">
        <v>235</v>
      </c>
      <c r="M24" t="s">
        <v>236</v>
      </c>
    </row>
    <row r="25" spans="1:17" ht="14.25" customHeight="1" thickBot="1">
      <c r="A25" s="23" t="s">
        <v>0</v>
      </c>
      <c r="B25" s="20">
        <v>10</v>
      </c>
      <c r="C25" s="17">
        <v>4</v>
      </c>
      <c r="D25" s="12">
        <v>5</v>
      </c>
      <c r="E25" s="21">
        <v>11</v>
      </c>
      <c r="F25" s="22">
        <f>SUM(B25*5,C25:E25)</f>
        <v>70</v>
      </c>
      <c r="G25" s="18">
        <f>SUM(G27:G28)</f>
        <v>4</v>
      </c>
      <c r="M25">
        <f>(N25*5+2)*5</f>
        <v>60</v>
      </c>
      <c r="N25">
        <f>SUM(N22:N23)</f>
        <v>2</v>
      </c>
    </row>
    <row r="26" spans="1:17" ht="14.25" customHeight="1" thickBot="1">
      <c r="A26" s="24" t="s">
        <v>40</v>
      </c>
      <c r="B26" s="9">
        <v>2</v>
      </c>
      <c r="C26" s="10"/>
      <c r="D26" s="27"/>
      <c r="E26" s="11">
        <v>10</v>
      </c>
      <c r="F26" s="22">
        <f>SUM(B26*5,C26:E26)</f>
        <v>20</v>
      </c>
      <c r="H26" s="14" t="e">
        <f>24/H25</f>
        <v>#DIV/0!</v>
      </c>
      <c r="I26" s="16"/>
      <c r="M26" s="14">
        <f>24/M25</f>
        <v>0.4</v>
      </c>
    </row>
    <row r="27" spans="1:17" ht="14.25" customHeight="1">
      <c r="B27">
        <f>SUM(B23:B26)</f>
        <v>43</v>
      </c>
      <c r="C27" s="49">
        <f>C23+C24+C25</f>
        <v>20</v>
      </c>
      <c r="D27">
        <f>D23+D24+D25</f>
        <v>18</v>
      </c>
      <c r="F27" t="s">
        <v>237</v>
      </c>
      <c r="G27" s="28"/>
    </row>
    <row r="28" spans="1:17" ht="14.25" customHeight="1">
      <c r="F28" t="s">
        <v>239</v>
      </c>
      <c r="G28" s="28">
        <v>4</v>
      </c>
      <c r="H28" s="28">
        <f>G23+(G25*3)+N25</f>
        <v>14</v>
      </c>
      <c r="O28">
        <v>3</v>
      </c>
    </row>
    <row r="29" spans="1:17" ht="14.25" customHeight="1">
      <c r="B29">
        <v>12</v>
      </c>
      <c r="C29">
        <v>13</v>
      </c>
      <c r="D29">
        <v>14</v>
      </c>
      <c r="E29">
        <v>15</v>
      </c>
      <c r="G29">
        <f>H29*5</f>
        <v>40</v>
      </c>
      <c r="H29">
        <v>8</v>
      </c>
      <c r="I29" s="16">
        <f>SUM(I14:I17)</f>
        <v>0.58333333333333326</v>
      </c>
      <c r="K29">
        <v>4</v>
      </c>
      <c r="M29">
        <v>5</v>
      </c>
      <c r="N29">
        <f>M29*4</f>
        <v>20</v>
      </c>
      <c r="P29">
        <v>5</v>
      </c>
      <c r="Q29">
        <v>25</v>
      </c>
    </row>
    <row r="30" spans="1:17" ht="14.25" customHeight="1">
      <c r="B30">
        <f>B29*5</f>
        <v>60</v>
      </c>
      <c r="C30">
        <f>C29*5</f>
        <v>65</v>
      </c>
      <c r="D30">
        <f>D29*5</f>
        <v>70</v>
      </c>
      <c r="E30">
        <f>E29*5</f>
        <v>75</v>
      </c>
      <c r="K30">
        <v>4</v>
      </c>
      <c r="M30">
        <v>4</v>
      </c>
      <c r="N30">
        <f>M30*4</f>
        <v>16</v>
      </c>
      <c r="P30">
        <v>3</v>
      </c>
      <c r="Q30">
        <v>9</v>
      </c>
    </row>
    <row r="31" spans="1:17" ht="14.25" customHeight="1">
      <c r="B31">
        <f>80-B30</f>
        <v>20</v>
      </c>
      <c r="C31">
        <f>80-C30</f>
        <v>15</v>
      </c>
      <c r="D31">
        <f>80-D30</f>
        <v>10</v>
      </c>
      <c r="E31">
        <f>80-E30</f>
        <v>5</v>
      </c>
      <c r="F31">
        <v>5</v>
      </c>
      <c r="G31">
        <v>4</v>
      </c>
      <c r="H31">
        <v>4</v>
      </c>
      <c r="I31" s="16">
        <v>4</v>
      </c>
      <c r="K31">
        <v>4</v>
      </c>
      <c r="M31">
        <v>3</v>
      </c>
      <c r="N31">
        <f>M31*4</f>
        <v>12</v>
      </c>
      <c r="P31">
        <v>2</v>
      </c>
      <c r="Q31">
        <v>4</v>
      </c>
    </row>
    <row r="32" spans="1:17" ht="14.25" customHeight="1">
      <c r="A32">
        <v>1</v>
      </c>
      <c r="B32">
        <v>8</v>
      </c>
      <c r="C32" s="14">
        <f>A32/B32</f>
        <v>0.125</v>
      </c>
      <c r="D32">
        <v>5</v>
      </c>
      <c r="E32">
        <v>4</v>
      </c>
      <c r="F32">
        <v>4</v>
      </c>
      <c r="G32">
        <v>4</v>
      </c>
      <c r="M32">
        <v>2</v>
      </c>
      <c r="N32">
        <f>M32*4</f>
        <v>8</v>
      </c>
      <c r="Q32">
        <f>SUM(Q29:Q31)*2+O28</f>
        <v>79</v>
      </c>
    </row>
    <row r="33" spans="1:14" ht="14.25" customHeight="1">
      <c r="A33">
        <v>2</v>
      </c>
      <c r="B33">
        <v>16</v>
      </c>
      <c r="C33" s="14">
        <f>A33/B33</f>
        <v>0.125</v>
      </c>
      <c r="G33">
        <v>80</v>
      </c>
      <c r="H33">
        <v>26</v>
      </c>
      <c r="I33">
        <v>26</v>
      </c>
      <c r="J33">
        <v>28</v>
      </c>
      <c r="L33">
        <v>88</v>
      </c>
      <c r="M33">
        <v>1</v>
      </c>
      <c r="N33">
        <f>M33*4</f>
        <v>4</v>
      </c>
    </row>
    <row r="34" spans="1:14" ht="14.25" customHeight="1" thickBot="1">
      <c r="A34">
        <v>3</v>
      </c>
      <c r="B34" s="31">
        <v>24</v>
      </c>
      <c r="C34" s="14">
        <f>A34/B34</f>
        <v>0.125</v>
      </c>
      <c r="G34">
        <v>20</v>
      </c>
      <c r="L34">
        <f>L33*0.45</f>
        <v>39.6</v>
      </c>
    </row>
    <row r="35" spans="1:14" ht="14.25" customHeight="1" thickBot="1">
      <c r="A35">
        <v>4</v>
      </c>
      <c r="B35" s="31">
        <v>32</v>
      </c>
      <c r="C35" s="14">
        <f t="shared" ref="C35:C46" si="1">A35/B35</f>
        <v>0.125</v>
      </c>
      <c r="E35">
        <v>53</v>
      </c>
      <c r="F35">
        <v>68</v>
      </c>
      <c r="G35">
        <v>10</v>
      </c>
      <c r="H35" t="s">
        <v>38</v>
      </c>
      <c r="I35" t="s">
        <v>39</v>
      </c>
      <c r="J35" t="s">
        <v>115</v>
      </c>
      <c r="M35">
        <f>19-(N35*5)</f>
        <v>9</v>
      </c>
      <c r="N35" s="5">
        <v>2</v>
      </c>
    </row>
    <row r="36" spans="1:14" ht="14.25" customHeight="1">
      <c r="A36">
        <v>5</v>
      </c>
      <c r="B36" s="31">
        <v>40</v>
      </c>
      <c r="C36" s="14">
        <f t="shared" si="1"/>
        <v>0.125</v>
      </c>
      <c r="E36">
        <v>15</v>
      </c>
      <c r="F36" s="14">
        <f>15/F35</f>
        <v>0.22058823529411764</v>
      </c>
      <c r="G36">
        <v>50</v>
      </c>
      <c r="H36">
        <v>15</v>
      </c>
      <c r="I36">
        <v>15</v>
      </c>
      <c r="J36">
        <v>25</v>
      </c>
      <c r="L36">
        <f>35/5</f>
        <v>7</v>
      </c>
      <c r="M36">
        <f>M35*4</f>
        <v>36</v>
      </c>
      <c r="N36">
        <f>N35*5*4</f>
        <v>40</v>
      </c>
    </row>
    <row r="37" spans="1:14" ht="14.25" customHeight="1">
      <c r="A37">
        <v>6</v>
      </c>
      <c r="B37" s="31">
        <v>48</v>
      </c>
      <c r="C37" s="14">
        <f t="shared" si="1"/>
        <v>0.125</v>
      </c>
      <c r="F37" s="14">
        <f>1/8</f>
        <v>0.125</v>
      </c>
      <c r="H37">
        <v>10</v>
      </c>
      <c r="I37">
        <v>10</v>
      </c>
      <c r="M37">
        <f>24/M36</f>
        <v>0.66666666666666663</v>
      </c>
    </row>
    <row r="38" spans="1:14" ht="14.25" customHeight="1">
      <c r="A38">
        <v>7</v>
      </c>
      <c r="B38" s="31">
        <v>56</v>
      </c>
      <c r="C38" s="14">
        <f t="shared" si="1"/>
        <v>0.125</v>
      </c>
      <c r="H38">
        <v>2</v>
      </c>
      <c r="I38">
        <v>2</v>
      </c>
      <c r="J38">
        <v>1</v>
      </c>
    </row>
    <row r="39" spans="1:14" ht="14.25" customHeight="1">
      <c r="A39">
        <v>8</v>
      </c>
      <c r="B39" s="31">
        <v>64</v>
      </c>
      <c r="C39" s="14">
        <f t="shared" si="1"/>
        <v>0.125</v>
      </c>
      <c r="E39">
        <v>1000</v>
      </c>
      <c r="F39">
        <v>3</v>
      </c>
      <c r="G39">
        <f>H36*3</f>
        <v>45</v>
      </c>
      <c r="H39">
        <f>SUM(H36:H38)</f>
        <v>27</v>
      </c>
      <c r="I39">
        <f>SUM(I36:I38)</f>
        <v>27</v>
      </c>
      <c r="J39">
        <f>SUM(J36:J38)</f>
        <v>26</v>
      </c>
      <c r="M39">
        <f>36-24</f>
        <v>12</v>
      </c>
    </row>
    <row r="40" spans="1:14" ht="14.25" customHeight="1">
      <c r="A40">
        <v>9</v>
      </c>
      <c r="B40" s="31">
        <v>72</v>
      </c>
      <c r="C40" s="14">
        <f t="shared" si="1"/>
        <v>0.125</v>
      </c>
      <c r="F40">
        <f>F39*8</f>
        <v>24</v>
      </c>
      <c r="H40">
        <f>H36*3+H37*2+H38*3</f>
        <v>71</v>
      </c>
      <c r="I40">
        <f>I36*3+I37*2+I38*3</f>
        <v>71</v>
      </c>
      <c r="J40">
        <f>J36*3+J37*2+J38*3</f>
        <v>78</v>
      </c>
      <c r="K40">
        <f>SUM(H40:J40)</f>
        <v>220</v>
      </c>
    </row>
    <row r="41" spans="1:14" ht="14.25" customHeight="1">
      <c r="A41">
        <v>10</v>
      </c>
      <c r="B41" s="31">
        <v>80</v>
      </c>
      <c r="C41" s="14">
        <f t="shared" si="1"/>
        <v>0.125</v>
      </c>
      <c r="F41">
        <v>12</v>
      </c>
      <c r="G41" t="s">
        <v>14</v>
      </c>
    </row>
    <row r="42" spans="1:14" ht="14.25" customHeight="1">
      <c r="A42">
        <v>11</v>
      </c>
      <c r="B42" s="31">
        <v>88</v>
      </c>
      <c r="C42" s="14">
        <f t="shared" si="1"/>
        <v>0.125</v>
      </c>
      <c r="G42" t="s">
        <v>15</v>
      </c>
      <c r="H42">
        <f>20/71</f>
        <v>0.28169014084507044</v>
      </c>
    </row>
    <row r="43" spans="1:14" ht="14.25" customHeight="1">
      <c r="A43">
        <v>12</v>
      </c>
      <c r="B43" s="31">
        <v>96</v>
      </c>
      <c r="C43" s="14">
        <f t="shared" si="1"/>
        <v>0.125</v>
      </c>
      <c r="G43" t="s">
        <v>15</v>
      </c>
      <c r="H43">
        <f>30/81</f>
        <v>0.37037037037037035</v>
      </c>
    </row>
    <row r="44" spans="1:14" ht="14.25" customHeight="1">
      <c r="A44">
        <v>13</v>
      </c>
      <c r="B44" s="31">
        <v>104</v>
      </c>
      <c r="C44" s="14">
        <f t="shared" si="1"/>
        <v>0.125</v>
      </c>
      <c r="E44" s="4"/>
    </row>
    <row r="45" spans="1:14" ht="14.25" customHeight="1">
      <c r="A45">
        <v>14</v>
      </c>
      <c r="B45" s="31">
        <v>112</v>
      </c>
      <c r="C45" s="14">
        <f t="shared" si="1"/>
        <v>0.125</v>
      </c>
      <c r="F45" t="s">
        <v>256</v>
      </c>
      <c r="G45" t="s">
        <v>257</v>
      </c>
      <c r="H45" t="s">
        <v>258</v>
      </c>
      <c r="I45" t="s">
        <v>259</v>
      </c>
      <c r="J45" t="s">
        <v>260</v>
      </c>
    </row>
    <row r="46" spans="1:14" ht="14.25" customHeight="1">
      <c r="A46">
        <v>15</v>
      </c>
      <c r="B46" s="31">
        <v>120</v>
      </c>
      <c r="C46" s="14">
        <f t="shared" si="1"/>
        <v>0.125</v>
      </c>
      <c r="E46" t="s">
        <v>255</v>
      </c>
      <c r="F46">
        <v>4</v>
      </c>
      <c r="G46">
        <v>5</v>
      </c>
      <c r="H46">
        <v>5</v>
      </c>
      <c r="I46">
        <v>3</v>
      </c>
      <c r="J46">
        <v>3</v>
      </c>
      <c r="K46">
        <f>SUM(F46:J46)</f>
        <v>20</v>
      </c>
    </row>
    <row r="47" spans="1:14" ht="14.25" customHeight="1">
      <c r="A47">
        <v>16</v>
      </c>
      <c r="B47" s="31">
        <v>128</v>
      </c>
      <c r="C47" s="14">
        <f>A47/B47</f>
        <v>0.125</v>
      </c>
      <c r="E47" t="s">
        <v>261</v>
      </c>
      <c r="F47">
        <v>2</v>
      </c>
      <c r="G47">
        <v>4</v>
      </c>
      <c r="H47">
        <v>4</v>
      </c>
      <c r="I47">
        <v>2</v>
      </c>
      <c r="J47">
        <v>2</v>
      </c>
      <c r="K47">
        <f>SUM(F47:J47)</f>
        <v>14</v>
      </c>
    </row>
    <row r="48" spans="1:14" ht="14.25" customHeight="1">
      <c r="A48">
        <v>17</v>
      </c>
      <c r="B48" s="31">
        <v>136</v>
      </c>
      <c r="C48" s="14">
        <f>A48/B48</f>
        <v>0.125</v>
      </c>
      <c r="E48" t="s">
        <v>262</v>
      </c>
      <c r="F48">
        <v>2</v>
      </c>
      <c r="G48">
        <v>2</v>
      </c>
      <c r="H48">
        <v>2</v>
      </c>
      <c r="I48">
        <v>2</v>
      </c>
      <c r="J48">
        <v>2</v>
      </c>
      <c r="K48">
        <f>SUM(F48:J48)</f>
        <v>10</v>
      </c>
    </row>
    <row r="49" spans="1:13" ht="14.25" customHeight="1">
      <c r="A49">
        <v>18</v>
      </c>
      <c r="B49" s="31">
        <v>144</v>
      </c>
      <c r="C49" s="14">
        <f>A49/B49</f>
        <v>0.125</v>
      </c>
    </row>
    <row r="50" spans="1:13" ht="14.25" customHeight="1">
      <c r="A50">
        <v>19</v>
      </c>
      <c r="B50" s="31">
        <v>152</v>
      </c>
      <c r="C50" s="14">
        <f>A50/B50</f>
        <v>0.125</v>
      </c>
      <c r="I50">
        <v>115</v>
      </c>
      <c r="J50" t="s">
        <v>263</v>
      </c>
      <c r="K50">
        <v>2</v>
      </c>
      <c r="L50">
        <f>SUM(K50:K54)</f>
        <v>10</v>
      </c>
      <c r="M50">
        <f>SUM(L50:L64)</f>
        <v>20</v>
      </c>
    </row>
    <row r="51" spans="1:13" ht="14.25" customHeight="1">
      <c r="A51">
        <v>20</v>
      </c>
      <c r="B51" s="31">
        <v>160</v>
      </c>
      <c r="C51" s="14">
        <f>A51/B51</f>
        <v>0.125</v>
      </c>
      <c r="G51">
        <v>303</v>
      </c>
      <c r="I51">
        <f>I50/5</f>
        <v>23</v>
      </c>
      <c r="J51" t="s">
        <v>264</v>
      </c>
      <c r="K51">
        <v>2</v>
      </c>
    </row>
    <row r="52" spans="1:13" ht="14.25" customHeight="1">
      <c r="C52" s="14"/>
      <c r="G52">
        <f>G51*0.45</f>
        <v>136.35</v>
      </c>
      <c r="J52" t="s">
        <v>265</v>
      </c>
      <c r="K52">
        <v>2</v>
      </c>
    </row>
    <row r="53" spans="1:13" ht="14.25" customHeight="1">
      <c r="C53" s="14"/>
      <c r="J53" t="s">
        <v>266</v>
      </c>
      <c r="K53">
        <v>2</v>
      </c>
    </row>
    <row r="54" spans="1:13" ht="14.25" customHeight="1">
      <c r="J54" t="s">
        <v>267</v>
      </c>
      <c r="K54">
        <v>2</v>
      </c>
    </row>
    <row r="55" spans="1:13" ht="14.25" customHeight="1">
      <c r="A55" t="s">
        <v>151</v>
      </c>
      <c r="B55" t="s">
        <v>152</v>
      </c>
      <c r="C55" t="s">
        <v>153</v>
      </c>
      <c r="F55" s="17"/>
      <c r="G55" s="17"/>
      <c r="H55">
        <v>6</v>
      </c>
      <c r="I55" t="s">
        <v>144</v>
      </c>
      <c r="J55" t="s">
        <v>268</v>
      </c>
      <c r="K55">
        <v>1</v>
      </c>
      <c r="L55">
        <f>SUM(K55:K59)</f>
        <v>5</v>
      </c>
    </row>
    <row r="56" spans="1:13" ht="14.25" customHeight="1">
      <c r="A56">
        <f>COUNTIF($B57:$B66,A55)</f>
        <v>3</v>
      </c>
      <c r="B56">
        <f>COUNTIF($B57:$B66,B55)</f>
        <v>3</v>
      </c>
      <c r="C56">
        <f>COUNTIF($B57:$B66,C55)</f>
        <v>4</v>
      </c>
      <c r="F56" s="17"/>
      <c r="G56" s="17"/>
      <c r="H56">
        <v>4</v>
      </c>
      <c r="I56" s="4" t="s">
        <v>145</v>
      </c>
      <c r="J56" t="s">
        <v>269</v>
      </c>
      <c r="K56">
        <v>1</v>
      </c>
    </row>
    <row r="57" spans="1:13" ht="14.25" customHeight="1">
      <c r="A57" t="s">
        <v>17</v>
      </c>
      <c r="B57" t="s">
        <v>155</v>
      </c>
      <c r="C57" t="s">
        <v>157</v>
      </c>
      <c r="F57" s="17"/>
      <c r="G57" s="17"/>
      <c r="H57">
        <v>4</v>
      </c>
      <c r="I57" s="4" t="s">
        <v>145</v>
      </c>
      <c r="J57" t="s">
        <v>270</v>
      </c>
      <c r="K57">
        <v>1</v>
      </c>
    </row>
    <row r="58" spans="1:13" ht="14.25" customHeight="1">
      <c r="A58" t="s">
        <v>18</v>
      </c>
      <c r="B58" t="s">
        <v>155</v>
      </c>
      <c r="C58" t="s">
        <v>157</v>
      </c>
      <c r="F58" s="17"/>
      <c r="G58" s="17"/>
      <c r="H58">
        <v>4</v>
      </c>
      <c r="I58" t="s">
        <v>145</v>
      </c>
      <c r="J58" t="s">
        <v>271</v>
      </c>
      <c r="K58">
        <v>1</v>
      </c>
    </row>
    <row r="59" spans="1:13" ht="14.25" customHeight="1">
      <c r="A59" t="s">
        <v>19</v>
      </c>
      <c r="B59" t="s">
        <v>156</v>
      </c>
      <c r="C59" t="s">
        <v>158</v>
      </c>
      <c r="H59">
        <v>2</v>
      </c>
      <c r="I59" t="s">
        <v>146</v>
      </c>
      <c r="J59" t="s">
        <v>272</v>
      </c>
      <c r="K59">
        <v>1</v>
      </c>
    </row>
    <row r="60" spans="1:13" ht="14.25" customHeight="1">
      <c r="A60" t="s">
        <v>20</v>
      </c>
      <c r="B60" t="s">
        <v>156</v>
      </c>
      <c r="C60" t="s">
        <v>159</v>
      </c>
      <c r="H60">
        <v>2</v>
      </c>
      <c r="I60" t="s">
        <v>146</v>
      </c>
      <c r="J60" t="s">
        <v>273</v>
      </c>
      <c r="K60">
        <v>1</v>
      </c>
      <c r="L60">
        <f>SUM(K60:K64)</f>
        <v>5</v>
      </c>
    </row>
    <row r="61" spans="1:13" ht="14.25" customHeight="1">
      <c r="A61" t="s">
        <v>21</v>
      </c>
      <c r="B61" t="s">
        <v>154</v>
      </c>
      <c r="C61" t="s">
        <v>160</v>
      </c>
      <c r="H61">
        <v>2</v>
      </c>
      <c r="I61" t="s">
        <v>146</v>
      </c>
      <c r="J61" t="s">
        <v>274</v>
      </c>
      <c r="K61">
        <v>1</v>
      </c>
    </row>
    <row r="62" spans="1:13" ht="14.25" customHeight="1">
      <c r="A62" t="s">
        <v>22</v>
      </c>
      <c r="B62" t="s">
        <v>154</v>
      </c>
      <c r="C62" t="s">
        <v>161</v>
      </c>
      <c r="H62">
        <v>0</v>
      </c>
      <c r="I62" t="s">
        <v>147</v>
      </c>
      <c r="J62" t="s">
        <v>275</v>
      </c>
      <c r="K62">
        <v>1</v>
      </c>
    </row>
    <row r="63" spans="1:13" ht="14.25" customHeight="1">
      <c r="A63" t="s">
        <v>23</v>
      </c>
      <c r="B63" t="s">
        <v>155</v>
      </c>
      <c r="C63" t="s">
        <v>162</v>
      </c>
      <c r="H63">
        <f>SUM(H55:H62)</f>
        <v>24</v>
      </c>
      <c r="J63" t="s">
        <v>276</v>
      </c>
      <c r="K63">
        <v>1</v>
      </c>
    </row>
    <row r="64" spans="1:13" ht="14.25" customHeight="1">
      <c r="A64" t="s">
        <v>24</v>
      </c>
      <c r="B64" t="s">
        <v>154</v>
      </c>
      <c r="C64" t="s">
        <v>163</v>
      </c>
      <c r="J64" t="s">
        <v>277</v>
      </c>
      <c r="K64">
        <v>1</v>
      </c>
    </row>
    <row r="65" spans="1:11" ht="14.25" customHeight="1">
      <c r="A65" t="s">
        <v>25</v>
      </c>
      <c r="B65" t="s">
        <v>156</v>
      </c>
      <c r="C65" t="s">
        <v>164</v>
      </c>
    </row>
    <row r="66" spans="1:11" ht="14.25" customHeight="1">
      <c r="A66" t="s">
        <v>26</v>
      </c>
      <c r="B66" t="s">
        <v>155</v>
      </c>
      <c r="C66" t="s">
        <v>215</v>
      </c>
    </row>
    <row r="70" spans="1:11" ht="14.25" customHeight="1">
      <c r="A70" t="s">
        <v>40</v>
      </c>
      <c r="D70" t="s">
        <v>119</v>
      </c>
      <c r="E70" t="s">
        <v>120</v>
      </c>
      <c r="F70" t="s">
        <v>117</v>
      </c>
      <c r="G70" t="s">
        <v>123</v>
      </c>
      <c r="H70" t="s">
        <v>126</v>
      </c>
      <c r="I70" t="s">
        <v>127</v>
      </c>
      <c r="J70" t="s">
        <v>118</v>
      </c>
      <c r="K70" t="s">
        <v>129</v>
      </c>
    </row>
    <row r="71" spans="1:11" ht="14.25" customHeight="1">
      <c r="A71" t="s">
        <v>41</v>
      </c>
      <c r="B71" t="s">
        <v>41</v>
      </c>
      <c r="E71" t="s">
        <v>121</v>
      </c>
      <c r="G71" t="s">
        <v>124</v>
      </c>
      <c r="I71" t="s">
        <v>128</v>
      </c>
      <c r="K71" t="s">
        <v>130</v>
      </c>
    </row>
    <row r="72" spans="1:11" ht="14.25" customHeight="1">
      <c r="A72" t="s">
        <v>42</v>
      </c>
      <c r="B72" t="s">
        <v>42</v>
      </c>
      <c r="E72" t="s">
        <v>122</v>
      </c>
      <c r="G72" t="s">
        <v>125</v>
      </c>
      <c r="I72" t="s">
        <v>121</v>
      </c>
      <c r="K72" t="s">
        <v>131</v>
      </c>
    </row>
    <row r="73" spans="1:11" ht="14.25" customHeight="1">
      <c r="A73" t="s">
        <v>43</v>
      </c>
      <c r="B73" t="s">
        <v>43</v>
      </c>
      <c r="F73" t="s">
        <v>129</v>
      </c>
      <c r="G73" t="s">
        <v>132</v>
      </c>
      <c r="H73" t="s">
        <v>131</v>
      </c>
      <c r="I73" t="s">
        <v>135</v>
      </c>
      <c r="J73" t="s">
        <v>137</v>
      </c>
      <c r="K73" t="s">
        <v>135</v>
      </c>
    </row>
    <row r="74" spans="1:11" ht="14.25" customHeight="1">
      <c r="A74" t="s">
        <v>44</v>
      </c>
      <c r="B74" t="s">
        <v>44</v>
      </c>
      <c r="G74" t="s">
        <v>133</v>
      </c>
      <c r="I74" t="s">
        <v>136</v>
      </c>
      <c r="K74" t="s">
        <v>130</v>
      </c>
    </row>
    <row r="75" spans="1:11" ht="14.25" customHeight="1">
      <c r="A75" t="s">
        <v>45</v>
      </c>
      <c r="B75" t="s">
        <v>45</v>
      </c>
      <c r="G75" t="s">
        <v>134</v>
      </c>
      <c r="I75" t="s">
        <v>134</v>
      </c>
      <c r="K75" t="s">
        <v>138</v>
      </c>
    </row>
    <row r="76" spans="1:11" ht="14.25" customHeight="1">
      <c r="A76" t="s">
        <v>69</v>
      </c>
      <c r="B76" t="s">
        <v>69</v>
      </c>
      <c r="C76" t="s">
        <v>71</v>
      </c>
      <c r="H76" t="s">
        <v>130</v>
      </c>
      <c r="I76" t="s">
        <v>139</v>
      </c>
      <c r="J76" t="s">
        <v>136</v>
      </c>
      <c r="K76" t="s">
        <v>139</v>
      </c>
    </row>
    <row r="77" spans="1:11" ht="14.25" customHeight="1">
      <c r="A77" t="s">
        <v>116</v>
      </c>
      <c r="B77" t="s">
        <v>70</v>
      </c>
      <c r="I77" t="s">
        <v>137</v>
      </c>
      <c r="K77" t="s">
        <v>131</v>
      </c>
    </row>
    <row r="78" spans="1:11" ht="14.25" customHeight="1">
      <c r="I78" t="s">
        <v>134</v>
      </c>
      <c r="K78" t="s">
        <v>138</v>
      </c>
    </row>
    <row r="79" spans="1:11" ht="14.25" customHeight="1">
      <c r="A79" t="s">
        <v>46</v>
      </c>
      <c r="B79" t="s">
        <v>47</v>
      </c>
      <c r="C79" t="s">
        <v>48</v>
      </c>
      <c r="D79" t="s">
        <v>58</v>
      </c>
      <c r="E79" t="s">
        <v>60</v>
      </c>
      <c r="J79" t="s">
        <v>133</v>
      </c>
      <c r="K79" t="s">
        <v>139</v>
      </c>
    </row>
    <row r="80" spans="1:11" ht="14.25" customHeight="1">
      <c r="A80" t="s">
        <v>49</v>
      </c>
      <c r="B80" t="s">
        <v>56</v>
      </c>
      <c r="K80" t="s">
        <v>129</v>
      </c>
    </row>
    <row r="81" spans="1:11" ht="14.25" customHeight="1">
      <c r="A81" t="s">
        <v>50</v>
      </c>
      <c r="B81" t="s">
        <v>51</v>
      </c>
      <c r="K81" t="s">
        <v>140</v>
      </c>
    </row>
    <row r="82" spans="1:11" ht="14.25" customHeight="1">
      <c r="A82" t="s">
        <v>55</v>
      </c>
      <c r="B82" t="s">
        <v>59</v>
      </c>
      <c r="H82" t="s">
        <v>141</v>
      </c>
      <c r="I82" t="s">
        <v>142</v>
      </c>
      <c r="J82" t="s">
        <v>143</v>
      </c>
      <c r="K82" t="s">
        <v>135</v>
      </c>
    </row>
    <row r="83" spans="1:11" ht="14.25" customHeight="1">
      <c r="A83" t="s">
        <v>54</v>
      </c>
      <c r="B83" t="s">
        <v>57</v>
      </c>
    </row>
    <row r="84" spans="1:11" ht="14.25" customHeight="1">
      <c r="A84" t="s">
        <v>52</v>
      </c>
      <c r="B84" t="s">
        <v>53</v>
      </c>
    </row>
    <row r="85" spans="1:11" ht="14.25" customHeight="1">
      <c r="A85">
        <f>COUNTA(A78:E84)</f>
        <v>15</v>
      </c>
    </row>
    <row r="88" spans="1:11" ht="14.25" customHeight="1">
      <c r="A88" t="s">
        <v>61</v>
      </c>
      <c r="B88" t="s">
        <v>65</v>
      </c>
      <c r="C88" t="s">
        <v>66</v>
      </c>
    </row>
    <row r="89" spans="1:11" ht="14.25" customHeight="1">
      <c r="A89" t="s">
        <v>63</v>
      </c>
      <c r="B89" t="s">
        <v>62</v>
      </c>
    </row>
    <row r="90" spans="1:11" ht="14.25" customHeight="1">
      <c r="A90" t="s">
        <v>50</v>
      </c>
      <c r="B90" t="s">
        <v>62</v>
      </c>
    </row>
    <row r="91" spans="1:11" ht="14.25" customHeight="1">
      <c r="A91" t="s">
        <v>59</v>
      </c>
      <c r="B91" t="s">
        <v>62</v>
      </c>
    </row>
    <row r="92" spans="1:11" ht="14.25" customHeight="1">
      <c r="A92" t="s">
        <v>64</v>
      </c>
      <c r="B92" t="s">
        <v>62</v>
      </c>
    </row>
    <row r="93" spans="1:11" ht="14.25" customHeight="1">
      <c r="A93" t="s">
        <v>52</v>
      </c>
      <c r="B93" t="s">
        <v>62</v>
      </c>
    </row>
    <row r="94" spans="1:11" ht="14.25" customHeight="1">
      <c r="A94" t="s">
        <v>67</v>
      </c>
      <c r="B94" t="s">
        <v>68</v>
      </c>
    </row>
    <row r="95" spans="1:11" ht="14.25" customHeight="1">
      <c r="A95">
        <f>COUNTA(A88:E94)</f>
        <v>15</v>
      </c>
    </row>
    <row r="98" spans="1:3" ht="14.25" customHeight="1">
      <c r="A98" t="s">
        <v>72</v>
      </c>
    </row>
    <row r="99" spans="1:3" ht="14.25" customHeight="1">
      <c r="A99" t="s">
        <v>74</v>
      </c>
      <c r="B99" t="s">
        <v>81</v>
      </c>
      <c r="C99" t="s">
        <v>82</v>
      </c>
    </row>
    <row r="100" spans="1:3" ht="14.25" customHeight="1">
      <c r="A100" t="s">
        <v>75</v>
      </c>
      <c r="B100" t="s">
        <v>79</v>
      </c>
      <c r="C100" t="s">
        <v>80</v>
      </c>
    </row>
    <row r="101" spans="1:3" ht="14.25" customHeight="1">
      <c r="A101" t="s">
        <v>76</v>
      </c>
      <c r="B101" t="s">
        <v>86</v>
      </c>
      <c r="C101" t="s">
        <v>87</v>
      </c>
    </row>
    <row r="102" spans="1:3" ht="14.25" customHeight="1">
      <c r="A102" t="s">
        <v>77</v>
      </c>
      <c r="B102" t="s">
        <v>83</v>
      </c>
      <c r="C102" t="s">
        <v>73</v>
      </c>
    </row>
    <row r="103" spans="1:3" ht="14.25" customHeight="1">
      <c r="A103" t="s">
        <v>78</v>
      </c>
      <c r="B103" t="s">
        <v>84</v>
      </c>
      <c r="C103" t="s">
        <v>85</v>
      </c>
    </row>
    <row r="104" spans="1:3" ht="14.25" customHeight="1">
      <c r="A104">
        <f>COUNTA(A97:E103)</f>
        <v>16</v>
      </c>
    </row>
    <row r="106" spans="1:3" ht="14.25" customHeight="1">
      <c r="A106" t="s">
        <v>88</v>
      </c>
      <c r="B106" t="s">
        <v>89</v>
      </c>
      <c r="C106" t="s">
        <v>90</v>
      </c>
    </row>
    <row r="107" spans="1:3" ht="14.25" customHeight="1">
      <c r="A107" t="s">
        <v>91</v>
      </c>
      <c r="B107" t="s">
        <v>93</v>
      </c>
    </row>
    <row r="108" spans="1:3" ht="14.25" customHeight="1">
      <c r="A108" t="s">
        <v>92</v>
      </c>
    </row>
    <row r="109" spans="1:3" ht="14.25" customHeight="1">
      <c r="A109" t="s">
        <v>94</v>
      </c>
      <c r="B109" t="s">
        <v>95</v>
      </c>
    </row>
    <row r="110" spans="1:3" ht="14.25" customHeight="1">
      <c r="A110" t="s">
        <v>96</v>
      </c>
      <c r="B110" t="s">
        <v>102</v>
      </c>
    </row>
    <row r="111" spans="1:3" ht="14.25" customHeight="1">
      <c r="A111" t="s">
        <v>97</v>
      </c>
      <c r="B111" t="s">
        <v>98</v>
      </c>
    </row>
    <row r="112" spans="1:3" ht="14.25" customHeight="1">
      <c r="A112" t="s">
        <v>99</v>
      </c>
      <c r="B112" t="s">
        <v>100</v>
      </c>
      <c r="C112" t="s">
        <v>101</v>
      </c>
    </row>
    <row r="113" spans="1:5" ht="14.25" customHeight="1">
      <c r="A113">
        <f>COUNTA(A106:E112)</f>
        <v>15</v>
      </c>
    </row>
    <row r="116" spans="1:5" ht="14.25" customHeight="1">
      <c r="A116" t="s">
        <v>107</v>
      </c>
    </row>
    <row r="117" spans="1:5" ht="14.25" customHeight="1">
      <c r="A117" t="s">
        <v>108</v>
      </c>
      <c r="B117" t="s">
        <v>109</v>
      </c>
    </row>
    <row r="118" spans="1:5" ht="14.25" customHeight="1">
      <c r="A118" t="s">
        <v>110</v>
      </c>
    </row>
    <row r="119" spans="1:5" ht="14.25" customHeight="1">
      <c r="A119" t="s">
        <v>106</v>
      </c>
      <c r="B119" t="s">
        <v>111</v>
      </c>
    </row>
    <row r="120" spans="1:5" ht="14.25" customHeight="1">
      <c r="A120" t="s">
        <v>112</v>
      </c>
      <c r="B120" t="s">
        <v>113</v>
      </c>
    </row>
    <row r="121" spans="1:5" ht="14.25" customHeight="1">
      <c r="A121" t="s">
        <v>103</v>
      </c>
      <c r="B121" t="s">
        <v>103</v>
      </c>
      <c r="C121" t="s">
        <v>103</v>
      </c>
      <c r="D121" t="s">
        <v>103</v>
      </c>
      <c r="E121" t="s">
        <v>103</v>
      </c>
    </row>
    <row r="122" spans="1:5" ht="14.25" customHeight="1">
      <c r="A122" t="s">
        <v>104</v>
      </c>
      <c r="B122" t="s">
        <v>105</v>
      </c>
    </row>
    <row r="123" spans="1:5" ht="14.25" customHeight="1">
      <c r="A123">
        <f>COUNTA(A115:E122)</f>
        <v>15</v>
      </c>
    </row>
    <row r="125" spans="1:5" ht="14.25" customHeight="1">
      <c r="A125" t="s">
        <v>169</v>
      </c>
    </row>
    <row r="126" spans="1:5" ht="14.25" customHeight="1">
      <c r="A126" t="s">
        <v>170</v>
      </c>
      <c r="B126">
        <f>SUM(B127:B134)</f>
        <v>14</v>
      </c>
    </row>
    <row r="127" spans="1:5" ht="14.25" customHeight="1">
      <c r="A127" t="s">
        <v>171</v>
      </c>
      <c r="B127">
        <v>6</v>
      </c>
    </row>
    <row r="128" spans="1:5" ht="14.25" customHeight="1">
      <c r="A128" t="s">
        <v>173</v>
      </c>
      <c r="B128" t="s">
        <v>181</v>
      </c>
    </row>
    <row r="129" spans="1:4" ht="14.25" customHeight="1">
      <c r="A129" t="s">
        <v>172</v>
      </c>
      <c r="B129">
        <v>4</v>
      </c>
    </row>
    <row r="130" spans="1:4" ht="14.25" customHeight="1">
      <c r="A130" t="s">
        <v>176</v>
      </c>
      <c r="B130" t="s">
        <v>177</v>
      </c>
      <c r="C130" t="s">
        <v>180</v>
      </c>
      <c r="D130" t="s">
        <v>184</v>
      </c>
    </row>
    <row r="131" spans="1:4" ht="14.25" customHeight="1">
      <c r="A131" t="s">
        <v>174</v>
      </c>
      <c r="B131">
        <v>3</v>
      </c>
    </row>
    <row r="132" spans="1:4" ht="14.25" customHeight="1">
      <c r="A132" t="s">
        <v>175</v>
      </c>
      <c r="B132" t="s">
        <v>178</v>
      </c>
      <c r="C132" t="s">
        <v>179</v>
      </c>
    </row>
    <row r="133" spans="1:4" ht="14.25" customHeight="1">
      <c r="A133" t="s">
        <v>182</v>
      </c>
      <c r="B133">
        <v>1</v>
      </c>
    </row>
    <row r="134" spans="1:4" ht="14.25" customHeight="1">
      <c r="A134" t="s">
        <v>183</v>
      </c>
    </row>
    <row r="136" spans="1:4" ht="14.25" customHeight="1">
      <c r="A136" t="s">
        <v>185</v>
      </c>
      <c r="B136">
        <f>SUM(B137:B144)</f>
        <v>6</v>
      </c>
    </row>
    <row r="137" spans="1:4" ht="14.25" customHeight="1">
      <c r="A137" t="s">
        <v>171</v>
      </c>
      <c r="B137">
        <v>1</v>
      </c>
    </row>
    <row r="138" spans="1:4" ht="14.25" customHeight="1">
      <c r="A138" t="s">
        <v>189</v>
      </c>
    </row>
    <row r="139" spans="1:4" ht="14.25" customHeight="1">
      <c r="A139" t="s">
        <v>172</v>
      </c>
      <c r="B139">
        <v>4</v>
      </c>
    </row>
    <row r="140" spans="1:4" ht="14.25" customHeight="1">
      <c r="A140" t="s">
        <v>186</v>
      </c>
      <c r="B140" t="s">
        <v>187</v>
      </c>
      <c r="C140" t="s">
        <v>188</v>
      </c>
      <c r="D140" t="s">
        <v>190</v>
      </c>
    </row>
    <row r="141" spans="1:4" ht="14.25" customHeight="1">
      <c r="A141" t="s">
        <v>174</v>
      </c>
      <c r="B141">
        <v>1</v>
      </c>
    </row>
    <row r="142" spans="1:4" ht="14.25" customHeight="1">
      <c r="A142" t="s">
        <v>191</v>
      </c>
    </row>
    <row r="143" spans="1:4" ht="14.25" customHeight="1">
      <c r="A143" t="s">
        <v>182</v>
      </c>
    </row>
    <row r="145" spans="1:12" ht="14.25" customHeight="1">
      <c r="A145" t="s">
        <v>192</v>
      </c>
      <c r="B145">
        <f>SUM(B146:B153)</f>
        <v>24</v>
      </c>
    </row>
    <row r="146" spans="1:12" ht="14.25" customHeight="1">
      <c r="A146" t="s">
        <v>171</v>
      </c>
      <c r="B146">
        <v>5</v>
      </c>
    </row>
    <row r="147" spans="1:12" ht="14.25" customHeight="1">
      <c r="A147" t="s">
        <v>193</v>
      </c>
      <c r="B147" t="s">
        <v>196</v>
      </c>
      <c r="C147" t="s">
        <v>200</v>
      </c>
      <c r="D147" t="s">
        <v>201</v>
      </c>
      <c r="E147" t="s">
        <v>213</v>
      </c>
    </row>
    <row r="148" spans="1:12" ht="14.25" customHeight="1">
      <c r="A148" t="s">
        <v>172</v>
      </c>
      <c r="B148">
        <v>12</v>
      </c>
    </row>
    <row r="149" spans="1:12" ht="14.25" customHeight="1">
      <c r="A149" t="s">
        <v>195</v>
      </c>
      <c r="B149" t="s">
        <v>197</v>
      </c>
      <c r="C149" t="s">
        <v>198</v>
      </c>
      <c r="D149" t="s">
        <v>199</v>
      </c>
      <c r="E149" t="s">
        <v>204</v>
      </c>
      <c r="F149" t="s">
        <v>206</v>
      </c>
      <c r="G149" t="s">
        <v>208</v>
      </c>
      <c r="H149" t="s">
        <v>209</v>
      </c>
      <c r="I149" t="s">
        <v>210</v>
      </c>
      <c r="J149" t="s">
        <v>211</v>
      </c>
      <c r="K149" t="s">
        <v>212</v>
      </c>
      <c r="L149" t="s">
        <v>214</v>
      </c>
    </row>
    <row r="150" spans="1:12" ht="14.25" customHeight="1">
      <c r="A150" t="s">
        <v>174</v>
      </c>
      <c r="B150">
        <v>5</v>
      </c>
    </row>
    <row r="151" spans="1:12" ht="14.25" customHeight="1">
      <c r="A151" t="s">
        <v>202</v>
      </c>
      <c r="B151" t="s">
        <v>203</v>
      </c>
      <c r="C151" t="s">
        <v>205</v>
      </c>
      <c r="D151" t="s">
        <v>207</v>
      </c>
      <c r="E151" t="s">
        <v>2713</v>
      </c>
    </row>
    <row r="152" spans="1:12" ht="14.25" customHeight="1">
      <c r="A152" t="s">
        <v>182</v>
      </c>
      <c r="B152">
        <v>2</v>
      </c>
    </row>
    <row r="153" spans="1:12" ht="14.25" customHeight="1">
      <c r="A153" t="s">
        <v>194</v>
      </c>
      <c r="B153" t="s">
        <v>2712</v>
      </c>
    </row>
  </sheetData>
  <phoneticPr fontId="1"/>
  <pageMargins left="0.7" right="0.7" top="0.75" bottom="0.75" header="0.3" footer="0.3"/>
  <pageSetup paperSize="9" orientation="portrait" r:id="rId1"/>
  <ignoredErrors>
    <ignoredError sqref="H2" formulaRange="1"/>
  </ignoredError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M113"/>
  <sheetViews>
    <sheetView topLeftCell="A4" workbookViewId="0">
      <selection activeCell="B92" sqref="B92:K92"/>
    </sheetView>
  </sheetViews>
  <sheetFormatPr defaultRowHeight="13.5"/>
  <cols>
    <col min="1" max="1" width="5.375" style="49" customWidth="1"/>
    <col min="2" max="2" width="13" customWidth="1"/>
    <col min="3" max="3" width="8.375" customWidth="1"/>
    <col min="4" max="4" width="5.25" style="49" customWidth="1"/>
    <col min="5" max="5" width="5.375" bestFit="1" customWidth="1"/>
    <col min="6" max="6" width="3.75" bestFit="1" customWidth="1"/>
    <col min="7" max="7" width="9.375" customWidth="1"/>
    <col min="8" max="8" width="6.625" customWidth="1"/>
    <col min="9" max="9" width="4.5" style="49" customWidth="1"/>
    <col min="10" max="10" width="4.5" style="58" bestFit="1" customWidth="1"/>
  </cols>
  <sheetData>
    <row r="1" spans="1:11">
      <c r="B1" t="s">
        <v>1487</v>
      </c>
    </row>
    <row r="3" spans="1:11">
      <c r="A3" s="40" t="s">
        <v>3175</v>
      </c>
      <c r="B3" t="s">
        <v>1488</v>
      </c>
      <c r="C3" t="s">
        <v>1489</v>
      </c>
      <c r="E3" t="s">
        <v>371</v>
      </c>
      <c r="F3" t="s">
        <v>1490</v>
      </c>
      <c r="K3" t="s">
        <v>1491</v>
      </c>
    </row>
    <row r="4" spans="1:11">
      <c r="A4" s="59">
        <v>1</v>
      </c>
      <c r="B4" t="s">
        <v>1492</v>
      </c>
      <c r="C4" t="s">
        <v>1489</v>
      </c>
      <c r="E4" t="s">
        <v>358</v>
      </c>
      <c r="F4" t="s">
        <v>1493</v>
      </c>
      <c r="G4" t="s">
        <v>1494</v>
      </c>
      <c r="K4" t="s">
        <v>1495</v>
      </c>
    </row>
    <row r="5" spans="1:11">
      <c r="A5" s="60"/>
      <c r="B5" t="s">
        <v>1496</v>
      </c>
      <c r="C5" t="s">
        <v>1489</v>
      </c>
      <c r="E5" t="s">
        <v>358</v>
      </c>
      <c r="F5" t="s">
        <v>923</v>
      </c>
      <c r="J5" s="58" t="s">
        <v>1473</v>
      </c>
      <c r="K5" t="s">
        <v>1497</v>
      </c>
    </row>
    <row r="6" spans="1:11">
      <c r="A6" s="40"/>
      <c r="B6" t="s">
        <v>1498</v>
      </c>
      <c r="C6" t="s">
        <v>33</v>
      </c>
      <c r="E6" t="s">
        <v>371</v>
      </c>
      <c r="F6" t="s">
        <v>1490</v>
      </c>
      <c r="K6" t="s">
        <v>1499</v>
      </c>
    </row>
    <row r="7" spans="1:11">
      <c r="A7" s="59">
        <v>2</v>
      </c>
      <c r="B7" t="s">
        <v>1500</v>
      </c>
      <c r="C7" t="s">
        <v>33</v>
      </c>
      <c r="E7" t="s">
        <v>349</v>
      </c>
      <c r="F7" t="s">
        <v>1501</v>
      </c>
      <c r="K7" t="s">
        <v>1502</v>
      </c>
    </row>
    <row r="8" spans="1:11">
      <c r="A8" s="59" t="s">
        <v>3180</v>
      </c>
      <c r="B8" t="s">
        <v>1503</v>
      </c>
      <c r="C8" t="s">
        <v>33</v>
      </c>
      <c r="E8" t="s">
        <v>1504</v>
      </c>
      <c r="F8" t="s">
        <v>923</v>
      </c>
      <c r="G8" t="s">
        <v>1505</v>
      </c>
      <c r="J8" s="58" t="s">
        <v>1474</v>
      </c>
      <c r="K8" t="s">
        <v>1506</v>
      </c>
    </row>
    <row r="9" spans="1:11">
      <c r="A9" s="59" t="s">
        <v>3175</v>
      </c>
      <c r="B9" t="s">
        <v>1507</v>
      </c>
      <c r="C9" t="s">
        <v>1508</v>
      </c>
      <c r="E9" t="s">
        <v>349</v>
      </c>
      <c r="F9" t="s">
        <v>923</v>
      </c>
      <c r="G9" t="s">
        <v>1509</v>
      </c>
      <c r="J9" s="58" t="s">
        <v>1473</v>
      </c>
      <c r="K9" t="s">
        <v>1510</v>
      </c>
    </row>
    <row r="10" spans="1:11">
      <c r="A10" s="60"/>
      <c r="B10" t="s">
        <v>1511</v>
      </c>
      <c r="C10" t="s">
        <v>1508</v>
      </c>
      <c r="E10" t="s">
        <v>358</v>
      </c>
      <c r="F10" t="s">
        <v>923</v>
      </c>
      <c r="G10" t="s">
        <v>1512</v>
      </c>
      <c r="J10" s="58" t="s">
        <v>1474</v>
      </c>
      <c r="K10" t="s">
        <v>1513</v>
      </c>
    </row>
    <row r="11" spans="1:11">
      <c r="A11" s="40"/>
      <c r="B11" t="s">
        <v>1514</v>
      </c>
      <c r="C11" t="s">
        <v>1515</v>
      </c>
      <c r="E11" t="s">
        <v>375</v>
      </c>
      <c r="F11" t="s">
        <v>1490</v>
      </c>
      <c r="K11" t="s">
        <v>1516</v>
      </c>
    </row>
    <row r="12" spans="1:11">
      <c r="A12" s="59"/>
      <c r="B12" t="s">
        <v>1517</v>
      </c>
      <c r="C12" t="s">
        <v>1515</v>
      </c>
      <c r="E12" t="s">
        <v>361</v>
      </c>
      <c r="F12" t="s">
        <v>1518</v>
      </c>
      <c r="G12" t="s">
        <v>1410</v>
      </c>
      <c r="H12" t="s">
        <v>1519</v>
      </c>
      <c r="J12" s="58" t="s">
        <v>1520</v>
      </c>
      <c r="K12" t="s">
        <v>1521</v>
      </c>
    </row>
    <row r="13" spans="1:11">
      <c r="A13" s="59"/>
      <c r="B13" t="s">
        <v>1522</v>
      </c>
      <c r="C13" t="s">
        <v>1523</v>
      </c>
      <c r="E13" t="s">
        <v>358</v>
      </c>
      <c r="F13" t="s">
        <v>1490</v>
      </c>
      <c r="K13" t="s">
        <v>1524</v>
      </c>
    </row>
    <row r="14" spans="1:11">
      <c r="A14" s="59">
        <v>4</v>
      </c>
      <c r="B14" t="s">
        <v>1525</v>
      </c>
      <c r="C14" t="s">
        <v>1515</v>
      </c>
      <c r="E14" t="s">
        <v>371</v>
      </c>
      <c r="F14" t="s">
        <v>923</v>
      </c>
      <c r="G14" t="s">
        <v>1509</v>
      </c>
      <c r="J14" s="58" t="s">
        <v>1475</v>
      </c>
      <c r="K14" t="s">
        <v>1526</v>
      </c>
    </row>
    <row r="15" spans="1:11">
      <c r="A15" s="60" t="s">
        <v>3179</v>
      </c>
      <c r="B15" t="s">
        <v>1527</v>
      </c>
      <c r="C15" t="s">
        <v>1515</v>
      </c>
      <c r="E15" t="s">
        <v>349</v>
      </c>
      <c r="F15" t="s">
        <v>1493</v>
      </c>
      <c r="G15" t="s">
        <v>1494</v>
      </c>
      <c r="K15" t="s">
        <v>1528</v>
      </c>
    </row>
    <row r="16" spans="1:11">
      <c r="A16" s="40"/>
      <c r="B16" t="s">
        <v>1529</v>
      </c>
      <c r="C16" t="s">
        <v>1530</v>
      </c>
      <c r="E16" t="s">
        <v>358</v>
      </c>
      <c r="F16" t="s">
        <v>923</v>
      </c>
      <c r="G16" t="s">
        <v>1531</v>
      </c>
      <c r="J16" s="58" t="s">
        <v>1539</v>
      </c>
      <c r="K16" t="s">
        <v>1532</v>
      </c>
    </row>
    <row r="17" spans="1:11">
      <c r="A17" s="59">
        <v>6</v>
      </c>
      <c r="B17" t="s">
        <v>1533</v>
      </c>
      <c r="C17" t="s">
        <v>1534</v>
      </c>
      <c r="E17" t="s">
        <v>349</v>
      </c>
      <c r="F17" t="s">
        <v>923</v>
      </c>
      <c r="G17" t="s">
        <v>1535</v>
      </c>
      <c r="J17" s="58" t="s">
        <v>1475</v>
      </c>
      <c r="K17" t="s">
        <v>1536</v>
      </c>
    </row>
    <row r="18" spans="1:11">
      <c r="A18" s="60"/>
      <c r="B18" t="s">
        <v>1537</v>
      </c>
      <c r="C18" t="s">
        <v>1534</v>
      </c>
      <c r="E18" t="s">
        <v>371</v>
      </c>
      <c r="F18" t="s">
        <v>1501</v>
      </c>
      <c r="K18" t="s">
        <v>1538</v>
      </c>
    </row>
    <row r="20" spans="1:11">
      <c r="B20" t="s">
        <v>1540</v>
      </c>
    </row>
    <row r="22" spans="1:11">
      <c r="A22" s="40">
        <v>1</v>
      </c>
      <c r="B22" t="s">
        <v>1541</v>
      </c>
      <c r="C22" t="s">
        <v>1542</v>
      </c>
      <c r="E22" t="s">
        <v>358</v>
      </c>
      <c r="F22" t="s">
        <v>1493</v>
      </c>
      <c r="G22" t="s">
        <v>1494</v>
      </c>
      <c r="K22" t="s">
        <v>1543</v>
      </c>
    </row>
    <row r="23" spans="1:11">
      <c r="A23" s="60"/>
      <c r="B23" t="s">
        <v>1544</v>
      </c>
      <c r="C23" t="s">
        <v>1542</v>
      </c>
      <c r="E23" t="s">
        <v>358</v>
      </c>
      <c r="F23" t="s">
        <v>923</v>
      </c>
      <c r="G23" t="s">
        <v>1545</v>
      </c>
      <c r="J23" s="58" t="s">
        <v>1473</v>
      </c>
      <c r="K23" t="s">
        <v>1546</v>
      </c>
    </row>
    <row r="24" spans="1:11">
      <c r="A24" s="40"/>
      <c r="B24" t="s">
        <v>1547</v>
      </c>
      <c r="C24" t="s">
        <v>34</v>
      </c>
      <c r="E24" t="s">
        <v>349</v>
      </c>
      <c r="F24" t="s">
        <v>1490</v>
      </c>
      <c r="K24" t="s">
        <v>1548</v>
      </c>
    </row>
    <row r="25" spans="1:11">
      <c r="A25" s="59"/>
      <c r="B25" t="s">
        <v>1549</v>
      </c>
      <c r="C25" t="s">
        <v>34</v>
      </c>
      <c r="E25" t="s">
        <v>370</v>
      </c>
      <c r="F25" t="s">
        <v>1490</v>
      </c>
      <c r="K25" t="s">
        <v>1550</v>
      </c>
    </row>
    <row r="26" spans="1:11">
      <c r="A26" s="59" t="s">
        <v>3175</v>
      </c>
      <c r="B26" t="s">
        <v>1551</v>
      </c>
      <c r="C26" t="s">
        <v>1552</v>
      </c>
      <c r="E26" t="s">
        <v>358</v>
      </c>
      <c r="F26" t="s">
        <v>1490</v>
      </c>
      <c r="K26" t="s">
        <v>1553</v>
      </c>
    </row>
    <row r="27" spans="1:11">
      <c r="A27" s="59"/>
      <c r="B27" t="s">
        <v>1554</v>
      </c>
      <c r="C27" t="s">
        <v>34</v>
      </c>
      <c r="E27" t="s">
        <v>361</v>
      </c>
      <c r="F27" t="s">
        <v>1493</v>
      </c>
      <c r="G27" t="s">
        <v>1494</v>
      </c>
      <c r="K27" t="s">
        <v>1555</v>
      </c>
    </row>
    <row r="28" spans="1:11">
      <c r="A28" s="59">
        <v>2</v>
      </c>
      <c r="B28" t="s">
        <v>1556</v>
      </c>
      <c r="C28" t="s">
        <v>34</v>
      </c>
      <c r="E28" t="s">
        <v>370</v>
      </c>
      <c r="F28" t="s">
        <v>923</v>
      </c>
      <c r="G28" t="s">
        <v>1545</v>
      </c>
      <c r="H28" t="s">
        <v>1519</v>
      </c>
      <c r="J28" s="58" t="s">
        <v>1475</v>
      </c>
      <c r="K28" t="s">
        <v>1557</v>
      </c>
    </row>
    <row r="29" spans="1:11">
      <c r="A29" s="59"/>
      <c r="B29" t="s">
        <v>1558</v>
      </c>
      <c r="C29" t="s">
        <v>1552</v>
      </c>
      <c r="E29" t="s">
        <v>358</v>
      </c>
      <c r="F29" t="s">
        <v>923</v>
      </c>
      <c r="G29" t="s">
        <v>1512</v>
      </c>
      <c r="J29" s="58" t="s">
        <v>1474</v>
      </c>
      <c r="K29" t="s">
        <v>1559</v>
      </c>
    </row>
    <row r="30" spans="1:11">
      <c r="A30" s="60">
        <v>3</v>
      </c>
      <c r="B30" t="s">
        <v>1560</v>
      </c>
      <c r="C30" t="s">
        <v>1561</v>
      </c>
      <c r="E30" t="s">
        <v>370</v>
      </c>
      <c r="F30" t="s">
        <v>923</v>
      </c>
      <c r="G30" t="s">
        <v>1562</v>
      </c>
      <c r="J30" s="58" t="s">
        <v>1477</v>
      </c>
      <c r="K30" t="s">
        <v>1563</v>
      </c>
    </row>
    <row r="31" spans="1:11">
      <c r="A31" s="40"/>
      <c r="B31" t="s">
        <v>2804</v>
      </c>
      <c r="C31" t="s">
        <v>1564</v>
      </c>
      <c r="E31" t="s">
        <v>358</v>
      </c>
      <c r="F31" t="s">
        <v>923</v>
      </c>
      <c r="G31" t="s">
        <v>1565</v>
      </c>
      <c r="H31" t="s">
        <v>1566</v>
      </c>
      <c r="J31" s="58" t="s">
        <v>1475</v>
      </c>
      <c r="K31" t="s">
        <v>1567</v>
      </c>
    </row>
    <row r="32" spans="1:11">
      <c r="A32" s="59"/>
      <c r="B32" t="s">
        <v>1568</v>
      </c>
      <c r="C32" t="s">
        <v>1048</v>
      </c>
      <c r="E32" t="s">
        <v>1504</v>
      </c>
      <c r="F32" t="s">
        <v>923</v>
      </c>
      <c r="G32" t="s">
        <v>1569</v>
      </c>
      <c r="K32" t="s">
        <v>1570</v>
      </c>
    </row>
    <row r="33" spans="1:11">
      <c r="A33" s="60"/>
      <c r="B33" t="s">
        <v>1571</v>
      </c>
      <c r="C33" t="s">
        <v>1048</v>
      </c>
      <c r="E33" t="s">
        <v>349</v>
      </c>
      <c r="F33" t="s">
        <v>923</v>
      </c>
      <c r="G33" t="s">
        <v>1572</v>
      </c>
      <c r="H33" t="s">
        <v>1519</v>
      </c>
      <c r="J33" s="58" t="s">
        <v>1573</v>
      </c>
      <c r="K33" t="s">
        <v>1574</v>
      </c>
    </row>
    <row r="34" spans="1:11">
      <c r="A34" s="40">
        <v>4</v>
      </c>
      <c r="B34" t="s">
        <v>1575</v>
      </c>
      <c r="C34" t="s">
        <v>1576</v>
      </c>
      <c r="E34" t="s">
        <v>370</v>
      </c>
      <c r="F34" t="s">
        <v>1490</v>
      </c>
      <c r="K34" t="s">
        <v>1577</v>
      </c>
    </row>
    <row r="35" spans="1:11">
      <c r="A35" s="59"/>
      <c r="B35" t="s">
        <v>1578</v>
      </c>
      <c r="C35" t="s">
        <v>1579</v>
      </c>
      <c r="E35" t="s">
        <v>349</v>
      </c>
      <c r="F35" t="s">
        <v>923</v>
      </c>
      <c r="G35" t="s">
        <v>1562</v>
      </c>
      <c r="J35" s="58" t="s">
        <v>1479</v>
      </c>
      <c r="K35" t="s">
        <v>1580</v>
      </c>
    </row>
    <row r="36" spans="1:11">
      <c r="A36" s="60"/>
      <c r="B36" t="s">
        <v>1581</v>
      </c>
      <c r="C36" t="s">
        <v>1582</v>
      </c>
      <c r="E36" t="s">
        <v>358</v>
      </c>
      <c r="F36" t="s">
        <v>923</v>
      </c>
      <c r="G36" t="s">
        <v>1565</v>
      </c>
      <c r="H36" t="s">
        <v>1566</v>
      </c>
      <c r="J36" s="58" t="s">
        <v>1583</v>
      </c>
      <c r="K36" t="s">
        <v>1584</v>
      </c>
    </row>
    <row r="37" spans="1:11">
      <c r="A37" s="40">
        <v>5</v>
      </c>
      <c r="B37" t="s">
        <v>1585</v>
      </c>
      <c r="C37" t="s">
        <v>1586</v>
      </c>
      <c r="E37" t="s">
        <v>349</v>
      </c>
      <c r="F37" t="s">
        <v>923</v>
      </c>
      <c r="G37" t="s">
        <v>1410</v>
      </c>
      <c r="H37" t="s">
        <v>1519</v>
      </c>
      <c r="J37" s="58" t="s">
        <v>1475</v>
      </c>
      <c r="K37" t="s">
        <v>1587</v>
      </c>
    </row>
    <row r="38" spans="1:11">
      <c r="A38" s="60" t="s">
        <v>3176</v>
      </c>
      <c r="B38" t="s">
        <v>1588</v>
      </c>
      <c r="C38" t="s">
        <v>1586</v>
      </c>
      <c r="E38" t="s">
        <v>375</v>
      </c>
      <c r="F38" t="s">
        <v>1490</v>
      </c>
      <c r="K38" t="s">
        <v>1589</v>
      </c>
    </row>
    <row r="40" spans="1:11">
      <c r="B40" t="s">
        <v>1590</v>
      </c>
    </row>
    <row r="42" spans="1:11">
      <c r="A42" s="55"/>
      <c r="B42" t="s">
        <v>1591</v>
      </c>
      <c r="C42" t="s">
        <v>1592</v>
      </c>
      <c r="E42" t="s">
        <v>358</v>
      </c>
      <c r="F42" t="s">
        <v>923</v>
      </c>
      <c r="G42" t="s">
        <v>1593</v>
      </c>
      <c r="J42" s="58" t="s">
        <v>1473</v>
      </c>
      <c r="K42" t="s">
        <v>1594</v>
      </c>
    </row>
    <row r="43" spans="1:11">
      <c r="A43" s="40"/>
      <c r="B43" t="s">
        <v>1595</v>
      </c>
      <c r="C43" t="s">
        <v>35</v>
      </c>
      <c r="E43" t="s">
        <v>361</v>
      </c>
      <c r="F43" t="s">
        <v>923</v>
      </c>
      <c r="G43" t="s">
        <v>1596</v>
      </c>
      <c r="H43" t="s">
        <v>1597</v>
      </c>
      <c r="J43" s="58" t="s">
        <v>1475</v>
      </c>
      <c r="K43" t="s">
        <v>1598</v>
      </c>
    </row>
    <row r="44" spans="1:11">
      <c r="A44" s="59"/>
      <c r="B44" t="s">
        <v>1599</v>
      </c>
      <c r="C44" t="s">
        <v>35</v>
      </c>
      <c r="E44" t="s">
        <v>1504</v>
      </c>
      <c r="F44" t="s">
        <v>1501</v>
      </c>
      <c r="K44" t="s">
        <v>1600</v>
      </c>
    </row>
    <row r="45" spans="1:11">
      <c r="A45" s="59"/>
      <c r="B45" t="s">
        <v>1601</v>
      </c>
      <c r="C45" t="s">
        <v>1602</v>
      </c>
      <c r="E45" t="s">
        <v>358</v>
      </c>
      <c r="F45" t="s">
        <v>923</v>
      </c>
      <c r="G45" t="s">
        <v>1512</v>
      </c>
      <c r="J45" s="58" t="s">
        <v>1474</v>
      </c>
      <c r="K45" t="s">
        <v>1603</v>
      </c>
    </row>
    <row r="46" spans="1:11">
      <c r="A46" s="60">
        <v>1</v>
      </c>
      <c r="B46" t="s">
        <v>1604</v>
      </c>
      <c r="C46" t="s">
        <v>35</v>
      </c>
      <c r="E46" t="s">
        <v>370</v>
      </c>
      <c r="F46" t="s">
        <v>1490</v>
      </c>
      <c r="K46" t="s">
        <v>1605</v>
      </c>
    </row>
    <row r="47" spans="1:11">
      <c r="A47" s="40">
        <v>2</v>
      </c>
      <c r="B47" t="s">
        <v>1606</v>
      </c>
      <c r="C47" t="s">
        <v>1607</v>
      </c>
      <c r="E47" t="s">
        <v>279</v>
      </c>
      <c r="F47" t="s">
        <v>923</v>
      </c>
      <c r="G47" t="s">
        <v>1608</v>
      </c>
      <c r="H47" t="s">
        <v>1596</v>
      </c>
      <c r="J47" s="58" t="s">
        <v>1609</v>
      </c>
      <c r="K47" t="s">
        <v>1610</v>
      </c>
    </row>
    <row r="48" spans="1:11">
      <c r="A48" s="59"/>
      <c r="B48" t="s">
        <v>1611</v>
      </c>
      <c r="C48" t="s">
        <v>1607</v>
      </c>
      <c r="E48" t="s">
        <v>375</v>
      </c>
      <c r="F48" t="s">
        <v>1490</v>
      </c>
      <c r="K48" t="s">
        <v>1612</v>
      </c>
    </row>
    <row r="49" spans="1:11">
      <c r="A49" s="59"/>
      <c r="B49" t="s">
        <v>1613</v>
      </c>
      <c r="C49" t="s">
        <v>1607</v>
      </c>
      <c r="E49" t="s">
        <v>370</v>
      </c>
      <c r="F49" t="s">
        <v>923</v>
      </c>
      <c r="G49" t="s">
        <v>1593</v>
      </c>
      <c r="J49" s="58" t="s">
        <v>1477</v>
      </c>
      <c r="K49" t="s">
        <v>1614</v>
      </c>
    </row>
    <row r="50" spans="1:11">
      <c r="A50" s="59" t="s">
        <v>3178</v>
      </c>
      <c r="B50" t="s">
        <v>1615</v>
      </c>
      <c r="C50" t="s">
        <v>1616</v>
      </c>
      <c r="E50" t="s">
        <v>358</v>
      </c>
      <c r="F50" t="s">
        <v>923</v>
      </c>
      <c r="G50" t="s">
        <v>1593</v>
      </c>
      <c r="J50" s="58" t="s">
        <v>1475</v>
      </c>
      <c r="K50" t="s">
        <v>1617</v>
      </c>
    </row>
    <row r="51" spans="1:11">
      <c r="A51" s="59"/>
      <c r="B51" t="s">
        <v>1618</v>
      </c>
      <c r="C51" t="s">
        <v>1616</v>
      </c>
      <c r="E51" t="s">
        <v>279</v>
      </c>
      <c r="F51" t="s">
        <v>923</v>
      </c>
      <c r="G51" t="s">
        <v>1608</v>
      </c>
      <c r="H51" t="s">
        <v>1596</v>
      </c>
      <c r="J51" s="58" t="s">
        <v>1475</v>
      </c>
      <c r="K51" t="s">
        <v>1619</v>
      </c>
    </row>
    <row r="52" spans="1:11">
      <c r="A52" s="40"/>
      <c r="B52" t="s">
        <v>1620</v>
      </c>
      <c r="C52" t="s">
        <v>1621</v>
      </c>
      <c r="E52" t="s">
        <v>358</v>
      </c>
      <c r="F52" t="s">
        <v>1501</v>
      </c>
      <c r="K52" t="s">
        <v>1622</v>
      </c>
    </row>
    <row r="53" spans="1:11">
      <c r="A53" s="59">
        <v>4</v>
      </c>
      <c r="B53" t="s">
        <v>1623</v>
      </c>
      <c r="C53" t="s">
        <v>1621</v>
      </c>
      <c r="E53" t="s">
        <v>358</v>
      </c>
      <c r="F53" t="s">
        <v>923</v>
      </c>
      <c r="G53" t="s">
        <v>1531</v>
      </c>
      <c r="J53" s="58" t="s">
        <v>1475</v>
      </c>
      <c r="K53" t="s">
        <v>1624</v>
      </c>
    </row>
    <row r="54" spans="1:11">
      <c r="A54" s="59" t="s">
        <v>3175</v>
      </c>
      <c r="B54" t="s">
        <v>1625</v>
      </c>
      <c r="C54" t="s">
        <v>1626</v>
      </c>
      <c r="E54" t="s">
        <v>370</v>
      </c>
      <c r="F54" t="s">
        <v>923</v>
      </c>
      <c r="G54" t="s">
        <v>1627</v>
      </c>
      <c r="J54" s="58" t="s">
        <v>1475</v>
      </c>
      <c r="K54" t="s">
        <v>1628</v>
      </c>
    </row>
    <row r="55" spans="1:11">
      <c r="A55" s="60">
        <v>5</v>
      </c>
      <c r="B55" t="s">
        <v>1629</v>
      </c>
      <c r="C55" t="s">
        <v>1630</v>
      </c>
      <c r="E55" t="s">
        <v>279</v>
      </c>
      <c r="F55" t="s">
        <v>1490</v>
      </c>
      <c r="K55" t="s">
        <v>1631</v>
      </c>
    </row>
    <row r="56" spans="1:11">
      <c r="A56" s="59">
        <v>6</v>
      </c>
      <c r="B56" t="s">
        <v>1632</v>
      </c>
      <c r="C56" t="s">
        <v>1633</v>
      </c>
      <c r="E56" t="s">
        <v>358</v>
      </c>
      <c r="F56" t="s">
        <v>1493</v>
      </c>
      <c r="G56" t="s">
        <v>1494</v>
      </c>
      <c r="K56" t="s">
        <v>1634</v>
      </c>
    </row>
    <row r="57" spans="1:11">
      <c r="A57" s="59"/>
      <c r="B57" t="s">
        <v>1635</v>
      </c>
      <c r="C57" t="s">
        <v>1636</v>
      </c>
      <c r="E57" t="s">
        <v>370</v>
      </c>
      <c r="F57" t="s">
        <v>923</v>
      </c>
      <c r="G57" t="s">
        <v>1637</v>
      </c>
      <c r="J57" s="58" t="s">
        <v>1638</v>
      </c>
    </row>
    <row r="58" spans="1:11">
      <c r="A58" s="60"/>
      <c r="B58" t="s">
        <v>1639</v>
      </c>
      <c r="C58" t="s">
        <v>1640</v>
      </c>
      <c r="E58" t="s">
        <v>279</v>
      </c>
      <c r="F58" t="s">
        <v>923</v>
      </c>
      <c r="G58" t="s">
        <v>1596</v>
      </c>
      <c r="H58" t="s">
        <v>1641</v>
      </c>
      <c r="J58" s="58" t="s">
        <v>1638</v>
      </c>
      <c r="K58" t="s">
        <v>1642</v>
      </c>
    </row>
    <row r="60" spans="1:11">
      <c r="B60" t="s">
        <v>1643</v>
      </c>
    </row>
    <row r="62" spans="1:11">
      <c r="A62" s="40"/>
      <c r="B62" t="s">
        <v>1644</v>
      </c>
      <c r="C62" t="s">
        <v>1645</v>
      </c>
      <c r="E62" t="s">
        <v>358</v>
      </c>
      <c r="F62" t="s">
        <v>923</v>
      </c>
      <c r="G62" t="s">
        <v>1646</v>
      </c>
      <c r="H62" t="s">
        <v>1647</v>
      </c>
      <c r="J62" s="58" t="s">
        <v>1473</v>
      </c>
      <c r="K62" t="s">
        <v>1648</v>
      </c>
    </row>
    <row r="63" spans="1:11">
      <c r="A63" s="60">
        <v>1</v>
      </c>
      <c r="B63" t="s">
        <v>1649</v>
      </c>
      <c r="C63" t="s">
        <v>1645</v>
      </c>
      <c r="E63" t="s">
        <v>279</v>
      </c>
      <c r="F63" t="s">
        <v>923</v>
      </c>
      <c r="G63" t="s">
        <v>1545</v>
      </c>
      <c r="H63" t="s">
        <v>1647</v>
      </c>
      <c r="J63" s="58" t="s">
        <v>1473</v>
      </c>
      <c r="K63" t="s">
        <v>1650</v>
      </c>
    </row>
    <row r="64" spans="1:11">
      <c r="A64" s="40"/>
      <c r="B64" t="s">
        <v>1651</v>
      </c>
      <c r="C64" t="s">
        <v>36</v>
      </c>
      <c r="E64" t="s">
        <v>371</v>
      </c>
      <c r="F64" t="s">
        <v>1490</v>
      </c>
      <c r="K64" t="s">
        <v>1652</v>
      </c>
    </row>
    <row r="65" spans="1:11">
      <c r="A65" s="59"/>
      <c r="B65" t="s">
        <v>1653</v>
      </c>
      <c r="C65" t="s">
        <v>36</v>
      </c>
      <c r="E65" t="s">
        <v>279</v>
      </c>
      <c r="F65" t="s">
        <v>923</v>
      </c>
      <c r="G65" t="s">
        <v>1410</v>
      </c>
      <c r="H65" t="s">
        <v>1647</v>
      </c>
      <c r="J65" s="58" t="s">
        <v>1474</v>
      </c>
      <c r="K65" t="s">
        <v>1654</v>
      </c>
    </row>
    <row r="66" spans="1:11">
      <c r="A66" s="59" t="s">
        <v>3175</v>
      </c>
      <c r="B66" t="s">
        <v>1655</v>
      </c>
      <c r="C66" t="s">
        <v>1656</v>
      </c>
      <c r="E66" t="s">
        <v>358</v>
      </c>
      <c r="F66" t="s">
        <v>1490</v>
      </c>
      <c r="K66" t="s">
        <v>1657</v>
      </c>
    </row>
    <row r="67" spans="1:11">
      <c r="A67" s="59" t="s">
        <v>3177</v>
      </c>
      <c r="B67" t="s">
        <v>1658</v>
      </c>
      <c r="C67" t="s">
        <v>36</v>
      </c>
      <c r="E67" t="s">
        <v>361</v>
      </c>
      <c r="F67" t="s">
        <v>923</v>
      </c>
      <c r="G67" t="s">
        <v>1659</v>
      </c>
      <c r="J67" s="58" t="s">
        <v>1475</v>
      </c>
      <c r="K67" t="s">
        <v>1660</v>
      </c>
    </row>
    <row r="68" spans="1:11">
      <c r="A68" s="59"/>
      <c r="B68" t="s">
        <v>1661</v>
      </c>
      <c r="C68" t="s">
        <v>1656</v>
      </c>
      <c r="E68" t="s">
        <v>358</v>
      </c>
      <c r="F68" t="s">
        <v>923</v>
      </c>
      <c r="G68" t="s">
        <v>1512</v>
      </c>
      <c r="J68" s="58" t="s">
        <v>1474</v>
      </c>
      <c r="K68" t="s">
        <v>1662</v>
      </c>
    </row>
    <row r="69" spans="1:11">
      <c r="A69" s="59"/>
      <c r="B69" t="s">
        <v>1663</v>
      </c>
      <c r="C69" t="s">
        <v>1656</v>
      </c>
      <c r="E69" t="s">
        <v>371</v>
      </c>
      <c r="F69" t="s">
        <v>1490</v>
      </c>
      <c r="K69" t="s">
        <v>1664</v>
      </c>
    </row>
    <row r="70" spans="1:11">
      <c r="A70" s="60">
        <v>3</v>
      </c>
      <c r="B70" t="s">
        <v>1665</v>
      </c>
      <c r="C70" t="s">
        <v>36</v>
      </c>
      <c r="E70" t="s">
        <v>371</v>
      </c>
      <c r="F70" t="s">
        <v>923</v>
      </c>
      <c r="G70" t="s">
        <v>1410</v>
      </c>
      <c r="H70" t="s">
        <v>1647</v>
      </c>
      <c r="J70" s="58" t="s">
        <v>1483</v>
      </c>
      <c r="K70" t="s">
        <v>1666</v>
      </c>
    </row>
    <row r="71" spans="1:11">
      <c r="A71" s="40"/>
      <c r="B71" t="s">
        <v>1667</v>
      </c>
      <c r="C71" t="s">
        <v>1668</v>
      </c>
      <c r="E71" t="s">
        <v>279</v>
      </c>
      <c r="F71" t="s">
        <v>1490</v>
      </c>
      <c r="K71" t="s">
        <v>1669</v>
      </c>
    </row>
    <row r="72" spans="1:11">
      <c r="A72" s="59">
        <v>4</v>
      </c>
      <c r="B72" t="s">
        <v>1670</v>
      </c>
      <c r="C72" t="s">
        <v>1671</v>
      </c>
      <c r="E72" t="s">
        <v>358</v>
      </c>
      <c r="F72" t="s">
        <v>1493</v>
      </c>
      <c r="G72" t="s">
        <v>1494</v>
      </c>
      <c r="K72" t="s">
        <v>1672</v>
      </c>
    </row>
    <row r="73" spans="1:11">
      <c r="A73" s="59">
        <v>5</v>
      </c>
      <c r="B73" t="s">
        <v>1673</v>
      </c>
      <c r="C73" t="s">
        <v>1668</v>
      </c>
      <c r="E73" t="s">
        <v>1504</v>
      </c>
      <c r="F73" t="s">
        <v>923</v>
      </c>
      <c r="G73" t="s">
        <v>1674</v>
      </c>
      <c r="H73" t="s">
        <v>1647</v>
      </c>
      <c r="J73" s="58" t="s">
        <v>1475</v>
      </c>
      <c r="K73" t="s">
        <v>1675</v>
      </c>
    </row>
    <row r="74" spans="1:11">
      <c r="A74" s="59"/>
      <c r="B74" t="s">
        <v>1676</v>
      </c>
      <c r="C74" t="s">
        <v>1668</v>
      </c>
      <c r="E74" t="s">
        <v>371</v>
      </c>
      <c r="F74" t="s">
        <v>923</v>
      </c>
      <c r="G74" t="s">
        <v>1410</v>
      </c>
      <c r="H74" t="s">
        <v>1677</v>
      </c>
      <c r="J74" s="58" t="s">
        <v>1475</v>
      </c>
      <c r="K74" t="s">
        <v>1678</v>
      </c>
    </row>
    <row r="75" spans="1:11">
      <c r="A75" s="59"/>
      <c r="B75" t="s">
        <v>1679</v>
      </c>
      <c r="C75" t="s">
        <v>1671</v>
      </c>
      <c r="E75" t="s">
        <v>358</v>
      </c>
      <c r="F75" t="s">
        <v>923</v>
      </c>
      <c r="G75" t="s">
        <v>1545</v>
      </c>
      <c r="H75" t="s">
        <v>1677</v>
      </c>
      <c r="J75" s="58" t="s">
        <v>1680</v>
      </c>
      <c r="K75" t="s">
        <v>1681</v>
      </c>
    </row>
    <row r="76" spans="1:11">
      <c r="A76" s="60"/>
      <c r="B76" t="s">
        <v>1682</v>
      </c>
      <c r="C76" t="s">
        <v>1683</v>
      </c>
      <c r="E76" t="s">
        <v>358</v>
      </c>
      <c r="F76" t="s">
        <v>923</v>
      </c>
      <c r="K76" t="s">
        <v>1684</v>
      </c>
    </row>
    <row r="77" spans="1:11">
      <c r="A77" s="55">
        <v>6</v>
      </c>
      <c r="B77" t="s">
        <v>1685</v>
      </c>
      <c r="C77" t="s">
        <v>1686</v>
      </c>
      <c r="E77" t="s">
        <v>375</v>
      </c>
      <c r="F77" t="s">
        <v>1490</v>
      </c>
      <c r="K77" t="s">
        <v>1687</v>
      </c>
    </row>
    <row r="79" spans="1:11">
      <c r="B79" t="s">
        <v>1688</v>
      </c>
    </row>
    <row r="81" spans="1:11">
      <c r="A81" s="40">
        <v>1</v>
      </c>
      <c r="B81" t="s">
        <v>1689</v>
      </c>
      <c r="C81" t="s">
        <v>1690</v>
      </c>
      <c r="E81" t="s">
        <v>371</v>
      </c>
      <c r="F81" t="s">
        <v>1490</v>
      </c>
      <c r="K81" t="s">
        <v>1691</v>
      </c>
    </row>
    <row r="82" spans="1:11">
      <c r="A82" s="60"/>
      <c r="B82" t="s">
        <v>1692</v>
      </c>
      <c r="C82" t="s">
        <v>1690</v>
      </c>
      <c r="E82" t="s">
        <v>358</v>
      </c>
      <c r="F82" t="s">
        <v>923</v>
      </c>
      <c r="G82" t="s">
        <v>1659</v>
      </c>
      <c r="J82" s="58" t="s">
        <v>1473</v>
      </c>
      <c r="K82" t="s">
        <v>1693</v>
      </c>
    </row>
    <row r="83" spans="1:11">
      <c r="A83" s="40"/>
      <c r="B83" t="s">
        <v>1694</v>
      </c>
      <c r="C83" t="s">
        <v>37</v>
      </c>
      <c r="E83" t="s">
        <v>371</v>
      </c>
      <c r="F83" t="s">
        <v>1490</v>
      </c>
      <c r="K83" t="s">
        <v>1695</v>
      </c>
    </row>
    <row r="84" spans="1:11">
      <c r="A84" s="59"/>
      <c r="B84" t="s">
        <v>1696</v>
      </c>
      <c r="C84" t="s">
        <v>1697</v>
      </c>
      <c r="E84" t="s">
        <v>358</v>
      </c>
      <c r="F84" t="s">
        <v>923</v>
      </c>
      <c r="G84" t="s">
        <v>1512</v>
      </c>
      <c r="J84" s="58" t="s">
        <v>1474</v>
      </c>
      <c r="K84" t="s">
        <v>1698</v>
      </c>
    </row>
    <row r="85" spans="1:11">
      <c r="A85" s="59">
        <v>2</v>
      </c>
      <c r="B85" t="s">
        <v>1699</v>
      </c>
      <c r="C85" t="s">
        <v>1697</v>
      </c>
      <c r="E85" t="s">
        <v>358</v>
      </c>
      <c r="F85" t="s">
        <v>1493</v>
      </c>
      <c r="G85" t="s">
        <v>1494</v>
      </c>
      <c r="K85" t="s">
        <v>1700</v>
      </c>
    </row>
    <row r="86" spans="1:11">
      <c r="A86" s="59"/>
      <c r="B86" t="s">
        <v>1701</v>
      </c>
      <c r="C86" t="s">
        <v>37</v>
      </c>
      <c r="E86" t="s">
        <v>371</v>
      </c>
      <c r="F86" t="s">
        <v>923</v>
      </c>
      <c r="G86" t="s">
        <v>1702</v>
      </c>
      <c r="H86" t="s">
        <v>1703</v>
      </c>
      <c r="J86" s="58" t="s">
        <v>1474</v>
      </c>
      <c r="K86" t="s">
        <v>1704</v>
      </c>
    </row>
    <row r="87" spans="1:11">
      <c r="A87" s="60">
        <v>3</v>
      </c>
      <c r="B87" t="s">
        <v>1705</v>
      </c>
      <c r="C87" t="s">
        <v>37</v>
      </c>
      <c r="E87" t="s">
        <v>350</v>
      </c>
      <c r="F87" t="s">
        <v>923</v>
      </c>
      <c r="G87" t="s">
        <v>1706</v>
      </c>
      <c r="H87" t="s">
        <v>1707</v>
      </c>
      <c r="J87" s="58" t="s">
        <v>1473</v>
      </c>
      <c r="K87" t="s">
        <v>1708</v>
      </c>
    </row>
    <row r="88" spans="1:11">
      <c r="A88" s="40"/>
      <c r="B88" t="s">
        <v>1709</v>
      </c>
      <c r="C88" t="s">
        <v>1710</v>
      </c>
      <c r="E88" t="s">
        <v>371</v>
      </c>
      <c r="F88" t="s">
        <v>923</v>
      </c>
      <c r="G88" t="s">
        <v>1711</v>
      </c>
      <c r="H88" t="s">
        <v>1712</v>
      </c>
      <c r="J88" s="58" t="s">
        <v>1609</v>
      </c>
      <c r="K88" t="s">
        <v>1713</v>
      </c>
    </row>
    <row r="89" spans="1:11">
      <c r="A89" s="59">
        <v>4</v>
      </c>
      <c r="B89" t="s">
        <v>1714</v>
      </c>
      <c r="C89" t="s">
        <v>1710</v>
      </c>
      <c r="E89" t="s">
        <v>350</v>
      </c>
      <c r="F89" t="s">
        <v>923</v>
      </c>
      <c r="G89" t="s">
        <v>1608</v>
      </c>
      <c r="H89" t="s">
        <v>1715</v>
      </c>
      <c r="J89" s="58" t="s">
        <v>1716</v>
      </c>
      <c r="K89" t="s">
        <v>1717</v>
      </c>
    </row>
    <row r="90" spans="1:11">
      <c r="A90" s="59"/>
      <c r="B90" t="s">
        <v>1718</v>
      </c>
      <c r="C90" t="s">
        <v>1710</v>
      </c>
      <c r="E90" t="s">
        <v>361</v>
      </c>
      <c r="F90" t="s">
        <v>923</v>
      </c>
      <c r="G90" t="s">
        <v>1706</v>
      </c>
      <c r="J90" s="58" t="s">
        <v>1473</v>
      </c>
      <c r="K90" t="s">
        <v>1719</v>
      </c>
    </row>
    <row r="91" spans="1:11">
      <c r="A91" s="59"/>
      <c r="B91" t="s">
        <v>1720</v>
      </c>
      <c r="C91" t="s">
        <v>1710</v>
      </c>
      <c r="E91" t="s">
        <v>1504</v>
      </c>
      <c r="F91" t="s">
        <v>923</v>
      </c>
      <c r="G91" t="s">
        <v>1410</v>
      </c>
      <c r="H91" t="s">
        <v>1637</v>
      </c>
      <c r="J91" s="58" t="s">
        <v>1475</v>
      </c>
      <c r="K91" t="s">
        <v>1721</v>
      </c>
    </row>
    <row r="92" spans="1:11">
      <c r="A92" s="59"/>
      <c r="B92" t="s">
        <v>1722</v>
      </c>
      <c r="C92" t="s">
        <v>1723</v>
      </c>
      <c r="E92" t="s">
        <v>350</v>
      </c>
      <c r="F92" t="s">
        <v>1493</v>
      </c>
      <c r="G92" t="s">
        <v>1494</v>
      </c>
      <c r="K92" t="s">
        <v>1724</v>
      </c>
    </row>
    <row r="93" spans="1:11">
      <c r="A93" s="60"/>
      <c r="B93" t="s">
        <v>1725</v>
      </c>
      <c r="C93" t="s">
        <v>1723</v>
      </c>
      <c r="E93" t="s">
        <v>358</v>
      </c>
      <c r="F93" t="s">
        <v>1490</v>
      </c>
      <c r="K93" t="s">
        <v>1726</v>
      </c>
    </row>
    <row r="94" spans="1:11">
      <c r="A94" s="40"/>
      <c r="B94" t="s">
        <v>1727</v>
      </c>
      <c r="C94" t="s">
        <v>1728</v>
      </c>
      <c r="E94" t="s">
        <v>350</v>
      </c>
      <c r="F94" t="s">
        <v>923</v>
      </c>
      <c r="G94" t="s">
        <v>1659</v>
      </c>
      <c r="J94" s="58" t="s">
        <v>1479</v>
      </c>
      <c r="K94" t="s">
        <v>1729</v>
      </c>
    </row>
    <row r="95" spans="1:11">
      <c r="A95" s="60"/>
      <c r="B95" t="s">
        <v>1730</v>
      </c>
      <c r="C95" t="s">
        <v>1731</v>
      </c>
      <c r="E95" t="s">
        <v>358</v>
      </c>
      <c r="F95" t="s">
        <v>923</v>
      </c>
      <c r="G95" t="s">
        <v>1659</v>
      </c>
      <c r="J95" s="58" t="s">
        <v>1480</v>
      </c>
      <c r="K95" t="s">
        <v>1732</v>
      </c>
    </row>
    <row r="96" spans="1:11">
      <c r="A96" s="55">
        <v>5</v>
      </c>
      <c r="B96" t="s">
        <v>1733</v>
      </c>
      <c r="C96" t="s">
        <v>1734</v>
      </c>
      <c r="E96" t="s">
        <v>375</v>
      </c>
      <c r="F96" t="s">
        <v>1490</v>
      </c>
      <c r="K96" t="s">
        <v>1735</v>
      </c>
    </row>
    <row r="97" spans="1:13">
      <c r="A97" s="55">
        <v>6</v>
      </c>
      <c r="B97" t="s">
        <v>1736</v>
      </c>
      <c r="C97" t="s">
        <v>1737</v>
      </c>
      <c r="E97" t="s">
        <v>358</v>
      </c>
      <c r="F97" t="s">
        <v>923</v>
      </c>
      <c r="G97" t="s">
        <v>1659</v>
      </c>
      <c r="J97" s="58" t="s">
        <v>1479</v>
      </c>
      <c r="K97" t="s">
        <v>1738</v>
      </c>
    </row>
    <row r="101" spans="1:13">
      <c r="B101" t="s">
        <v>1922</v>
      </c>
      <c r="C101" t="s">
        <v>1926</v>
      </c>
    </row>
    <row r="102" spans="1:13">
      <c r="B102" t="s">
        <v>1923</v>
      </c>
      <c r="C102" t="s">
        <v>1013</v>
      </c>
    </row>
    <row r="103" spans="1:13">
      <c r="B103" t="s">
        <v>1924</v>
      </c>
      <c r="C103" t="s">
        <v>1022</v>
      </c>
      <c r="K103" t="s">
        <v>1925</v>
      </c>
    </row>
    <row r="104" spans="1:13">
      <c r="B104" t="s">
        <v>1927</v>
      </c>
      <c r="C104" t="s">
        <v>1928</v>
      </c>
    </row>
    <row r="107" spans="1:13">
      <c r="B107" t="s">
        <v>2119</v>
      </c>
      <c r="C107" t="s">
        <v>2114</v>
      </c>
      <c r="E107">
        <v>6</v>
      </c>
      <c r="F107" t="s">
        <v>2115</v>
      </c>
      <c r="G107" t="s">
        <v>2116</v>
      </c>
      <c r="H107" t="s">
        <v>2117</v>
      </c>
      <c r="M107" t="s">
        <v>2118</v>
      </c>
    </row>
    <row r="108" spans="1:13">
      <c r="B108" t="s">
        <v>2109</v>
      </c>
    </row>
    <row r="109" spans="1:13">
      <c r="B109" t="s">
        <v>2110</v>
      </c>
    </row>
    <row r="110" spans="1:13">
      <c r="B110" t="s">
        <v>2108</v>
      </c>
    </row>
    <row r="111" spans="1:13">
      <c r="B111" t="s">
        <v>2111</v>
      </c>
    </row>
    <row r="112" spans="1:13">
      <c r="B112" t="s">
        <v>2112</v>
      </c>
    </row>
    <row r="113" spans="2:2">
      <c r="B113" t="s">
        <v>2113</v>
      </c>
    </row>
  </sheetData>
  <phoneticPr fontId="1"/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AJ50"/>
  <sheetViews>
    <sheetView topLeftCell="A19" workbookViewId="0">
      <selection activeCell="E9" sqref="E9"/>
    </sheetView>
  </sheetViews>
  <sheetFormatPr defaultRowHeight="13.5"/>
  <cols>
    <col min="1" max="1" width="9" style="35"/>
    <col min="2" max="2" width="2.875" style="35" bestFit="1" customWidth="1"/>
    <col min="3" max="4" width="2.75" style="35" bestFit="1" customWidth="1"/>
    <col min="5" max="5" width="2.625" style="35" bestFit="1" customWidth="1"/>
    <col min="6" max="7" width="2.75" style="35" bestFit="1" customWidth="1"/>
    <col min="8" max="8" width="2.5" style="35" bestFit="1" customWidth="1"/>
    <col min="9" max="11" width="3.75" style="35" bestFit="1" customWidth="1"/>
    <col min="12" max="12" width="3.75" style="35" customWidth="1"/>
    <col min="13" max="13" width="9" style="35"/>
    <col min="14" max="14" width="2.875" style="35" bestFit="1" customWidth="1"/>
    <col min="15" max="16" width="2.75" style="35" bestFit="1" customWidth="1"/>
    <col min="17" max="17" width="2.625" style="35" bestFit="1" customWidth="1"/>
    <col min="18" max="19" width="2.75" style="35" bestFit="1" customWidth="1"/>
    <col min="20" max="20" width="2.5" style="35" bestFit="1" customWidth="1"/>
    <col min="21" max="23" width="3.75" style="35" bestFit="1" customWidth="1"/>
    <col min="24" max="24" width="3.75" customWidth="1"/>
    <col min="25" max="25" width="9" customWidth="1"/>
    <col min="26" max="27" width="2.75" bestFit="1" customWidth="1"/>
    <col min="28" max="28" width="2.625" bestFit="1" customWidth="1"/>
    <col min="29" max="30" width="2.75" bestFit="1" customWidth="1"/>
    <col min="31" max="31" width="2.5" bestFit="1" customWidth="1"/>
    <col min="32" max="34" width="3.75" bestFit="1" customWidth="1"/>
    <col min="35" max="36" width="3.75" customWidth="1"/>
  </cols>
  <sheetData>
    <row r="1" spans="1:36" s="35" customFormat="1">
      <c r="A1" s="37" t="s">
        <v>299</v>
      </c>
      <c r="B1" s="7" t="s">
        <v>5</v>
      </c>
      <c r="C1" s="7" t="s">
        <v>4</v>
      </c>
      <c r="D1" s="7" t="s">
        <v>3</v>
      </c>
      <c r="E1" s="7" t="s">
        <v>2</v>
      </c>
      <c r="F1" s="7" t="s">
        <v>28</v>
      </c>
      <c r="G1" s="7" t="s">
        <v>852</v>
      </c>
      <c r="H1" s="7" t="s">
        <v>249</v>
      </c>
      <c r="I1" s="7" t="s">
        <v>925</v>
      </c>
      <c r="J1" s="7" t="s">
        <v>926</v>
      </c>
      <c r="K1" s="26" t="s">
        <v>918</v>
      </c>
      <c r="L1" s="45"/>
      <c r="M1" s="37" t="s">
        <v>337</v>
      </c>
      <c r="N1" s="7" t="s">
        <v>5</v>
      </c>
      <c r="O1" s="7" t="s">
        <v>4</v>
      </c>
      <c r="P1" s="7" t="s">
        <v>3</v>
      </c>
      <c r="Q1" s="7" t="s">
        <v>2</v>
      </c>
      <c r="R1" s="7" t="s">
        <v>28</v>
      </c>
      <c r="S1" s="7" t="s">
        <v>852</v>
      </c>
      <c r="T1" s="7" t="s">
        <v>249</v>
      </c>
      <c r="U1" s="7" t="s">
        <v>925</v>
      </c>
      <c r="V1" s="7" t="s">
        <v>926</v>
      </c>
      <c r="W1" s="26" t="s">
        <v>918</v>
      </c>
      <c r="X1" s="45"/>
      <c r="Y1" s="37"/>
      <c r="Z1" s="7" t="s">
        <v>5</v>
      </c>
      <c r="AA1" s="7" t="s">
        <v>4</v>
      </c>
      <c r="AB1" s="7" t="s">
        <v>3</v>
      </c>
      <c r="AC1" s="7" t="s">
        <v>2</v>
      </c>
      <c r="AD1" s="7" t="s">
        <v>28</v>
      </c>
      <c r="AE1" s="7" t="s">
        <v>852</v>
      </c>
      <c r="AF1" s="7" t="s">
        <v>249</v>
      </c>
      <c r="AG1" s="7" t="s">
        <v>925</v>
      </c>
      <c r="AH1" s="7" t="s">
        <v>926</v>
      </c>
      <c r="AI1" s="26" t="s">
        <v>918</v>
      </c>
      <c r="AJ1" s="45"/>
    </row>
    <row r="2" spans="1:36" s="35" customFormat="1">
      <c r="A2" s="38" t="s">
        <v>923</v>
      </c>
      <c r="B2" s="36">
        <v>1</v>
      </c>
      <c r="C2" s="36"/>
      <c r="D2" s="36">
        <v>1</v>
      </c>
      <c r="E2" s="36">
        <v>1</v>
      </c>
      <c r="F2" s="36">
        <v>1</v>
      </c>
      <c r="G2" s="36"/>
      <c r="H2" s="36"/>
      <c r="I2" s="36"/>
      <c r="J2" s="36"/>
      <c r="K2" s="12"/>
      <c r="L2" s="46">
        <f>SUM(B2:K2)</f>
        <v>4</v>
      </c>
      <c r="M2" s="38" t="s">
        <v>923</v>
      </c>
      <c r="N2" s="36">
        <v>2</v>
      </c>
      <c r="O2" s="36"/>
      <c r="P2" s="36">
        <v>2</v>
      </c>
      <c r="Q2" s="36"/>
      <c r="R2" s="36">
        <v>3</v>
      </c>
      <c r="S2" s="36"/>
      <c r="T2" s="36"/>
      <c r="U2" s="36"/>
      <c r="V2" s="36"/>
      <c r="W2" s="12"/>
      <c r="X2" s="46">
        <f>SUM(N2:W2)</f>
        <v>7</v>
      </c>
      <c r="Y2" s="38" t="s">
        <v>923</v>
      </c>
      <c r="Z2" s="36"/>
      <c r="AA2" s="36"/>
      <c r="AB2" s="36"/>
      <c r="AC2" s="36"/>
      <c r="AD2" s="36"/>
      <c r="AE2" s="36"/>
      <c r="AF2" s="36"/>
      <c r="AG2" s="36"/>
      <c r="AH2" s="36"/>
      <c r="AI2" s="12"/>
      <c r="AJ2" s="46">
        <f>SUM(Z2:AI2)</f>
        <v>0</v>
      </c>
    </row>
    <row r="3" spans="1:36" s="35" customFormat="1">
      <c r="A3" s="38" t="s">
        <v>4</v>
      </c>
      <c r="B3" s="36">
        <v>2</v>
      </c>
      <c r="C3" s="36"/>
      <c r="D3" s="36"/>
      <c r="E3" s="36">
        <v>2</v>
      </c>
      <c r="F3" s="36">
        <v>1</v>
      </c>
      <c r="G3" s="36"/>
      <c r="H3" s="36"/>
      <c r="I3" s="36">
        <v>2</v>
      </c>
      <c r="J3" s="36"/>
      <c r="K3" s="12"/>
      <c r="L3" s="46">
        <f>SUM(B3:K3)</f>
        <v>7</v>
      </c>
      <c r="M3" s="38" t="s">
        <v>4</v>
      </c>
      <c r="N3" s="36">
        <v>3</v>
      </c>
      <c r="O3" s="36">
        <v>2</v>
      </c>
      <c r="P3" s="36">
        <v>3</v>
      </c>
      <c r="Q3" s="36">
        <v>1</v>
      </c>
      <c r="R3" s="36">
        <v>2</v>
      </c>
      <c r="S3" s="36"/>
      <c r="T3" s="36"/>
      <c r="U3" s="36"/>
      <c r="V3" s="36"/>
      <c r="W3" s="12"/>
      <c r="X3" s="46">
        <f>SUM(N3:W3)</f>
        <v>11</v>
      </c>
      <c r="Y3" s="38" t="s">
        <v>4</v>
      </c>
      <c r="Z3" s="36"/>
      <c r="AA3" s="36"/>
      <c r="AB3" s="36"/>
      <c r="AC3" s="36"/>
      <c r="AD3" s="36"/>
      <c r="AE3" s="36"/>
      <c r="AF3" s="36"/>
      <c r="AG3" s="36"/>
      <c r="AH3" s="36"/>
      <c r="AI3" s="12"/>
      <c r="AJ3" s="46">
        <f>SUM(Z3:AI3)</f>
        <v>0</v>
      </c>
    </row>
    <row r="4" spans="1:36" s="35" customFormat="1" ht="14.25" thickBot="1">
      <c r="A4" s="39" t="s">
        <v>924</v>
      </c>
      <c r="B4" s="40">
        <v>2</v>
      </c>
      <c r="C4" s="40"/>
      <c r="D4" s="40"/>
      <c r="E4" s="40"/>
      <c r="F4" s="40"/>
      <c r="G4" s="40"/>
      <c r="H4" s="40"/>
      <c r="I4" s="40">
        <v>1</v>
      </c>
      <c r="J4" s="40"/>
      <c r="K4" s="43"/>
      <c r="L4" s="47">
        <f>SUM(B4:K4)</f>
        <v>3</v>
      </c>
      <c r="M4" s="39" t="s">
        <v>924</v>
      </c>
      <c r="N4" s="40">
        <v>2</v>
      </c>
      <c r="O4" s="40"/>
      <c r="P4" s="40">
        <v>2</v>
      </c>
      <c r="Q4" s="40">
        <v>1</v>
      </c>
      <c r="R4" s="40">
        <v>4</v>
      </c>
      <c r="S4" s="40"/>
      <c r="T4" s="40"/>
      <c r="U4" s="40"/>
      <c r="V4" s="40"/>
      <c r="W4" s="43"/>
      <c r="X4" s="47">
        <f>SUM(N4:W4)</f>
        <v>9</v>
      </c>
      <c r="Y4" s="39" t="s">
        <v>924</v>
      </c>
      <c r="Z4" s="40"/>
      <c r="AA4" s="40"/>
      <c r="AB4" s="40"/>
      <c r="AC4" s="40"/>
      <c r="AD4" s="40"/>
      <c r="AE4" s="40"/>
      <c r="AF4" s="40"/>
      <c r="AG4" s="40"/>
      <c r="AH4" s="40"/>
      <c r="AI4" s="43"/>
      <c r="AJ4" s="47">
        <f>SUM(Z4:AI4)</f>
        <v>0</v>
      </c>
    </row>
    <row r="5" spans="1:36" s="35" customFormat="1" ht="15" thickTop="1" thickBot="1">
      <c r="A5" s="41" t="s">
        <v>928</v>
      </c>
      <c r="B5" s="42">
        <f>SUM(B2:B4)</f>
        <v>5</v>
      </c>
      <c r="C5" s="42">
        <f t="shared" ref="C5:K5" si="0">SUM(C2:C4)</f>
        <v>0</v>
      </c>
      <c r="D5" s="42">
        <f t="shared" si="0"/>
        <v>1</v>
      </c>
      <c r="E5" s="42">
        <f t="shared" si="0"/>
        <v>3</v>
      </c>
      <c r="F5" s="42">
        <f t="shared" si="0"/>
        <v>2</v>
      </c>
      <c r="G5" s="42">
        <f t="shared" si="0"/>
        <v>0</v>
      </c>
      <c r="H5" s="42">
        <f t="shared" si="0"/>
        <v>0</v>
      </c>
      <c r="I5" s="42">
        <f t="shared" si="0"/>
        <v>3</v>
      </c>
      <c r="J5" s="42">
        <f t="shared" si="0"/>
        <v>0</v>
      </c>
      <c r="K5" s="44">
        <f t="shared" si="0"/>
        <v>0</v>
      </c>
      <c r="L5" s="48">
        <f>SUM(B5:K5)</f>
        <v>14</v>
      </c>
      <c r="M5" s="41" t="s">
        <v>928</v>
      </c>
      <c r="N5" s="42">
        <f t="shared" ref="N5:W5" si="1">SUM(N2:N4)</f>
        <v>7</v>
      </c>
      <c r="O5" s="42">
        <f t="shared" si="1"/>
        <v>2</v>
      </c>
      <c r="P5" s="42">
        <f t="shared" si="1"/>
        <v>7</v>
      </c>
      <c r="Q5" s="42">
        <f t="shared" si="1"/>
        <v>2</v>
      </c>
      <c r="R5" s="42">
        <f t="shared" si="1"/>
        <v>9</v>
      </c>
      <c r="S5" s="42">
        <f t="shared" si="1"/>
        <v>0</v>
      </c>
      <c r="T5" s="42">
        <f t="shared" si="1"/>
        <v>0</v>
      </c>
      <c r="U5" s="42">
        <f t="shared" si="1"/>
        <v>0</v>
      </c>
      <c r="V5" s="42">
        <f t="shared" si="1"/>
        <v>0</v>
      </c>
      <c r="W5" s="44">
        <f t="shared" si="1"/>
        <v>0</v>
      </c>
      <c r="X5" s="48">
        <f>SUM(N5:W5)</f>
        <v>27</v>
      </c>
      <c r="Y5" s="41" t="s">
        <v>928</v>
      </c>
      <c r="Z5" s="42">
        <f t="shared" ref="Z5:AI5" si="2">SUM(Z2:Z4)</f>
        <v>0</v>
      </c>
      <c r="AA5" s="42">
        <f t="shared" si="2"/>
        <v>0</v>
      </c>
      <c r="AB5" s="42">
        <f t="shared" si="2"/>
        <v>0</v>
      </c>
      <c r="AC5" s="42">
        <f t="shared" si="2"/>
        <v>0</v>
      </c>
      <c r="AD5" s="42">
        <f t="shared" si="2"/>
        <v>0</v>
      </c>
      <c r="AE5" s="42">
        <f t="shared" si="2"/>
        <v>0</v>
      </c>
      <c r="AF5" s="42">
        <f t="shared" si="2"/>
        <v>0</v>
      </c>
      <c r="AG5" s="42">
        <f t="shared" si="2"/>
        <v>0</v>
      </c>
      <c r="AH5" s="42">
        <f t="shared" si="2"/>
        <v>0</v>
      </c>
      <c r="AI5" s="44">
        <f t="shared" si="2"/>
        <v>0</v>
      </c>
      <c r="AJ5" s="48">
        <f>SUM(Z5:AI5)</f>
        <v>0</v>
      </c>
    </row>
    <row r="6" spans="1:36" s="35" customFormat="1">
      <c r="A6" s="37" t="s">
        <v>927</v>
      </c>
      <c r="B6" s="7" t="s">
        <v>5</v>
      </c>
      <c r="C6" s="7" t="s">
        <v>4</v>
      </c>
      <c r="D6" s="7" t="s">
        <v>3</v>
      </c>
      <c r="E6" s="7" t="s">
        <v>2</v>
      </c>
      <c r="F6" s="7" t="s">
        <v>28</v>
      </c>
      <c r="G6" s="7" t="s">
        <v>852</v>
      </c>
      <c r="H6" s="7" t="s">
        <v>249</v>
      </c>
      <c r="I6" s="7" t="s">
        <v>925</v>
      </c>
      <c r="J6" s="7" t="s">
        <v>926</v>
      </c>
      <c r="K6" s="26" t="s">
        <v>918</v>
      </c>
      <c r="L6" s="45"/>
      <c r="M6" s="37" t="s">
        <v>583</v>
      </c>
      <c r="N6" s="7" t="s">
        <v>5</v>
      </c>
      <c r="O6" s="7" t="s">
        <v>4</v>
      </c>
      <c r="P6" s="7" t="s">
        <v>3</v>
      </c>
      <c r="Q6" s="7" t="s">
        <v>2</v>
      </c>
      <c r="R6" s="7" t="s">
        <v>28</v>
      </c>
      <c r="S6" s="7" t="s">
        <v>852</v>
      </c>
      <c r="T6" s="7" t="s">
        <v>249</v>
      </c>
      <c r="U6" s="7" t="s">
        <v>925</v>
      </c>
      <c r="V6" s="7" t="s">
        <v>926</v>
      </c>
      <c r="W6" s="26" t="s">
        <v>918</v>
      </c>
      <c r="X6" s="45"/>
      <c r="Y6" s="37"/>
      <c r="Z6" s="7" t="s">
        <v>5</v>
      </c>
      <c r="AA6" s="7" t="s">
        <v>4</v>
      </c>
      <c r="AB6" s="7" t="s">
        <v>3</v>
      </c>
      <c r="AC6" s="7" t="s">
        <v>2</v>
      </c>
      <c r="AD6" s="7" t="s">
        <v>28</v>
      </c>
      <c r="AE6" s="7" t="s">
        <v>852</v>
      </c>
      <c r="AF6" s="7" t="s">
        <v>249</v>
      </c>
      <c r="AG6" s="7" t="s">
        <v>925</v>
      </c>
      <c r="AH6" s="7" t="s">
        <v>926</v>
      </c>
      <c r="AI6" s="26" t="s">
        <v>918</v>
      </c>
      <c r="AJ6" s="45"/>
    </row>
    <row r="7" spans="1:36" s="35" customFormat="1">
      <c r="A7" s="38" t="s">
        <v>923</v>
      </c>
      <c r="B7" s="36"/>
      <c r="C7" s="36">
        <v>2</v>
      </c>
      <c r="D7" s="36">
        <v>1</v>
      </c>
      <c r="E7" s="36">
        <v>1</v>
      </c>
      <c r="F7" s="36">
        <v>1</v>
      </c>
      <c r="G7" s="36"/>
      <c r="H7" s="36"/>
      <c r="I7" s="36"/>
      <c r="J7" s="36"/>
      <c r="K7" s="12"/>
      <c r="L7" s="46">
        <f>SUM(B7:K7)</f>
        <v>5</v>
      </c>
      <c r="M7" s="38" t="s">
        <v>923</v>
      </c>
      <c r="N7" s="36"/>
      <c r="O7" s="36">
        <v>1</v>
      </c>
      <c r="P7" s="36">
        <v>2</v>
      </c>
      <c r="Q7" s="36"/>
      <c r="R7" s="36"/>
      <c r="S7" s="36"/>
      <c r="T7" s="36"/>
      <c r="U7" s="36"/>
      <c r="V7" s="36"/>
      <c r="W7" s="12"/>
      <c r="X7" s="46">
        <f>SUM(N7:W7)</f>
        <v>3</v>
      </c>
      <c r="Y7" s="38" t="s">
        <v>923</v>
      </c>
      <c r="Z7" s="36"/>
      <c r="AA7" s="36"/>
      <c r="AB7" s="36"/>
      <c r="AC7" s="36"/>
      <c r="AD7" s="36"/>
      <c r="AE7" s="36"/>
      <c r="AF7" s="36"/>
      <c r="AG7" s="36"/>
      <c r="AH7" s="36"/>
      <c r="AI7" s="12"/>
      <c r="AJ7" s="46">
        <f>SUM(Z7:AI7)</f>
        <v>0</v>
      </c>
    </row>
    <row r="8" spans="1:36" s="35" customFormat="1">
      <c r="A8" s="38" t="s">
        <v>4</v>
      </c>
      <c r="B8" s="36">
        <v>2</v>
      </c>
      <c r="C8" s="36">
        <v>1</v>
      </c>
      <c r="D8" s="36">
        <v>1</v>
      </c>
      <c r="E8" s="36"/>
      <c r="F8" s="36"/>
      <c r="G8" s="36"/>
      <c r="H8" s="36"/>
      <c r="I8" s="36">
        <v>1</v>
      </c>
      <c r="J8" s="36"/>
      <c r="K8" s="12"/>
      <c r="L8" s="46">
        <f>SUM(B8:K8)</f>
        <v>5</v>
      </c>
      <c r="M8" s="38" t="s">
        <v>4</v>
      </c>
      <c r="N8" s="36"/>
      <c r="O8" s="36">
        <v>1</v>
      </c>
      <c r="P8" s="36">
        <v>2</v>
      </c>
      <c r="Q8" s="36"/>
      <c r="R8" s="36"/>
      <c r="S8" s="36">
        <v>1</v>
      </c>
      <c r="T8" s="36"/>
      <c r="U8" s="36"/>
      <c r="V8" s="36"/>
      <c r="W8" s="12"/>
      <c r="X8" s="46">
        <f>SUM(N8:W8)</f>
        <v>4</v>
      </c>
      <c r="Y8" s="38" t="s">
        <v>4</v>
      </c>
      <c r="Z8" s="36"/>
      <c r="AA8" s="36"/>
      <c r="AB8" s="36"/>
      <c r="AC8" s="36"/>
      <c r="AD8" s="36"/>
      <c r="AE8" s="36"/>
      <c r="AF8" s="36"/>
      <c r="AG8" s="36"/>
      <c r="AH8" s="36"/>
      <c r="AI8" s="12"/>
      <c r="AJ8" s="46">
        <f>SUM(Z8:AI8)</f>
        <v>0</v>
      </c>
    </row>
    <row r="9" spans="1:36" s="35" customFormat="1" ht="14.25" thickBot="1">
      <c r="A9" s="39" t="s">
        <v>924</v>
      </c>
      <c r="B9" s="40">
        <v>1</v>
      </c>
      <c r="C9" s="40">
        <v>2</v>
      </c>
      <c r="D9" s="40">
        <v>1</v>
      </c>
      <c r="E9" s="40"/>
      <c r="F9" s="40"/>
      <c r="G9" s="40"/>
      <c r="H9" s="40"/>
      <c r="I9" s="40">
        <v>1</v>
      </c>
      <c r="J9" s="40"/>
      <c r="K9" s="43"/>
      <c r="L9" s="47">
        <f>SUM(B9:K9)</f>
        <v>5</v>
      </c>
      <c r="M9" s="39" t="s">
        <v>924</v>
      </c>
      <c r="N9" s="40"/>
      <c r="O9" s="40">
        <v>2</v>
      </c>
      <c r="P9" s="40"/>
      <c r="Q9" s="40"/>
      <c r="R9" s="40"/>
      <c r="S9" s="40"/>
      <c r="T9" s="40"/>
      <c r="U9" s="40"/>
      <c r="V9" s="40"/>
      <c r="W9" s="43"/>
      <c r="X9" s="47">
        <f>SUM(N9:W9)</f>
        <v>2</v>
      </c>
      <c r="Y9" s="39" t="s">
        <v>924</v>
      </c>
      <c r="Z9" s="40"/>
      <c r="AA9" s="40"/>
      <c r="AB9" s="40"/>
      <c r="AC9" s="40"/>
      <c r="AD9" s="40"/>
      <c r="AE9" s="40"/>
      <c r="AF9" s="40"/>
      <c r="AG9" s="40"/>
      <c r="AH9" s="40"/>
      <c r="AI9" s="43"/>
      <c r="AJ9" s="47">
        <f>SUM(Z9:AI9)</f>
        <v>0</v>
      </c>
    </row>
    <row r="10" spans="1:36" s="35" customFormat="1" ht="15" thickTop="1" thickBot="1">
      <c r="A10" s="41" t="s">
        <v>928</v>
      </c>
      <c r="B10" s="42">
        <f t="shared" ref="B10:K10" si="3">SUM(B7:B9)</f>
        <v>3</v>
      </c>
      <c r="C10" s="42">
        <f t="shared" si="3"/>
        <v>5</v>
      </c>
      <c r="D10" s="42">
        <f t="shared" si="3"/>
        <v>3</v>
      </c>
      <c r="E10" s="42">
        <f t="shared" si="3"/>
        <v>1</v>
      </c>
      <c r="F10" s="42">
        <f t="shared" si="3"/>
        <v>1</v>
      </c>
      <c r="G10" s="42">
        <f t="shared" si="3"/>
        <v>0</v>
      </c>
      <c r="H10" s="42">
        <f t="shared" si="3"/>
        <v>0</v>
      </c>
      <c r="I10" s="42">
        <f t="shared" si="3"/>
        <v>2</v>
      </c>
      <c r="J10" s="42">
        <f t="shared" si="3"/>
        <v>0</v>
      </c>
      <c r="K10" s="44">
        <f t="shared" si="3"/>
        <v>0</v>
      </c>
      <c r="L10" s="48">
        <f>SUM(B10:K10)</f>
        <v>15</v>
      </c>
      <c r="M10" s="41" t="s">
        <v>928</v>
      </c>
      <c r="N10" s="42">
        <f t="shared" ref="N10:W10" si="4">SUM(N7:N9)</f>
        <v>0</v>
      </c>
      <c r="O10" s="42">
        <f t="shared" si="4"/>
        <v>4</v>
      </c>
      <c r="P10" s="42">
        <f t="shared" si="4"/>
        <v>4</v>
      </c>
      <c r="Q10" s="42">
        <f t="shared" si="4"/>
        <v>0</v>
      </c>
      <c r="R10" s="42">
        <f t="shared" si="4"/>
        <v>0</v>
      </c>
      <c r="S10" s="42">
        <f t="shared" si="4"/>
        <v>1</v>
      </c>
      <c r="T10" s="42">
        <f t="shared" si="4"/>
        <v>0</v>
      </c>
      <c r="U10" s="42">
        <f t="shared" si="4"/>
        <v>0</v>
      </c>
      <c r="V10" s="42">
        <f t="shared" si="4"/>
        <v>0</v>
      </c>
      <c r="W10" s="44">
        <f t="shared" si="4"/>
        <v>0</v>
      </c>
      <c r="X10" s="48">
        <f>SUM(N10:W10)</f>
        <v>9</v>
      </c>
      <c r="Y10" s="41" t="s">
        <v>928</v>
      </c>
      <c r="Z10" s="42">
        <f t="shared" ref="Z10:AI10" si="5">SUM(Z7:Z9)</f>
        <v>0</v>
      </c>
      <c r="AA10" s="42">
        <f t="shared" si="5"/>
        <v>0</v>
      </c>
      <c r="AB10" s="42">
        <f t="shared" si="5"/>
        <v>0</v>
      </c>
      <c r="AC10" s="42">
        <f t="shared" si="5"/>
        <v>0</v>
      </c>
      <c r="AD10" s="42">
        <f t="shared" si="5"/>
        <v>0</v>
      </c>
      <c r="AE10" s="42">
        <f t="shared" si="5"/>
        <v>0</v>
      </c>
      <c r="AF10" s="42">
        <f t="shared" si="5"/>
        <v>0</v>
      </c>
      <c r="AG10" s="42">
        <f t="shared" si="5"/>
        <v>0</v>
      </c>
      <c r="AH10" s="42">
        <f t="shared" si="5"/>
        <v>0</v>
      </c>
      <c r="AI10" s="44">
        <f t="shared" si="5"/>
        <v>0</v>
      </c>
      <c r="AJ10" s="48">
        <f>SUM(Z10:AI10)</f>
        <v>0</v>
      </c>
    </row>
    <row r="11" spans="1:36" s="35" customFormat="1">
      <c r="A11" s="37" t="s">
        <v>929</v>
      </c>
      <c r="B11" s="7" t="s">
        <v>5</v>
      </c>
      <c r="C11" s="7" t="s">
        <v>4</v>
      </c>
      <c r="D11" s="7" t="s">
        <v>3</v>
      </c>
      <c r="E11" s="7" t="s">
        <v>2</v>
      </c>
      <c r="F11" s="7" t="s">
        <v>28</v>
      </c>
      <c r="G11" s="7" t="s">
        <v>852</v>
      </c>
      <c r="H11" s="7" t="s">
        <v>249</v>
      </c>
      <c r="I11" s="7" t="s">
        <v>925</v>
      </c>
      <c r="J11" s="7" t="s">
        <v>926</v>
      </c>
      <c r="K11" s="26" t="s">
        <v>918</v>
      </c>
      <c r="L11" s="45"/>
      <c r="M11" s="37" t="s">
        <v>935</v>
      </c>
      <c r="N11" s="7" t="s">
        <v>5</v>
      </c>
      <c r="O11" s="7" t="s">
        <v>4</v>
      </c>
      <c r="P11" s="7" t="s">
        <v>3</v>
      </c>
      <c r="Q11" s="7" t="s">
        <v>2</v>
      </c>
      <c r="R11" s="7" t="s">
        <v>28</v>
      </c>
      <c r="S11" s="7" t="s">
        <v>852</v>
      </c>
      <c r="T11" s="7" t="s">
        <v>249</v>
      </c>
      <c r="U11" s="7" t="s">
        <v>925</v>
      </c>
      <c r="V11" s="7" t="s">
        <v>926</v>
      </c>
      <c r="W11" s="26" t="s">
        <v>918</v>
      </c>
      <c r="X11" s="45"/>
      <c r="Y11" s="37"/>
      <c r="Z11" s="7" t="s">
        <v>5</v>
      </c>
      <c r="AA11" s="7" t="s">
        <v>4</v>
      </c>
      <c r="AB11" s="7" t="s">
        <v>3</v>
      </c>
      <c r="AC11" s="7" t="s">
        <v>2</v>
      </c>
      <c r="AD11" s="7" t="s">
        <v>28</v>
      </c>
      <c r="AE11" s="7" t="s">
        <v>852</v>
      </c>
      <c r="AF11" s="7" t="s">
        <v>249</v>
      </c>
      <c r="AG11" s="7" t="s">
        <v>925</v>
      </c>
      <c r="AH11" s="7" t="s">
        <v>926</v>
      </c>
      <c r="AI11" s="26" t="s">
        <v>918</v>
      </c>
      <c r="AJ11" s="45"/>
    </row>
    <row r="12" spans="1:36" s="35" customFormat="1">
      <c r="A12" s="38" t="s">
        <v>923</v>
      </c>
      <c r="B12" s="36"/>
      <c r="C12" s="36">
        <v>2</v>
      </c>
      <c r="D12" s="36"/>
      <c r="E12" s="36"/>
      <c r="F12" s="36">
        <v>1</v>
      </c>
      <c r="G12" s="36"/>
      <c r="H12" s="36"/>
      <c r="I12" s="36"/>
      <c r="J12" s="36"/>
      <c r="K12" s="12"/>
      <c r="L12" s="46">
        <f>SUM(B12:K12)</f>
        <v>3</v>
      </c>
      <c r="M12" s="38" t="s">
        <v>923</v>
      </c>
      <c r="N12" s="36">
        <v>3</v>
      </c>
      <c r="O12" s="36">
        <v>4</v>
      </c>
      <c r="P12" s="36"/>
      <c r="Q12" s="36"/>
      <c r="R12" s="36">
        <v>3</v>
      </c>
      <c r="S12" s="36"/>
      <c r="T12" s="36"/>
      <c r="U12" s="36"/>
      <c r="V12" s="36"/>
      <c r="W12" s="12"/>
      <c r="X12" s="46">
        <f>SUM(N12:W12)</f>
        <v>10</v>
      </c>
      <c r="Y12" s="38" t="s">
        <v>923</v>
      </c>
      <c r="Z12" s="36"/>
      <c r="AA12" s="36"/>
      <c r="AB12" s="36"/>
      <c r="AC12" s="36"/>
      <c r="AD12" s="36"/>
      <c r="AE12" s="36"/>
      <c r="AF12" s="36"/>
      <c r="AG12" s="36"/>
      <c r="AH12" s="36"/>
      <c r="AI12" s="12"/>
      <c r="AJ12" s="46">
        <f>SUM(Z12:AI12)</f>
        <v>0</v>
      </c>
    </row>
    <row r="13" spans="1:36" s="35" customFormat="1">
      <c r="A13" s="38" t="s">
        <v>4</v>
      </c>
      <c r="B13" s="36">
        <v>1</v>
      </c>
      <c r="C13" s="36"/>
      <c r="D13" s="36"/>
      <c r="E13" s="36"/>
      <c r="F13" s="36">
        <v>1</v>
      </c>
      <c r="G13" s="36"/>
      <c r="H13" s="36"/>
      <c r="I13" s="36">
        <v>1</v>
      </c>
      <c r="J13" s="36"/>
      <c r="K13" s="12"/>
      <c r="L13" s="46">
        <f>SUM(B13:K13)</f>
        <v>3</v>
      </c>
      <c r="M13" s="38" t="s">
        <v>4</v>
      </c>
      <c r="N13" s="36">
        <v>1</v>
      </c>
      <c r="O13" s="36">
        <v>5</v>
      </c>
      <c r="P13" s="36"/>
      <c r="Q13" s="36"/>
      <c r="R13" s="36">
        <v>3</v>
      </c>
      <c r="S13" s="36">
        <v>1</v>
      </c>
      <c r="T13" s="36"/>
      <c r="U13" s="36"/>
      <c r="V13" s="36"/>
      <c r="W13" s="12"/>
      <c r="X13" s="46">
        <f>SUM(N13:W13)</f>
        <v>10</v>
      </c>
      <c r="Y13" s="38" t="s">
        <v>4</v>
      </c>
      <c r="Z13" s="36"/>
      <c r="AA13" s="36"/>
      <c r="AB13" s="36"/>
      <c r="AC13" s="36"/>
      <c r="AD13" s="36"/>
      <c r="AE13" s="36"/>
      <c r="AF13" s="36"/>
      <c r="AG13" s="36"/>
      <c r="AH13" s="36"/>
      <c r="AI13" s="12"/>
      <c r="AJ13" s="46">
        <f>SUM(Z13:AI13)</f>
        <v>0</v>
      </c>
    </row>
    <row r="14" spans="1:36" s="35" customFormat="1" ht="14.25" thickBot="1">
      <c r="A14" s="39" t="s">
        <v>924</v>
      </c>
      <c r="B14" s="40"/>
      <c r="C14" s="40">
        <v>2</v>
      </c>
      <c r="D14" s="40">
        <v>1</v>
      </c>
      <c r="E14" s="40">
        <v>1</v>
      </c>
      <c r="F14" s="40">
        <v>1</v>
      </c>
      <c r="G14" s="40"/>
      <c r="H14" s="40"/>
      <c r="I14" s="40">
        <v>1</v>
      </c>
      <c r="J14" s="40"/>
      <c r="K14" s="43"/>
      <c r="L14" s="47">
        <f>SUM(B14:K14)</f>
        <v>6</v>
      </c>
      <c r="M14" s="39" t="s">
        <v>924</v>
      </c>
      <c r="N14" s="40">
        <v>2</v>
      </c>
      <c r="O14" s="40">
        <v>1</v>
      </c>
      <c r="P14" s="40"/>
      <c r="Q14" s="40"/>
      <c r="R14" s="40">
        <v>1</v>
      </c>
      <c r="S14" s="40">
        <v>1</v>
      </c>
      <c r="T14" s="40"/>
      <c r="U14" s="40"/>
      <c r="V14" s="40"/>
      <c r="W14" s="43"/>
      <c r="X14" s="47">
        <f>SUM(N14:W14)</f>
        <v>5</v>
      </c>
      <c r="Y14" s="39" t="s">
        <v>924</v>
      </c>
      <c r="Z14" s="40"/>
      <c r="AA14" s="40"/>
      <c r="AB14" s="40"/>
      <c r="AC14" s="40"/>
      <c r="AD14" s="40"/>
      <c r="AE14" s="40"/>
      <c r="AF14" s="40"/>
      <c r="AG14" s="40"/>
      <c r="AH14" s="40"/>
      <c r="AI14" s="43"/>
      <c r="AJ14" s="47">
        <f>SUM(Z14:AI14)</f>
        <v>0</v>
      </c>
    </row>
    <row r="15" spans="1:36" s="35" customFormat="1" ht="15" thickTop="1" thickBot="1">
      <c r="A15" s="41" t="s">
        <v>928</v>
      </c>
      <c r="B15" s="42">
        <f t="shared" ref="B15:K15" si="6">SUM(B12:B14)</f>
        <v>1</v>
      </c>
      <c r="C15" s="42">
        <f t="shared" si="6"/>
        <v>4</v>
      </c>
      <c r="D15" s="42">
        <f t="shared" si="6"/>
        <v>1</v>
      </c>
      <c r="E15" s="42">
        <f t="shared" si="6"/>
        <v>1</v>
      </c>
      <c r="F15" s="42">
        <f t="shared" si="6"/>
        <v>3</v>
      </c>
      <c r="G15" s="42">
        <f t="shared" si="6"/>
        <v>0</v>
      </c>
      <c r="H15" s="42">
        <f t="shared" si="6"/>
        <v>0</v>
      </c>
      <c r="I15" s="42">
        <f t="shared" si="6"/>
        <v>2</v>
      </c>
      <c r="J15" s="42">
        <f t="shared" si="6"/>
        <v>0</v>
      </c>
      <c r="K15" s="44">
        <f t="shared" si="6"/>
        <v>0</v>
      </c>
      <c r="L15" s="48">
        <f>SUM(B15:K15)</f>
        <v>12</v>
      </c>
      <c r="M15" s="41" t="s">
        <v>928</v>
      </c>
      <c r="N15" s="42">
        <f t="shared" ref="N15:W15" si="7">SUM(N12:N14)</f>
        <v>6</v>
      </c>
      <c r="O15" s="42">
        <f t="shared" si="7"/>
        <v>10</v>
      </c>
      <c r="P15" s="42">
        <f t="shared" si="7"/>
        <v>0</v>
      </c>
      <c r="Q15" s="42">
        <f t="shared" si="7"/>
        <v>0</v>
      </c>
      <c r="R15" s="42">
        <f t="shared" si="7"/>
        <v>7</v>
      </c>
      <c r="S15" s="42">
        <f t="shared" si="7"/>
        <v>2</v>
      </c>
      <c r="T15" s="42">
        <f t="shared" si="7"/>
        <v>0</v>
      </c>
      <c r="U15" s="42">
        <f t="shared" si="7"/>
        <v>0</v>
      </c>
      <c r="V15" s="42">
        <f t="shared" si="7"/>
        <v>0</v>
      </c>
      <c r="W15" s="44">
        <f t="shared" si="7"/>
        <v>0</v>
      </c>
      <c r="X15" s="48">
        <f>SUM(N15:W15)</f>
        <v>25</v>
      </c>
      <c r="Y15" s="41" t="s">
        <v>928</v>
      </c>
      <c r="Z15" s="42">
        <f t="shared" ref="Z15:AI15" si="8">SUM(Z12:Z14)</f>
        <v>0</v>
      </c>
      <c r="AA15" s="42">
        <f t="shared" si="8"/>
        <v>0</v>
      </c>
      <c r="AB15" s="42">
        <f t="shared" si="8"/>
        <v>0</v>
      </c>
      <c r="AC15" s="42">
        <f t="shared" si="8"/>
        <v>0</v>
      </c>
      <c r="AD15" s="42">
        <f t="shared" si="8"/>
        <v>0</v>
      </c>
      <c r="AE15" s="42">
        <f t="shared" si="8"/>
        <v>0</v>
      </c>
      <c r="AF15" s="42">
        <f t="shared" si="8"/>
        <v>0</v>
      </c>
      <c r="AG15" s="42">
        <f t="shared" si="8"/>
        <v>0</v>
      </c>
      <c r="AH15" s="42">
        <f t="shared" si="8"/>
        <v>0</v>
      </c>
      <c r="AI15" s="44">
        <f t="shared" si="8"/>
        <v>0</v>
      </c>
      <c r="AJ15" s="48">
        <f>SUM(Z15:AI15)</f>
        <v>0</v>
      </c>
    </row>
    <row r="16" spans="1:36" s="35" customFormat="1">
      <c r="A16" s="37" t="s">
        <v>930</v>
      </c>
      <c r="B16" s="7" t="s">
        <v>5</v>
      </c>
      <c r="C16" s="7" t="s">
        <v>4</v>
      </c>
      <c r="D16" s="7" t="s">
        <v>3</v>
      </c>
      <c r="E16" s="7" t="s">
        <v>2</v>
      </c>
      <c r="F16" s="7" t="s">
        <v>28</v>
      </c>
      <c r="G16" s="7" t="s">
        <v>852</v>
      </c>
      <c r="H16" s="7" t="s">
        <v>249</v>
      </c>
      <c r="I16" s="7" t="s">
        <v>925</v>
      </c>
      <c r="J16" s="7" t="s">
        <v>926</v>
      </c>
      <c r="K16" s="26" t="s">
        <v>918</v>
      </c>
      <c r="L16" s="45"/>
      <c r="M16" s="37" t="s">
        <v>936</v>
      </c>
      <c r="N16" s="7" t="s">
        <v>5</v>
      </c>
      <c r="O16" s="7" t="s">
        <v>4</v>
      </c>
      <c r="P16" s="7" t="s">
        <v>3</v>
      </c>
      <c r="Q16" s="7" t="s">
        <v>2</v>
      </c>
      <c r="R16" s="7" t="s">
        <v>28</v>
      </c>
      <c r="S16" s="7" t="s">
        <v>852</v>
      </c>
      <c r="T16" s="7" t="s">
        <v>249</v>
      </c>
      <c r="U16" s="7" t="s">
        <v>925</v>
      </c>
      <c r="V16" s="7" t="s">
        <v>926</v>
      </c>
      <c r="W16" s="26" t="s">
        <v>918</v>
      </c>
      <c r="X16" s="45"/>
      <c r="Y16" s="37"/>
      <c r="Z16" s="7" t="s">
        <v>5</v>
      </c>
      <c r="AA16" s="7" t="s">
        <v>4</v>
      </c>
      <c r="AB16" s="7" t="s">
        <v>3</v>
      </c>
      <c r="AC16" s="7" t="s">
        <v>2</v>
      </c>
      <c r="AD16" s="7" t="s">
        <v>28</v>
      </c>
      <c r="AE16" s="7" t="s">
        <v>852</v>
      </c>
      <c r="AF16" s="7" t="s">
        <v>249</v>
      </c>
      <c r="AG16" s="7" t="s">
        <v>925</v>
      </c>
      <c r="AH16" s="7" t="s">
        <v>926</v>
      </c>
      <c r="AI16" s="26" t="s">
        <v>918</v>
      </c>
      <c r="AJ16" s="45"/>
    </row>
    <row r="17" spans="1:36" s="35" customFormat="1">
      <c r="A17" s="38" t="s">
        <v>923</v>
      </c>
      <c r="B17" s="36"/>
      <c r="C17" s="36">
        <v>3</v>
      </c>
      <c r="D17" s="36">
        <v>3</v>
      </c>
      <c r="E17" s="36"/>
      <c r="F17" s="36"/>
      <c r="G17" s="36"/>
      <c r="H17" s="36"/>
      <c r="I17" s="36"/>
      <c r="J17" s="36"/>
      <c r="K17" s="12"/>
      <c r="L17" s="46">
        <f>SUM(B17:K17)</f>
        <v>6</v>
      </c>
      <c r="M17" s="38" t="s">
        <v>923</v>
      </c>
      <c r="N17" s="36"/>
      <c r="O17" s="36">
        <v>2</v>
      </c>
      <c r="P17" s="36">
        <v>3</v>
      </c>
      <c r="Q17" s="36">
        <v>3</v>
      </c>
      <c r="R17" s="36"/>
      <c r="S17" s="36"/>
      <c r="T17" s="36"/>
      <c r="U17" s="36"/>
      <c r="V17" s="36"/>
      <c r="W17" s="12"/>
      <c r="X17" s="46">
        <f>SUM(N17:W17)</f>
        <v>8</v>
      </c>
      <c r="Y17" s="38" t="s">
        <v>923</v>
      </c>
      <c r="Z17" s="36"/>
      <c r="AA17" s="36"/>
      <c r="AB17" s="36"/>
      <c r="AC17" s="36"/>
      <c r="AD17" s="36"/>
      <c r="AE17" s="36"/>
      <c r="AF17" s="36"/>
      <c r="AG17" s="36"/>
      <c r="AH17" s="36"/>
      <c r="AI17" s="12"/>
      <c r="AJ17" s="46">
        <f>SUM(Z17:AI17)</f>
        <v>0</v>
      </c>
    </row>
    <row r="18" spans="1:36" s="35" customFormat="1">
      <c r="A18" s="38" t="s">
        <v>4</v>
      </c>
      <c r="B18" s="36"/>
      <c r="C18" s="36">
        <v>1</v>
      </c>
      <c r="D18" s="36"/>
      <c r="E18" s="36">
        <v>1</v>
      </c>
      <c r="F18" s="36"/>
      <c r="G18" s="36"/>
      <c r="H18" s="36"/>
      <c r="I18" s="36"/>
      <c r="J18" s="36"/>
      <c r="K18" s="12"/>
      <c r="L18" s="46">
        <f>SUM(B18:K18)</f>
        <v>2</v>
      </c>
      <c r="M18" s="38" t="s">
        <v>4</v>
      </c>
      <c r="N18" s="36"/>
      <c r="O18" s="36">
        <v>1</v>
      </c>
      <c r="P18" s="36">
        <v>2</v>
      </c>
      <c r="Q18" s="36">
        <v>3</v>
      </c>
      <c r="R18" s="36"/>
      <c r="S18" s="36"/>
      <c r="T18" s="36"/>
      <c r="U18" s="36"/>
      <c r="V18" s="36"/>
      <c r="W18" s="12"/>
      <c r="X18" s="46">
        <f>SUM(N18:W18)</f>
        <v>6</v>
      </c>
      <c r="Y18" s="38" t="s">
        <v>4</v>
      </c>
      <c r="Z18" s="36"/>
      <c r="AA18" s="36"/>
      <c r="AB18" s="36"/>
      <c r="AC18" s="36"/>
      <c r="AD18" s="36"/>
      <c r="AE18" s="36"/>
      <c r="AF18" s="36"/>
      <c r="AG18" s="36"/>
      <c r="AH18" s="36"/>
      <c r="AI18" s="12"/>
      <c r="AJ18" s="46">
        <f>SUM(Z18:AI18)</f>
        <v>0</v>
      </c>
    </row>
    <row r="19" spans="1:36" s="35" customFormat="1" ht="14.25" thickBot="1">
      <c r="A19" s="39" t="s">
        <v>924</v>
      </c>
      <c r="B19" s="40"/>
      <c r="C19" s="40"/>
      <c r="D19" s="40"/>
      <c r="E19" s="40"/>
      <c r="F19" s="40"/>
      <c r="G19" s="40"/>
      <c r="H19" s="40"/>
      <c r="I19" s="40">
        <v>1</v>
      </c>
      <c r="J19" s="40"/>
      <c r="K19" s="43"/>
      <c r="L19" s="47">
        <f>SUM(B19:K19)</f>
        <v>1</v>
      </c>
      <c r="M19" s="39" t="s">
        <v>924</v>
      </c>
      <c r="N19" s="40"/>
      <c r="O19" s="40">
        <v>1</v>
      </c>
      <c r="P19" s="40">
        <v>2</v>
      </c>
      <c r="Q19" s="40">
        <v>2</v>
      </c>
      <c r="R19" s="40"/>
      <c r="S19" s="40"/>
      <c r="T19" s="40"/>
      <c r="U19" s="40"/>
      <c r="V19" s="40"/>
      <c r="W19" s="43"/>
      <c r="X19" s="47">
        <f>SUM(N19:W19)</f>
        <v>5</v>
      </c>
      <c r="Y19" s="39" t="s">
        <v>924</v>
      </c>
      <c r="Z19" s="40"/>
      <c r="AA19" s="40"/>
      <c r="AB19" s="40"/>
      <c r="AC19" s="40"/>
      <c r="AD19" s="40"/>
      <c r="AE19" s="40"/>
      <c r="AF19" s="40"/>
      <c r="AG19" s="40"/>
      <c r="AH19" s="40"/>
      <c r="AI19" s="43"/>
      <c r="AJ19" s="47">
        <f>SUM(Z19:AI19)</f>
        <v>0</v>
      </c>
    </row>
    <row r="20" spans="1:36" s="35" customFormat="1" ht="15" thickTop="1" thickBot="1">
      <c r="A20" s="41" t="s">
        <v>928</v>
      </c>
      <c r="B20" s="42">
        <f t="shared" ref="B20:K20" si="9">SUM(B17:B19)</f>
        <v>0</v>
      </c>
      <c r="C20" s="42">
        <f t="shared" si="9"/>
        <v>4</v>
      </c>
      <c r="D20" s="42">
        <f t="shared" si="9"/>
        <v>3</v>
      </c>
      <c r="E20" s="42">
        <f t="shared" si="9"/>
        <v>1</v>
      </c>
      <c r="F20" s="42">
        <f t="shared" si="9"/>
        <v>0</v>
      </c>
      <c r="G20" s="42">
        <f t="shared" si="9"/>
        <v>0</v>
      </c>
      <c r="H20" s="42">
        <f t="shared" si="9"/>
        <v>0</v>
      </c>
      <c r="I20" s="42">
        <f t="shared" si="9"/>
        <v>1</v>
      </c>
      <c r="J20" s="42">
        <f t="shared" si="9"/>
        <v>0</v>
      </c>
      <c r="K20" s="44">
        <f t="shared" si="9"/>
        <v>0</v>
      </c>
      <c r="L20" s="48">
        <f>SUM(B20:K20)</f>
        <v>9</v>
      </c>
      <c r="M20" s="41" t="s">
        <v>928</v>
      </c>
      <c r="N20" s="42">
        <f t="shared" ref="N20:W20" si="10">SUM(N17:N19)</f>
        <v>0</v>
      </c>
      <c r="O20" s="42">
        <f t="shared" si="10"/>
        <v>4</v>
      </c>
      <c r="P20" s="42">
        <f t="shared" si="10"/>
        <v>7</v>
      </c>
      <c r="Q20" s="42">
        <f t="shared" si="10"/>
        <v>8</v>
      </c>
      <c r="R20" s="42">
        <f t="shared" si="10"/>
        <v>0</v>
      </c>
      <c r="S20" s="42">
        <f t="shared" si="10"/>
        <v>0</v>
      </c>
      <c r="T20" s="42">
        <f t="shared" si="10"/>
        <v>0</v>
      </c>
      <c r="U20" s="42">
        <f t="shared" si="10"/>
        <v>0</v>
      </c>
      <c r="V20" s="42">
        <f t="shared" si="10"/>
        <v>0</v>
      </c>
      <c r="W20" s="44">
        <f t="shared" si="10"/>
        <v>0</v>
      </c>
      <c r="X20" s="48">
        <f>SUM(N20:W20)</f>
        <v>19</v>
      </c>
      <c r="Y20" s="41" t="s">
        <v>928</v>
      </c>
      <c r="Z20" s="42">
        <f t="shared" ref="Z20:AI20" si="11">SUM(Z17:Z19)</f>
        <v>0</v>
      </c>
      <c r="AA20" s="42">
        <f t="shared" si="11"/>
        <v>0</v>
      </c>
      <c r="AB20" s="42">
        <f t="shared" si="11"/>
        <v>0</v>
      </c>
      <c r="AC20" s="42">
        <f t="shared" si="11"/>
        <v>0</v>
      </c>
      <c r="AD20" s="42">
        <f t="shared" si="11"/>
        <v>0</v>
      </c>
      <c r="AE20" s="42">
        <f t="shared" si="11"/>
        <v>0</v>
      </c>
      <c r="AF20" s="42">
        <f t="shared" si="11"/>
        <v>0</v>
      </c>
      <c r="AG20" s="42">
        <f t="shared" si="11"/>
        <v>0</v>
      </c>
      <c r="AH20" s="42">
        <f t="shared" si="11"/>
        <v>0</v>
      </c>
      <c r="AI20" s="44">
        <f t="shared" si="11"/>
        <v>0</v>
      </c>
      <c r="AJ20" s="48">
        <f>SUM(Z20:AI20)</f>
        <v>0</v>
      </c>
    </row>
    <row r="21" spans="1:36" s="35" customFormat="1">
      <c r="A21" s="37" t="s">
        <v>931</v>
      </c>
      <c r="B21" s="7" t="s">
        <v>5</v>
      </c>
      <c r="C21" s="7" t="s">
        <v>4</v>
      </c>
      <c r="D21" s="7" t="s">
        <v>3</v>
      </c>
      <c r="E21" s="7" t="s">
        <v>2</v>
      </c>
      <c r="F21" s="7" t="s">
        <v>28</v>
      </c>
      <c r="G21" s="7" t="s">
        <v>852</v>
      </c>
      <c r="H21" s="7" t="s">
        <v>249</v>
      </c>
      <c r="I21" s="7" t="s">
        <v>925</v>
      </c>
      <c r="J21" s="7" t="s">
        <v>926</v>
      </c>
      <c r="K21" s="26" t="s">
        <v>918</v>
      </c>
      <c r="L21" s="45"/>
      <c r="M21" s="37" t="s">
        <v>334</v>
      </c>
      <c r="N21" s="7" t="s">
        <v>5</v>
      </c>
      <c r="O21" s="7" t="s">
        <v>4</v>
      </c>
      <c r="P21" s="7" t="s">
        <v>3</v>
      </c>
      <c r="Q21" s="7" t="s">
        <v>2</v>
      </c>
      <c r="R21" s="7" t="s">
        <v>28</v>
      </c>
      <c r="S21" s="7" t="s">
        <v>852</v>
      </c>
      <c r="T21" s="7" t="s">
        <v>249</v>
      </c>
      <c r="U21" s="7" t="s">
        <v>925</v>
      </c>
      <c r="V21" s="7" t="s">
        <v>926</v>
      </c>
      <c r="W21" s="26" t="s">
        <v>918</v>
      </c>
      <c r="X21" s="45"/>
      <c r="Y21" s="37"/>
      <c r="Z21" s="7" t="s">
        <v>5</v>
      </c>
      <c r="AA21" s="7" t="s">
        <v>4</v>
      </c>
      <c r="AB21" s="7" t="s">
        <v>3</v>
      </c>
      <c r="AC21" s="7" t="s">
        <v>2</v>
      </c>
      <c r="AD21" s="7" t="s">
        <v>28</v>
      </c>
      <c r="AE21" s="7" t="s">
        <v>852</v>
      </c>
      <c r="AF21" s="7" t="s">
        <v>249</v>
      </c>
      <c r="AG21" s="7" t="s">
        <v>925</v>
      </c>
      <c r="AH21" s="7" t="s">
        <v>926</v>
      </c>
      <c r="AI21" s="26" t="s">
        <v>918</v>
      </c>
      <c r="AJ21" s="45"/>
    </row>
    <row r="22" spans="1:36" s="35" customFormat="1">
      <c r="A22" s="38" t="s">
        <v>923</v>
      </c>
      <c r="B22" s="36"/>
      <c r="C22" s="36">
        <v>2</v>
      </c>
      <c r="D22" s="36">
        <v>1</v>
      </c>
      <c r="E22" s="36"/>
      <c r="F22" s="36"/>
      <c r="G22" s="36">
        <v>1</v>
      </c>
      <c r="H22" s="36"/>
      <c r="I22" s="36"/>
      <c r="J22" s="36"/>
      <c r="K22" s="12"/>
      <c r="L22" s="46">
        <f>SUM(B22:K22)</f>
        <v>4</v>
      </c>
      <c r="M22" s="38" t="s">
        <v>923</v>
      </c>
      <c r="N22" s="36"/>
      <c r="O22" s="36"/>
      <c r="P22" s="36"/>
      <c r="Q22" s="36">
        <v>2</v>
      </c>
      <c r="R22" s="36">
        <v>2</v>
      </c>
      <c r="S22" s="36"/>
      <c r="T22" s="36"/>
      <c r="U22" s="36"/>
      <c r="V22" s="36"/>
      <c r="W22" s="12"/>
      <c r="X22" s="46">
        <f>SUM(N22:W22)</f>
        <v>4</v>
      </c>
      <c r="Y22" s="38" t="s">
        <v>923</v>
      </c>
      <c r="Z22" s="36"/>
      <c r="AA22" s="36"/>
      <c r="AB22" s="36"/>
      <c r="AC22" s="36"/>
      <c r="AD22" s="36"/>
      <c r="AE22" s="36"/>
      <c r="AF22" s="36"/>
      <c r="AG22" s="36"/>
      <c r="AH22" s="36"/>
      <c r="AI22" s="12"/>
      <c r="AJ22" s="46">
        <f>SUM(Z22:AI22)</f>
        <v>0</v>
      </c>
    </row>
    <row r="23" spans="1:36" s="35" customFormat="1">
      <c r="A23" s="38" t="s">
        <v>4</v>
      </c>
      <c r="B23" s="36"/>
      <c r="C23" s="36">
        <v>2</v>
      </c>
      <c r="D23" s="36"/>
      <c r="E23" s="36">
        <v>1</v>
      </c>
      <c r="F23" s="36">
        <v>1</v>
      </c>
      <c r="G23" s="36">
        <v>1</v>
      </c>
      <c r="H23" s="36"/>
      <c r="I23" s="36">
        <v>1</v>
      </c>
      <c r="J23" s="36"/>
      <c r="K23" s="12"/>
      <c r="L23" s="46">
        <f>SUM(B23:K23)</f>
        <v>6</v>
      </c>
      <c r="M23" s="38" t="s">
        <v>4</v>
      </c>
      <c r="N23" s="36">
        <v>3</v>
      </c>
      <c r="O23" s="36">
        <v>3</v>
      </c>
      <c r="P23" s="36">
        <v>3</v>
      </c>
      <c r="Q23" s="36">
        <v>4</v>
      </c>
      <c r="R23" s="36">
        <v>4</v>
      </c>
      <c r="S23" s="36">
        <v>3</v>
      </c>
      <c r="T23" s="36"/>
      <c r="U23" s="36"/>
      <c r="V23" s="36"/>
      <c r="W23" s="12"/>
      <c r="X23" s="46">
        <f>SUM(N23:W23)</f>
        <v>20</v>
      </c>
      <c r="Y23" s="38" t="s">
        <v>4</v>
      </c>
      <c r="Z23" s="36"/>
      <c r="AA23" s="36"/>
      <c r="AB23" s="36"/>
      <c r="AC23" s="36"/>
      <c r="AD23" s="36"/>
      <c r="AE23" s="36"/>
      <c r="AF23" s="36"/>
      <c r="AG23" s="36"/>
      <c r="AH23" s="36"/>
      <c r="AI23" s="12"/>
      <c r="AJ23" s="46">
        <f>SUM(Z23:AI23)</f>
        <v>0</v>
      </c>
    </row>
    <row r="24" spans="1:36" s="35" customFormat="1" ht="14.25" thickBot="1">
      <c r="A24" s="39" t="s">
        <v>924</v>
      </c>
      <c r="B24" s="40"/>
      <c r="C24" s="40"/>
      <c r="D24" s="40">
        <v>1</v>
      </c>
      <c r="E24" s="40"/>
      <c r="F24" s="40"/>
      <c r="G24" s="40">
        <v>1</v>
      </c>
      <c r="H24" s="40"/>
      <c r="I24" s="40"/>
      <c r="J24" s="40"/>
      <c r="K24" s="43"/>
      <c r="L24" s="47">
        <f>SUM(B24:K24)</f>
        <v>2</v>
      </c>
      <c r="M24" s="39" t="s">
        <v>924</v>
      </c>
      <c r="N24" s="40">
        <v>2</v>
      </c>
      <c r="O24" s="40">
        <v>2</v>
      </c>
      <c r="P24" s="40">
        <v>1</v>
      </c>
      <c r="Q24" s="40">
        <v>1</v>
      </c>
      <c r="R24" s="40">
        <v>1</v>
      </c>
      <c r="S24" s="40"/>
      <c r="T24" s="40">
        <v>1</v>
      </c>
      <c r="U24" s="40">
        <v>1</v>
      </c>
      <c r="V24" s="40"/>
      <c r="W24" s="43"/>
      <c r="X24" s="47">
        <f>SUM(N24:W24)</f>
        <v>9</v>
      </c>
      <c r="Y24" s="39" t="s">
        <v>924</v>
      </c>
      <c r="Z24" s="40"/>
      <c r="AA24" s="40"/>
      <c r="AB24" s="40"/>
      <c r="AC24" s="40"/>
      <c r="AD24" s="40"/>
      <c r="AE24" s="40"/>
      <c r="AF24" s="40"/>
      <c r="AG24" s="40"/>
      <c r="AH24" s="40"/>
      <c r="AI24" s="43"/>
      <c r="AJ24" s="47">
        <f>SUM(Z24:AI24)</f>
        <v>0</v>
      </c>
    </row>
    <row r="25" spans="1:36" s="35" customFormat="1" ht="15" thickTop="1" thickBot="1">
      <c r="A25" s="41" t="s">
        <v>928</v>
      </c>
      <c r="B25" s="42">
        <f t="shared" ref="B25:K25" si="12">SUM(B22:B24)</f>
        <v>0</v>
      </c>
      <c r="C25" s="42">
        <f t="shared" si="12"/>
        <v>4</v>
      </c>
      <c r="D25" s="42">
        <f t="shared" si="12"/>
        <v>2</v>
      </c>
      <c r="E25" s="42">
        <f t="shared" si="12"/>
        <v>1</v>
      </c>
      <c r="F25" s="42">
        <f t="shared" si="12"/>
        <v>1</v>
      </c>
      <c r="G25" s="42">
        <f t="shared" si="12"/>
        <v>3</v>
      </c>
      <c r="H25" s="42">
        <f t="shared" si="12"/>
        <v>0</v>
      </c>
      <c r="I25" s="42">
        <f t="shared" si="12"/>
        <v>1</v>
      </c>
      <c r="J25" s="42">
        <f t="shared" si="12"/>
        <v>0</v>
      </c>
      <c r="K25" s="44">
        <f t="shared" si="12"/>
        <v>0</v>
      </c>
      <c r="L25" s="48">
        <f>SUM(B25:K25)</f>
        <v>12</v>
      </c>
      <c r="M25" s="41" t="s">
        <v>928</v>
      </c>
      <c r="N25" s="42">
        <f t="shared" ref="N25:W25" si="13">SUM(N22:N24)</f>
        <v>5</v>
      </c>
      <c r="O25" s="42">
        <f t="shared" si="13"/>
        <v>5</v>
      </c>
      <c r="P25" s="42">
        <f t="shared" si="13"/>
        <v>4</v>
      </c>
      <c r="Q25" s="42">
        <f t="shared" si="13"/>
        <v>7</v>
      </c>
      <c r="R25" s="42">
        <f t="shared" si="13"/>
        <v>7</v>
      </c>
      <c r="S25" s="42">
        <f t="shared" si="13"/>
        <v>3</v>
      </c>
      <c r="T25" s="42">
        <f t="shared" si="13"/>
        <v>1</v>
      </c>
      <c r="U25" s="42">
        <f t="shared" si="13"/>
        <v>1</v>
      </c>
      <c r="V25" s="42">
        <f t="shared" si="13"/>
        <v>0</v>
      </c>
      <c r="W25" s="44">
        <f t="shared" si="13"/>
        <v>0</v>
      </c>
      <c r="X25" s="48">
        <f>SUM(N25:W25)</f>
        <v>33</v>
      </c>
      <c r="Y25" s="41" t="s">
        <v>928</v>
      </c>
      <c r="Z25" s="42">
        <f t="shared" ref="Z25:AI25" si="14">SUM(Z22:Z24)</f>
        <v>0</v>
      </c>
      <c r="AA25" s="42">
        <f t="shared" si="14"/>
        <v>0</v>
      </c>
      <c r="AB25" s="42">
        <f t="shared" si="14"/>
        <v>0</v>
      </c>
      <c r="AC25" s="42">
        <f t="shared" si="14"/>
        <v>0</v>
      </c>
      <c r="AD25" s="42">
        <f t="shared" si="14"/>
        <v>0</v>
      </c>
      <c r="AE25" s="42">
        <f t="shared" si="14"/>
        <v>0</v>
      </c>
      <c r="AF25" s="42">
        <f t="shared" si="14"/>
        <v>0</v>
      </c>
      <c r="AG25" s="42">
        <f t="shared" si="14"/>
        <v>0</v>
      </c>
      <c r="AH25" s="42">
        <f t="shared" si="14"/>
        <v>0</v>
      </c>
      <c r="AI25" s="44">
        <f t="shared" si="14"/>
        <v>0</v>
      </c>
      <c r="AJ25" s="48">
        <f>SUM(Z25:AI25)</f>
        <v>0</v>
      </c>
    </row>
    <row r="26" spans="1:36" s="35" customFormat="1">
      <c r="A26" s="37" t="s">
        <v>932</v>
      </c>
      <c r="B26" s="7" t="s">
        <v>5</v>
      </c>
      <c r="C26" s="7" t="s">
        <v>4</v>
      </c>
      <c r="D26" s="7" t="s">
        <v>3</v>
      </c>
      <c r="E26" s="7" t="s">
        <v>2</v>
      </c>
      <c r="F26" s="7" t="s">
        <v>28</v>
      </c>
      <c r="G26" s="7" t="s">
        <v>852</v>
      </c>
      <c r="H26" s="7" t="s">
        <v>249</v>
      </c>
      <c r="I26" s="7" t="s">
        <v>925</v>
      </c>
      <c r="J26" s="7" t="s">
        <v>926</v>
      </c>
      <c r="K26" s="26" t="s">
        <v>918</v>
      </c>
      <c r="L26" s="45"/>
      <c r="M26" s="37"/>
      <c r="N26" s="7" t="s">
        <v>5</v>
      </c>
      <c r="O26" s="7" t="s">
        <v>4</v>
      </c>
      <c r="P26" s="7" t="s">
        <v>3</v>
      </c>
      <c r="Q26" s="7" t="s">
        <v>2</v>
      </c>
      <c r="R26" s="7" t="s">
        <v>28</v>
      </c>
      <c r="S26" s="7" t="s">
        <v>852</v>
      </c>
      <c r="T26" s="7" t="s">
        <v>249</v>
      </c>
      <c r="U26" s="7" t="s">
        <v>925</v>
      </c>
      <c r="V26" s="7" t="s">
        <v>926</v>
      </c>
      <c r="W26" s="26" t="s">
        <v>918</v>
      </c>
      <c r="X26" s="45"/>
      <c r="Y26" s="37"/>
      <c r="Z26" s="7" t="s">
        <v>5</v>
      </c>
      <c r="AA26" s="7" t="s">
        <v>4</v>
      </c>
      <c r="AB26" s="7" t="s">
        <v>3</v>
      </c>
      <c r="AC26" s="7" t="s">
        <v>2</v>
      </c>
      <c r="AD26" s="7" t="s">
        <v>28</v>
      </c>
      <c r="AE26" s="7" t="s">
        <v>852</v>
      </c>
      <c r="AF26" s="7" t="s">
        <v>249</v>
      </c>
      <c r="AG26" s="7" t="s">
        <v>925</v>
      </c>
      <c r="AH26" s="7" t="s">
        <v>926</v>
      </c>
      <c r="AI26" s="26" t="s">
        <v>918</v>
      </c>
      <c r="AJ26" s="45"/>
    </row>
    <row r="27" spans="1:36" s="35" customFormat="1">
      <c r="A27" s="38" t="s">
        <v>923</v>
      </c>
      <c r="B27" s="36">
        <v>2</v>
      </c>
      <c r="C27" s="36"/>
      <c r="D27" s="36">
        <v>1</v>
      </c>
      <c r="E27" s="36">
        <v>2</v>
      </c>
      <c r="F27" s="36"/>
      <c r="G27" s="36"/>
      <c r="H27" s="36"/>
      <c r="I27" s="36"/>
      <c r="J27" s="36"/>
      <c r="K27" s="12"/>
      <c r="L27" s="46">
        <f>SUM(B27:K27)</f>
        <v>5</v>
      </c>
      <c r="M27" s="38" t="s">
        <v>923</v>
      </c>
      <c r="N27" s="36"/>
      <c r="O27" s="36"/>
      <c r="P27" s="36"/>
      <c r="Q27" s="36"/>
      <c r="R27" s="36"/>
      <c r="S27" s="36"/>
      <c r="T27" s="36"/>
      <c r="U27" s="36"/>
      <c r="V27" s="36"/>
      <c r="W27" s="12"/>
      <c r="X27" s="46">
        <f>SUM(N27:W27)</f>
        <v>0</v>
      </c>
      <c r="Y27" s="38" t="s">
        <v>923</v>
      </c>
      <c r="Z27" s="36"/>
      <c r="AA27" s="36"/>
      <c r="AB27" s="36"/>
      <c r="AC27" s="36"/>
      <c r="AD27" s="36"/>
      <c r="AE27" s="36"/>
      <c r="AF27" s="36"/>
      <c r="AG27" s="36"/>
      <c r="AH27" s="36"/>
      <c r="AI27" s="12"/>
      <c r="AJ27" s="46">
        <f>SUM(Z27:AI27)</f>
        <v>0</v>
      </c>
    </row>
    <row r="28" spans="1:36" s="35" customFormat="1">
      <c r="A28" s="38" t="s">
        <v>4</v>
      </c>
      <c r="B28" s="36">
        <v>1</v>
      </c>
      <c r="C28" s="36"/>
      <c r="D28" s="36">
        <v>1</v>
      </c>
      <c r="E28" s="36"/>
      <c r="F28" s="36"/>
      <c r="G28" s="36"/>
      <c r="H28" s="36"/>
      <c r="I28" s="36"/>
      <c r="J28" s="36"/>
      <c r="K28" s="12"/>
      <c r="L28" s="46">
        <f>SUM(B28:K28)</f>
        <v>2</v>
      </c>
      <c r="M28" s="38" t="s">
        <v>4</v>
      </c>
      <c r="N28" s="36"/>
      <c r="O28" s="36"/>
      <c r="P28" s="36"/>
      <c r="Q28" s="36"/>
      <c r="R28" s="36"/>
      <c r="S28" s="36"/>
      <c r="T28" s="36"/>
      <c r="U28" s="36"/>
      <c r="V28" s="36"/>
      <c r="W28" s="12"/>
      <c r="X28" s="46">
        <f>SUM(N28:W28)</f>
        <v>0</v>
      </c>
      <c r="Y28" s="38" t="s">
        <v>4</v>
      </c>
      <c r="Z28" s="36"/>
      <c r="AA28" s="36"/>
      <c r="AB28" s="36"/>
      <c r="AC28" s="36"/>
      <c r="AD28" s="36"/>
      <c r="AE28" s="36"/>
      <c r="AF28" s="36"/>
      <c r="AG28" s="36"/>
      <c r="AH28" s="36"/>
      <c r="AI28" s="12"/>
      <c r="AJ28" s="46">
        <f>SUM(Z28:AI28)</f>
        <v>0</v>
      </c>
    </row>
    <row r="29" spans="1:36" s="35" customFormat="1" ht="14.25" thickBot="1">
      <c r="A29" s="39" t="s">
        <v>924</v>
      </c>
      <c r="B29" s="40">
        <v>1</v>
      </c>
      <c r="C29" s="40"/>
      <c r="D29" s="40">
        <v>1</v>
      </c>
      <c r="E29" s="40"/>
      <c r="F29" s="40"/>
      <c r="G29" s="40"/>
      <c r="H29" s="40"/>
      <c r="I29" s="40"/>
      <c r="J29" s="40"/>
      <c r="K29" s="43"/>
      <c r="L29" s="47">
        <f>SUM(B29:K29)</f>
        <v>2</v>
      </c>
      <c r="M29" s="39" t="s">
        <v>924</v>
      </c>
      <c r="N29" s="40"/>
      <c r="O29" s="40"/>
      <c r="P29" s="40"/>
      <c r="Q29" s="40"/>
      <c r="R29" s="40"/>
      <c r="S29" s="40"/>
      <c r="T29" s="40"/>
      <c r="U29" s="40"/>
      <c r="V29" s="40"/>
      <c r="W29" s="43"/>
      <c r="X29" s="47">
        <f>SUM(N29:W29)</f>
        <v>0</v>
      </c>
      <c r="Y29" s="39" t="s">
        <v>924</v>
      </c>
      <c r="Z29" s="40"/>
      <c r="AA29" s="40"/>
      <c r="AB29" s="40"/>
      <c r="AC29" s="40"/>
      <c r="AD29" s="40"/>
      <c r="AE29" s="40"/>
      <c r="AF29" s="40"/>
      <c r="AG29" s="40"/>
      <c r="AH29" s="40"/>
      <c r="AI29" s="43"/>
      <c r="AJ29" s="47">
        <f>SUM(Z29:AI29)</f>
        <v>0</v>
      </c>
    </row>
    <row r="30" spans="1:36" s="35" customFormat="1" ht="15" thickTop="1" thickBot="1">
      <c r="A30" s="41" t="s">
        <v>928</v>
      </c>
      <c r="B30" s="42">
        <f t="shared" ref="B30:K30" si="15">SUM(B27:B29)</f>
        <v>4</v>
      </c>
      <c r="C30" s="42">
        <f t="shared" si="15"/>
        <v>0</v>
      </c>
      <c r="D30" s="42">
        <f t="shared" si="15"/>
        <v>3</v>
      </c>
      <c r="E30" s="42">
        <f t="shared" si="15"/>
        <v>2</v>
      </c>
      <c r="F30" s="42">
        <f t="shared" si="15"/>
        <v>0</v>
      </c>
      <c r="G30" s="42">
        <f t="shared" si="15"/>
        <v>0</v>
      </c>
      <c r="H30" s="42">
        <f t="shared" si="15"/>
        <v>0</v>
      </c>
      <c r="I30" s="42">
        <f t="shared" si="15"/>
        <v>0</v>
      </c>
      <c r="J30" s="42">
        <f t="shared" si="15"/>
        <v>0</v>
      </c>
      <c r="K30" s="44">
        <f t="shared" si="15"/>
        <v>0</v>
      </c>
      <c r="L30" s="48">
        <f>SUM(B30:K30)</f>
        <v>9</v>
      </c>
      <c r="M30" s="41" t="s">
        <v>928</v>
      </c>
      <c r="N30" s="42">
        <f t="shared" ref="N30:W30" si="16">SUM(N27:N29)</f>
        <v>0</v>
      </c>
      <c r="O30" s="42">
        <f t="shared" si="16"/>
        <v>0</v>
      </c>
      <c r="P30" s="42">
        <f t="shared" si="16"/>
        <v>0</v>
      </c>
      <c r="Q30" s="42">
        <f t="shared" si="16"/>
        <v>0</v>
      </c>
      <c r="R30" s="42">
        <f t="shared" si="16"/>
        <v>0</v>
      </c>
      <c r="S30" s="42">
        <f t="shared" si="16"/>
        <v>0</v>
      </c>
      <c r="T30" s="42">
        <f t="shared" si="16"/>
        <v>0</v>
      </c>
      <c r="U30" s="42">
        <f t="shared" si="16"/>
        <v>0</v>
      </c>
      <c r="V30" s="42">
        <f t="shared" si="16"/>
        <v>0</v>
      </c>
      <c r="W30" s="44">
        <f t="shared" si="16"/>
        <v>0</v>
      </c>
      <c r="X30" s="48">
        <f>SUM(N30:W30)</f>
        <v>0</v>
      </c>
      <c r="Y30" s="41" t="s">
        <v>928</v>
      </c>
      <c r="Z30" s="42">
        <f t="shared" ref="Z30:AI30" si="17">SUM(Z27:Z29)</f>
        <v>0</v>
      </c>
      <c r="AA30" s="42">
        <f t="shared" si="17"/>
        <v>0</v>
      </c>
      <c r="AB30" s="42">
        <f t="shared" si="17"/>
        <v>0</v>
      </c>
      <c r="AC30" s="42">
        <f t="shared" si="17"/>
        <v>0</v>
      </c>
      <c r="AD30" s="42">
        <f t="shared" si="17"/>
        <v>0</v>
      </c>
      <c r="AE30" s="42">
        <f t="shared" si="17"/>
        <v>0</v>
      </c>
      <c r="AF30" s="42">
        <f t="shared" si="17"/>
        <v>0</v>
      </c>
      <c r="AG30" s="42">
        <f t="shared" si="17"/>
        <v>0</v>
      </c>
      <c r="AH30" s="42">
        <f t="shared" si="17"/>
        <v>0</v>
      </c>
      <c r="AI30" s="44">
        <f t="shared" si="17"/>
        <v>0</v>
      </c>
      <c r="AJ30" s="48">
        <f>SUM(Z30:AI30)</f>
        <v>0</v>
      </c>
    </row>
    <row r="31" spans="1:36" s="35" customFormat="1">
      <c r="A31" s="37" t="s">
        <v>933</v>
      </c>
      <c r="B31" s="7" t="s">
        <v>5</v>
      </c>
      <c r="C31" s="7" t="s">
        <v>4</v>
      </c>
      <c r="D31" s="7" t="s">
        <v>3</v>
      </c>
      <c r="E31" s="7" t="s">
        <v>2</v>
      </c>
      <c r="F31" s="7" t="s">
        <v>28</v>
      </c>
      <c r="G31" s="7" t="s">
        <v>852</v>
      </c>
      <c r="H31" s="7" t="s">
        <v>249</v>
      </c>
      <c r="I31" s="7" t="s">
        <v>925</v>
      </c>
      <c r="J31" s="7" t="s">
        <v>926</v>
      </c>
      <c r="K31" s="26" t="s">
        <v>918</v>
      </c>
      <c r="L31" s="45"/>
      <c r="M31" s="37"/>
      <c r="N31" s="7" t="s">
        <v>5</v>
      </c>
      <c r="O31" s="7" t="s">
        <v>4</v>
      </c>
      <c r="P31" s="7" t="s">
        <v>3</v>
      </c>
      <c r="Q31" s="7" t="s">
        <v>2</v>
      </c>
      <c r="R31" s="7" t="s">
        <v>28</v>
      </c>
      <c r="S31" s="7" t="s">
        <v>852</v>
      </c>
      <c r="T31" s="7" t="s">
        <v>249</v>
      </c>
      <c r="U31" s="7" t="s">
        <v>925</v>
      </c>
      <c r="V31" s="7" t="s">
        <v>926</v>
      </c>
      <c r="W31" s="26" t="s">
        <v>918</v>
      </c>
      <c r="X31" s="45"/>
      <c r="Y31" s="37"/>
      <c r="Z31" s="7" t="s">
        <v>5</v>
      </c>
      <c r="AA31" s="7" t="s">
        <v>4</v>
      </c>
      <c r="AB31" s="7" t="s">
        <v>3</v>
      </c>
      <c r="AC31" s="7" t="s">
        <v>2</v>
      </c>
      <c r="AD31" s="7" t="s">
        <v>28</v>
      </c>
      <c r="AE31" s="7" t="s">
        <v>852</v>
      </c>
      <c r="AF31" s="7" t="s">
        <v>249</v>
      </c>
      <c r="AG31" s="7" t="s">
        <v>925</v>
      </c>
      <c r="AH31" s="7" t="s">
        <v>926</v>
      </c>
      <c r="AI31" s="26" t="s">
        <v>918</v>
      </c>
      <c r="AJ31" s="45"/>
    </row>
    <row r="32" spans="1:36" s="35" customFormat="1">
      <c r="A32" s="38" t="s">
        <v>923</v>
      </c>
      <c r="B32" s="36">
        <v>2</v>
      </c>
      <c r="C32" s="36"/>
      <c r="D32" s="36"/>
      <c r="E32" s="36"/>
      <c r="F32" s="36">
        <v>2</v>
      </c>
      <c r="G32" s="36"/>
      <c r="H32" s="36"/>
      <c r="I32" s="36"/>
      <c r="J32" s="36"/>
      <c r="K32" s="12"/>
      <c r="L32" s="46">
        <f>SUM(B32:K32)</f>
        <v>4</v>
      </c>
      <c r="M32" s="38" t="s">
        <v>923</v>
      </c>
      <c r="N32" s="36"/>
      <c r="O32" s="36"/>
      <c r="P32" s="36"/>
      <c r="Q32" s="36"/>
      <c r="R32" s="36"/>
      <c r="S32" s="36"/>
      <c r="T32" s="36"/>
      <c r="U32" s="36"/>
      <c r="V32" s="36"/>
      <c r="W32" s="12"/>
      <c r="X32" s="46">
        <f>SUM(N32:W32)</f>
        <v>0</v>
      </c>
      <c r="Y32" s="38" t="s">
        <v>923</v>
      </c>
      <c r="Z32" s="36"/>
      <c r="AA32" s="36"/>
      <c r="AB32" s="36"/>
      <c r="AC32" s="36"/>
      <c r="AD32" s="36"/>
      <c r="AE32" s="36"/>
      <c r="AF32" s="36"/>
      <c r="AG32" s="36"/>
      <c r="AH32" s="36"/>
      <c r="AI32" s="12"/>
      <c r="AJ32" s="46">
        <f>SUM(Z32:AI32)</f>
        <v>0</v>
      </c>
    </row>
    <row r="33" spans="1:36" s="35" customFormat="1">
      <c r="A33" s="38" t="s">
        <v>4</v>
      </c>
      <c r="B33" s="36">
        <v>1</v>
      </c>
      <c r="C33" s="36">
        <v>1</v>
      </c>
      <c r="D33" s="36"/>
      <c r="E33" s="36">
        <v>1</v>
      </c>
      <c r="F33" s="36">
        <v>1</v>
      </c>
      <c r="G33" s="36"/>
      <c r="H33" s="36"/>
      <c r="I33" s="36">
        <v>1</v>
      </c>
      <c r="J33" s="36"/>
      <c r="K33" s="12"/>
      <c r="L33" s="46">
        <f>SUM(B33:K33)</f>
        <v>5</v>
      </c>
      <c r="M33" s="38" t="s">
        <v>4</v>
      </c>
      <c r="N33" s="36"/>
      <c r="O33" s="36"/>
      <c r="P33" s="36"/>
      <c r="Q33" s="36"/>
      <c r="R33" s="36"/>
      <c r="S33" s="36"/>
      <c r="T33" s="36"/>
      <c r="U33" s="36"/>
      <c r="V33" s="36"/>
      <c r="W33" s="12"/>
      <c r="X33" s="46">
        <f>SUM(N33:W33)</f>
        <v>0</v>
      </c>
      <c r="Y33" s="38" t="s">
        <v>4</v>
      </c>
      <c r="Z33" s="36"/>
      <c r="AA33" s="36"/>
      <c r="AB33" s="36"/>
      <c r="AC33" s="36"/>
      <c r="AD33" s="36"/>
      <c r="AE33" s="36"/>
      <c r="AF33" s="36"/>
      <c r="AG33" s="36"/>
      <c r="AH33" s="36"/>
      <c r="AI33" s="12"/>
      <c r="AJ33" s="46">
        <f>SUM(Z33:AI33)</f>
        <v>0</v>
      </c>
    </row>
    <row r="34" spans="1:36" s="35" customFormat="1" ht="14.25" thickBot="1">
      <c r="A34" s="39" t="s">
        <v>924</v>
      </c>
      <c r="B34" s="40"/>
      <c r="C34" s="40"/>
      <c r="D34" s="40"/>
      <c r="E34" s="40"/>
      <c r="F34" s="40">
        <v>1</v>
      </c>
      <c r="G34" s="40"/>
      <c r="H34" s="40"/>
      <c r="I34" s="40"/>
      <c r="J34" s="40"/>
      <c r="K34" s="43"/>
      <c r="L34" s="47">
        <f>SUM(B34:K34)</f>
        <v>1</v>
      </c>
      <c r="M34" s="39" t="s">
        <v>924</v>
      </c>
      <c r="N34" s="40"/>
      <c r="O34" s="40"/>
      <c r="P34" s="40"/>
      <c r="Q34" s="40"/>
      <c r="R34" s="40"/>
      <c r="S34" s="40"/>
      <c r="T34" s="40"/>
      <c r="U34" s="40"/>
      <c r="V34" s="40"/>
      <c r="W34" s="43"/>
      <c r="X34" s="47">
        <f>SUM(N34:W34)</f>
        <v>0</v>
      </c>
      <c r="Y34" s="39" t="s">
        <v>924</v>
      </c>
      <c r="Z34" s="40"/>
      <c r="AA34" s="40"/>
      <c r="AB34" s="40"/>
      <c r="AC34" s="40"/>
      <c r="AD34" s="40"/>
      <c r="AE34" s="40"/>
      <c r="AF34" s="40"/>
      <c r="AG34" s="40"/>
      <c r="AH34" s="40"/>
      <c r="AI34" s="43"/>
      <c r="AJ34" s="47">
        <f>SUM(Z34:AI34)</f>
        <v>0</v>
      </c>
    </row>
    <row r="35" spans="1:36" s="35" customFormat="1" ht="15" thickTop="1" thickBot="1">
      <c r="A35" s="41" t="s">
        <v>928</v>
      </c>
      <c r="B35" s="42">
        <f t="shared" ref="B35:K35" si="18">SUM(B32:B34)</f>
        <v>3</v>
      </c>
      <c r="C35" s="42">
        <f t="shared" si="18"/>
        <v>1</v>
      </c>
      <c r="D35" s="42">
        <f t="shared" si="18"/>
        <v>0</v>
      </c>
      <c r="E35" s="42">
        <f t="shared" si="18"/>
        <v>1</v>
      </c>
      <c r="F35" s="42">
        <f t="shared" si="18"/>
        <v>4</v>
      </c>
      <c r="G35" s="42">
        <f t="shared" si="18"/>
        <v>0</v>
      </c>
      <c r="H35" s="42">
        <f t="shared" si="18"/>
        <v>0</v>
      </c>
      <c r="I35" s="42">
        <f t="shared" si="18"/>
        <v>1</v>
      </c>
      <c r="J35" s="42">
        <f t="shared" si="18"/>
        <v>0</v>
      </c>
      <c r="K35" s="44">
        <f t="shared" si="18"/>
        <v>0</v>
      </c>
      <c r="L35" s="48">
        <f>SUM(B35:K35)</f>
        <v>10</v>
      </c>
      <c r="M35" s="41" t="s">
        <v>928</v>
      </c>
      <c r="N35" s="42">
        <f t="shared" ref="N35:W35" si="19">SUM(N32:N34)</f>
        <v>0</v>
      </c>
      <c r="O35" s="42">
        <f t="shared" si="19"/>
        <v>0</v>
      </c>
      <c r="P35" s="42">
        <f t="shared" si="19"/>
        <v>0</v>
      </c>
      <c r="Q35" s="42">
        <f t="shared" si="19"/>
        <v>0</v>
      </c>
      <c r="R35" s="42">
        <f t="shared" si="19"/>
        <v>0</v>
      </c>
      <c r="S35" s="42">
        <f t="shared" si="19"/>
        <v>0</v>
      </c>
      <c r="T35" s="42">
        <f t="shared" si="19"/>
        <v>0</v>
      </c>
      <c r="U35" s="42">
        <f t="shared" si="19"/>
        <v>0</v>
      </c>
      <c r="V35" s="42">
        <f t="shared" si="19"/>
        <v>0</v>
      </c>
      <c r="W35" s="44">
        <f t="shared" si="19"/>
        <v>0</v>
      </c>
      <c r="X35" s="48">
        <f>SUM(N35:W35)</f>
        <v>0</v>
      </c>
      <c r="Y35" s="41" t="s">
        <v>928</v>
      </c>
      <c r="Z35" s="42">
        <f t="shared" ref="Z35:AI35" si="20">SUM(Z32:Z34)</f>
        <v>0</v>
      </c>
      <c r="AA35" s="42">
        <f t="shared" si="20"/>
        <v>0</v>
      </c>
      <c r="AB35" s="42">
        <f t="shared" si="20"/>
        <v>0</v>
      </c>
      <c r="AC35" s="42">
        <f t="shared" si="20"/>
        <v>0</v>
      </c>
      <c r="AD35" s="42">
        <f t="shared" si="20"/>
        <v>0</v>
      </c>
      <c r="AE35" s="42">
        <f t="shared" si="20"/>
        <v>0</v>
      </c>
      <c r="AF35" s="42">
        <f t="shared" si="20"/>
        <v>0</v>
      </c>
      <c r="AG35" s="42">
        <f t="shared" si="20"/>
        <v>0</v>
      </c>
      <c r="AH35" s="42">
        <f t="shared" si="20"/>
        <v>0</v>
      </c>
      <c r="AI35" s="44">
        <f t="shared" si="20"/>
        <v>0</v>
      </c>
      <c r="AJ35" s="48">
        <f>SUM(Z35:AI35)</f>
        <v>0</v>
      </c>
    </row>
    <row r="36" spans="1:36" s="35" customFormat="1">
      <c r="A36" s="37" t="s">
        <v>934</v>
      </c>
      <c r="B36" s="7" t="s">
        <v>5</v>
      </c>
      <c r="C36" s="7" t="s">
        <v>4</v>
      </c>
      <c r="D36" s="7" t="s">
        <v>3</v>
      </c>
      <c r="E36" s="7" t="s">
        <v>2</v>
      </c>
      <c r="F36" s="7" t="s">
        <v>28</v>
      </c>
      <c r="G36" s="7" t="s">
        <v>852</v>
      </c>
      <c r="H36" s="7" t="s">
        <v>249</v>
      </c>
      <c r="I36" s="7" t="s">
        <v>925</v>
      </c>
      <c r="J36" s="7" t="s">
        <v>926</v>
      </c>
      <c r="K36" s="26" t="s">
        <v>918</v>
      </c>
      <c r="L36" s="45"/>
      <c r="M36" s="37"/>
      <c r="N36" s="7" t="s">
        <v>5</v>
      </c>
      <c r="O36" s="7" t="s">
        <v>4</v>
      </c>
      <c r="P36" s="7" t="s">
        <v>3</v>
      </c>
      <c r="Q36" s="7" t="s">
        <v>2</v>
      </c>
      <c r="R36" s="7" t="s">
        <v>28</v>
      </c>
      <c r="S36" s="7" t="s">
        <v>852</v>
      </c>
      <c r="T36" s="7" t="s">
        <v>249</v>
      </c>
      <c r="U36" s="7" t="s">
        <v>925</v>
      </c>
      <c r="V36" s="7" t="s">
        <v>926</v>
      </c>
      <c r="W36" s="26" t="s">
        <v>918</v>
      </c>
      <c r="X36" s="45"/>
      <c r="Y36" s="37"/>
      <c r="Z36" s="7" t="s">
        <v>5</v>
      </c>
      <c r="AA36" s="7" t="s">
        <v>4</v>
      </c>
      <c r="AB36" s="7" t="s">
        <v>3</v>
      </c>
      <c r="AC36" s="7" t="s">
        <v>2</v>
      </c>
      <c r="AD36" s="7" t="s">
        <v>28</v>
      </c>
      <c r="AE36" s="7" t="s">
        <v>852</v>
      </c>
      <c r="AF36" s="7" t="s">
        <v>249</v>
      </c>
      <c r="AG36" s="7" t="s">
        <v>925</v>
      </c>
      <c r="AH36" s="7" t="s">
        <v>926</v>
      </c>
      <c r="AI36" s="26" t="s">
        <v>918</v>
      </c>
      <c r="AJ36" s="45"/>
    </row>
    <row r="37" spans="1:36" s="35" customFormat="1">
      <c r="A37" s="38" t="s">
        <v>923</v>
      </c>
      <c r="B37" s="36"/>
      <c r="C37" s="36">
        <v>3</v>
      </c>
      <c r="D37" s="36"/>
      <c r="E37" s="36">
        <v>2</v>
      </c>
      <c r="F37" s="36"/>
      <c r="G37" s="36"/>
      <c r="H37" s="36"/>
      <c r="I37" s="36"/>
      <c r="J37" s="36"/>
      <c r="K37" s="12"/>
      <c r="L37" s="46">
        <f>SUM(B37:K37)</f>
        <v>5</v>
      </c>
      <c r="M37" s="38" t="s">
        <v>923</v>
      </c>
      <c r="N37" s="36"/>
      <c r="O37" s="36"/>
      <c r="P37" s="36"/>
      <c r="Q37" s="36"/>
      <c r="R37" s="36"/>
      <c r="S37" s="36"/>
      <c r="T37" s="36"/>
      <c r="U37" s="36"/>
      <c r="V37" s="36"/>
      <c r="W37" s="12"/>
      <c r="X37" s="46">
        <f>SUM(N37:W37)</f>
        <v>0</v>
      </c>
      <c r="Y37" s="38" t="s">
        <v>923</v>
      </c>
      <c r="Z37" s="36"/>
      <c r="AA37" s="36"/>
      <c r="AB37" s="36"/>
      <c r="AC37" s="36"/>
      <c r="AD37" s="36"/>
      <c r="AE37" s="36"/>
      <c r="AF37" s="36"/>
      <c r="AG37" s="36"/>
      <c r="AH37" s="36"/>
      <c r="AI37" s="12"/>
      <c r="AJ37" s="46">
        <f>SUM(Z37:AI37)</f>
        <v>0</v>
      </c>
    </row>
    <row r="38" spans="1:36" s="35" customFormat="1">
      <c r="A38" s="38" t="s">
        <v>4</v>
      </c>
      <c r="B38" s="36"/>
      <c r="C38" s="36">
        <v>1</v>
      </c>
      <c r="D38" s="36"/>
      <c r="E38" s="36">
        <v>1</v>
      </c>
      <c r="F38" s="36"/>
      <c r="G38" s="36"/>
      <c r="H38" s="36"/>
      <c r="I38" s="36"/>
      <c r="J38" s="36"/>
      <c r="K38" s="12"/>
      <c r="L38" s="46">
        <f>SUM(B38:K38)</f>
        <v>2</v>
      </c>
      <c r="M38" s="38" t="s">
        <v>4</v>
      </c>
      <c r="N38" s="36"/>
      <c r="O38" s="36"/>
      <c r="P38" s="36"/>
      <c r="Q38" s="36"/>
      <c r="R38" s="36"/>
      <c r="S38" s="36"/>
      <c r="T38" s="36"/>
      <c r="U38" s="36"/>
      <c r="V38" s="36"/>
      <c r="W38" s="12"/>
      <c r="X38" s="46">
        <f>SUM(N38:W38)</f>
        <v>0</v>
      </c>
      <c r="Y38" s="38" t="s">
        <v>4</v>
      </c>
      <c r="Z38" s="36"/>
      <c r="AA38" s="36"/>
      <c r="AB38" s="36"/>
      <c r="AC38" s="36"/>
      <c r="AD38" s="36"/>
      <c r="AE38" s="36"/>
      <c r="AF38" s="36"/>
      <c r="AG38" s="36"/>
      <c r="AH38" s="36"/>
      <c r="AI38" s="12"/>
      <c r="AJ38" s="46">
        <f>SUM(Z38:AI38)</f>
        <v>0</v>
      </c>
    </row>
    <row r="39" spans="1:36" s="35" customFormat="1" ht="14.25" thickBot="1">
      <c r="A39" s="39" t="s">
        <v>924</v>
      </c>
      <c r="B39" s="40"/>
      <c r="C39" s="40">
        <v>2</v>
      </c>
      <c r="D39" s="40"/>
      <c r="E39" s="40">
        <v>2</v>
      </c>
      <c r="F39" s="40"/>
      <c r="G39" s="40"/>
      <c r="H39" s="40"/>
      <c r="I39" s="40"/>
      <c r="J39" s="40"/>
      <c r="K39" s="43"/>
      <c r="L39" s="47">
        <f>SUM(B39:K39)</f>
        <v>4</v>
      </c>
      <c r="M39" s="39" t="s">
        <v>924</v>
      </c>
      <c r="N39" s="40"/>
      <c r="O39" s="40"/>
      <c r="P39" s="40"/>
      <c r="Q39" s="40"/>
      <c r="R39" s="40"/>
      <c r="S39" s="40"/>
      <c r="T39" s="40"/>
      <c r="U39" s="40"/>
      <c r="V39" s="40"/>
      <c r="W39" s="43"/>
      <c r="X39" s="47">
        <f>SUM(N39:W39)</f>
        <v>0</v>
      </c>
      <c r="Y39" s="39" t="s">
        <v>924</v>
      </c>
      <c r="Z39" s="40"/>
      <c r="AA39" s="40"/>
      <c r="AB39" s="40"/>
      <c r="AC39" s="40"/>
      <c r="AD39" s="40"/>
      <c r="AE39" s="40"/>
      <c r="AF39" s="40"/>
      <c r="AG39" s="40"/>
      <c r="AH39" s="40"/>
      <c r="AI39" s="43"/>
      <c r="AJ39" s="47">
        <f>SUM(Z39:AI39)</f>
        <v>0</v>
      </c>
    </row>
    <row r="40" spans="1:36" s="35" customFormat="1" ht="15" thickTop="1" thickBot="1">
      <c r="A40" s="41" t="s">
        <v>928</v>
      </c>
      <c r="B40" s="42">
        <f t="shared" ref="B40:K40" si="21">SUM(B37:B39)</f>
        <v>0</v>
      </c>
      <c r="C40" s="42">
        <f t="shared" si="21"/>
        <v>6</v>
      </c>
      <c r="D40" s="42">
        <f t="shared" si="21"/>
        <v>0</v>
      </c>
      <c r="E40" s="42">
        <f t="shared" si="21"/>
        <v>5</v>
      </c>
      <c r="F40" s="42">
        <f t="shared" si="21"/>
        <v>0</v>
      </c>
      <c r="G40" s="42">
        <f t="shared" si="21"/>
        <v>0</v>
      </c>
      <c r="H40" s="42">
        <f t="shared" si="21"/>
        <v>0</v>
      </c>
      <c r="I40" s="42">
        <f t="shared" si="21"/>
        <v>0</v>
      </c>
      <c r="J40" s="42">
        <f t="shared" si="21"/>
        <v>0</v>
      </c>
      <c r="K40" s="44">
        <f t="shared" si="21"/>
        <v>0</v>
      </c>
      <c r="L40" s="48">
        <f>SUM(B40:K40)</f>
        <v>11</v>
      </c>
      <c r="M40" s="41" t="s">
        <v>928</v>
      </c>
      <c r="N40" s="42">
        <f t="shared" ref="N40:W40" si="22">SUM(N37:N39)</f>
        <v>0</v>
      </c>
      <c r="O40" s="42">
        <f t="shared" si="22"/>
        <v>0</v>
      </c>
      <c r="P40" s="42">
        <f t="shared" si="22"/>
        <v>0</v>
      </c>
      <c r="Q40" s="42">
        <f t="shared" si="22"/>
        <v>0</v>
      </c>
      <c r="R40" s="42">
        <f t="shared" si="22"/>
        <v>0</v>
      </c>
      <c r="S40" s="42">
        <f t="shared" si="22"/>
        <v>0</v>
      </c>
      <c r="T40" s="42">
        <f t="shared" si="22"/>
        <v>0</v>
      </c>
      <c r="U40" s="42">
        <f t="shared" si="22"/>
        <v>0</v>
      </c>
      <c r="V40" s="42">
        <f t="shared" si="22"/>
        <v>0</v>
      </c>
      <c r="W40" s="44">
        <f t="shared" si="22"/>
        <v>0</v>
      </c>
      <c r="X40" s="48">
        <f>SUM(N40:W40)</f>
        <v>0</v>
      </c>
      <c r="Y40" s="41" t="s">
        <v>928</v>
      </c>
      <c r="Z40" s="42">
        <f t="shared" ref="Z40:AI40" si="23">SUM(Z37:Z39)</f>
        <v>0</v>
      </c>
      <c r="AA40" s="42">
        <f t="shared" si="23"/>
        <v>0</v>
      </c>
      <c r="AB40" s="42">
        <f t="shared" si="23"/>
        <v>0</v>
      </c>
      <c r="AC40" s="42">
        <f t="shared" si="23"/>
        <v>0</v>
      </c>
      <c r="AD40" s="42">
        <f t="shared" si="23"/>
        <v>0</v>
      </c>
      <c r="AE40" s="42">
        <f t="shared" si="23"/>
        <v>0</v>
      </c>
      <c r="AF40" s="42">
        <f t="shared" si="23"/>
        <v>0</v>
      </c>
      <c r="AG40" s="42">
        <f t="shared" si="23"/>
        <v>0</v>
      </c>
      <c r="AH40" s="42">
        <f t="shared" si="23"/>
        <v>0</v>
      </c>
      <c r="AI40" s="44">
        <f t="shared" si="23"/>
        <v>0</v>
      </c>
      <c r="AJ40" s="48">
        <f>SUM(Z40:AI40)</f>
        <v>0</v>
      </c>
    </row>
    <row r="41" spans="1:36" s="35" customFormat="1">
      <c r="A41" s="37"/>
      <c r="B41" s="7" t="s">
        <v>5</v>
      </c>
      <c r="C41" s="7" t="s">
        <v>4</v>
      </c>
      <c r="D41" s="7" t="s">
        <v>3</v>
      </c>
      <c r="E41" s="7" t="s">
        <v>2</v>
      </c>
      <c r="F41" s="7" t="s">
        <v>28</v>
      </c>
      <c r="G41" s="7" t="s">
        <v>852</v>
      </c>
      <c r="H41" s="7" t="s">
        <v>249</v>
      </c>
      <c r="I41" s="7" t="s">
        <v>925</v>
      </c>
      <c r="J41" s="7" t="s">
        <v>926</v>
      </c>
      <c r="K41" s="26" t="s">
        <v>918</v>
      </c>
      <c r="L41" s="45"/>
      <c r="M41" s="37"/>
      <c r="N41" s="7" t="s">
        <v>5</v>
      </c>
      <c r="O41" s="7" t="s">
        <v>4</v>
      </c>
      <c r="P41" s="7" t="s">
        <v>3</v>
      </c>
      <c r="Q41" s="7" t="s">
        <v>2</v>
      </c>
      <c r="R41" s="7" t="s">
        <v>28</v>
      </c>
      <c r="S41" s="7" t="s">
        <v>852</v>
      </c>
      <c r="T41" s="7" t="s">
        <v>249</v>
      </c>
      <c r="U41" s="7" t="s">
        <v>925</v>
      </c>
      <c r="V41" s="7" t="s">
        <v>926</v>
      </c>
      <c r="W41" s="26" t="s">
        <v>918</v>
      </c>
      <c r="X41" s="45"/>
      <c r="Y41" s="37"/>
      <c r="Z41" s="7" t="s">
        <v>5</v>
      </c>
      <c r="AA41" s="7" t="s">
        <v>4</v>
      </c>
      <c r="AB41" s="7" t="s">
        <v>3</v>
      </c>
      <c r="AC41" s="7" t="s">
        <v>2</v>
      </c>
      <c r="AD41" s="7" t="s">
        <v>28</v>
      </c>
      <c r="AE41" s="7" t="s">
        <v>852</v>
      </c>
      <c r="AF41" s="7" t="s">
        <v>249</v>
      </c>
      <c r="AG41" s="7" t="s">
        <v>925</v>
      </c>
      <c r="AH41" s="7" t="s">
        <v>926</v>
      </c>
      <c r="AI41" s="26" t="s">
        <v>918</v>
      </c>
      <c r="AJ41" s="45"/>
    </row>
    <row r="42" spans="1:36" s="35" customFormat="1">
      <c r="A42" s="38" t="s">
        <v>923</v>
      </c>
      <c r="B42" s="36"/>
      <c r="C42" s="36"/>
      <c r="D42" s="36"/>
      <c r="E42" s="36"/>
      <c r="F42" s="36"/>
      <c r="G42" s="36"/>
      <c r="H42" s="36"/>
      <c r="I42" s="36"/>
      <c r="J42" s="36"/>
      <c r="K42" s="12"/>
      <c r="L42" s="46">
        <f>SUM(B42:K42)</f>
        <v>0</v>
      </c>
      <c r="M42" s="38" t="s">
        <v>923</v>
      </c>
      <c r="N42" s="36"/>
      <c r="O42" s="36"/>
      <c r="P42" s="36"/>
      <c r="Q42" s="36"/>
      <c r="R42" s="36"/>
      <c r="S42" s="36"/>
      <c r="T42" s="36"/>
      <c r="U42" s="36"/>
      <c r="V42" s="36"/>
      <c r="W42" s="12"/>
      <c r="X42" s="46">
        <f>SUM(N42:W42)</f>
        <v>0</v>
      </c>
      <c r="Y42" s="38" t="s">
        <v>923</v>
      </c>
      <c r="Z42" s="36"/>
      <c r="AA42" s="36"/>
      <c r="AB42" s="36"/>
      <c r="AC42" s="36"/>
      <c r="AD42" s="36"/>
      <c r="AE42" s="36"/>
      <c r="AF42" s="36"/>
      <c r="AG42" s="36"/>
      <c r="AH42" s="36"/>
      <c r="AI42" s="12"/>
      <c r="AJ42" s="46">
        <f>SUM(Z42:AI42)</f>
        <v>0</v>
      </c>
    </row>
    <row r="43" spans="1:36" s="35" customFormat="1">
      <c r="A43" s="38" t="s">
        <v>4</v>
      </c>
      <c r="B43" s="36"/>
      <c r="C43" s="36"/>
      <c r="D43" s="36"/>
      <c r="E43" s="36"/>
      <c r="F43" s="36"/>
      <c r="G43" s="36"/>
      <c r="H43" s="36"/>
      <c r="I43" s="36"/>
      <c r="J43" s="36"/>
      <c r="K43" s="12"/>
      <c r="L43" s="46">
        <f>SUM(B43:K43)</f>
        <v>0</v>
      </c>
      <c r="M43" s="38" t="s">
        <v>4</v>
      </c>
      <c r="N43" s="36"/>
      <c r="O43" s="36"/>
      <c r="P43" s="36"/>
      <c r="Q43" s="36"/>
      <c r="R43" s="36"/>
      <c r="S43" s="36"/>
      <c r="T43" s="36"/>
      <c r="U43" s="36"/>
      <c r="V43" s="36"/>
      <c r="W43" s="12"/>
      <c r="X43" s="46">
        <f>SUM(N43:W43)</f>
        <v>0</v>
      </c>
      <c r="Y43" s="38" t="s">
        <v>4</v>
      </c>
      <c r="Z43" s="36"/>
      <c r="AA43" s="36"/>
      <c r="AB43" s="36"/>
      <c r="AC43" s="36"/>
      <c r="AD43" s="36"/>
      <c r="AE43" s="36"/>
      <c r="AF43" s="36"/>
      <c r="AG43" s="36"/>
      <c r="AH43" s="36"/>
      <c r="AI43" s="12"/>
      <c r="AJ43" s="46">
        <f>SUM(Z43:AI43)</f>
        <v>0</v>
      </c>
    </row>
    <row r="44" spans="1:36" s="35" customFormat="1" ht="14.25" thickBot="1">
      <c r="A44" s="39" t="s">
        <v>924</v>
      </c>
      <c r="B44" s="40"/>
      <c r="C44" s="40"/>
      <c r="D44" s="40"/>
      <c r="E44" s="40"/>
      <c r="F44" s="40"/>
      <c r="G44" s="40"/>
      <c r="H44" s="40"/>
      <c r="I44" s="40"/>
      <c r="J44" s="40"/>
      <c r="K44" s="43"/>
      <c r="L44" s="47">
        <f>SUM(B44:K44)</f>
        <v>0</v>
      </c>
      <c r="M44" s="39" t="s">
        <v>924</v>
      </c>
      <c r="N44" s="40"/>
      <c r="O44" s="40"/>
      <c r="P44" s="40"/>
      <c r="Q44" s="40"/>
      <c r="R44" s="40"/>
      <c r="S44" s="40"/>
      <c r="T44" s="40"/>
      <c r="U44" s="40"/>
      <c r="V44" s="40"/>
      <c r="W44" s="43"/>
      <c r="X44" s="47">
        <f>SUM(N44:W44)</f>
        <v>0</v>
      </c>
      <c r="Y44" s="39" t="s">
        <v>924</v>
      </c>
      <c r="Z44" s="40"/>
      <c r="AA44" s="40"/>
      <c r="AB44" s="40"/>
      <c r="AC44" s="40"/>
      <c r="AD44" s="40"/>
      <c r="AE44" s="40"/>
      <c r="AF44" s="40"/>
      <c r="AG44" s="40"/>
      <c r="AH44" s="40"/>
      <c r="AI44" s="43"/>
      <c r="AJ44" s="47">
        <f>SUM(Z44:AI44)</f>
        <v>0</v>
      </c>
    </row>
    <row r="45" spans="1:36" s="35" customFormat="1" ht="15" thickTop="1" thickBot="1">
      <c r="A45" s="41" t="s">
        <v>928</v>
      </c>
      <c r="B45" s="42">
        <f t="shared" ref="B45:K45" si="24">SUM(B42:B44)</f>
        <v>0</v>
      </c>
      <c r="C45" s="42">
        <f t="shared" si="24"/>
        <v>0</v>
      </c>
      <c r="D45" s="42">
        <f t="shared" si="24"/>
        <v>0</v>
      </c>
      <c r="E45" s="42">
        <f t="shared" si="24"/>
        <v>0</v>
      </c>
      <c r="F45" s="42">
        <f t="shared" si="24"/>
        <v>0</v>
      </c>
      <c r="G45" s="42">
        <f t="shared" si="24"/>
        <v>0</v>
      </c>
      <c r="H45" s="42">
        <f t="shared" si="24"/>
        <v>0</v>
      </c>
      <c r="I45" s="42">
        <f t="shared" si="24"/>
        <v>0</v>
      </c>
      <c r="J45" s="42">
        <f t="shared" si="24"/>
        <v>0</v>
      </c>
      <c r="K45" s="44">
        <f t="shared" si="24"/>
        <v>0</v>
      </c>
      <c r="L45" s="48">
        <f>SUM(B45:K45)</f>
        <v>0</v>
      </c>
      <c r="M45" s="41" t="s">
        <v>928</v>
      </c>
      <c r="N45" s="42">
        <f t="shared" ref="N45:W45" si="25">SUM(N42:N44)</f>
        <v>0</v>
      </c>
      <c r="O45" s="42">
        <f t="shared" si="25"/>
        <v>0</v>
      </c>
      <c r="P45" s="42">
        <f t="shared" si="25"/>
        <v>0</v>
      </c>
      <c r="Q45" s="42">
        <f t="shared" si="25"/>
        <v>0</v>
      </c>
      <c r="R45" s="42">
        <f t="shared" si="25"/>
        <v>0</v>
      </c>
      <c r="S45" s="42">
        <f t="shared" si="25"/>
        <v>0</v>
      </c>
      <c r="T45" s="42">
        <f t="shared" si="25"/>
        <v>0</v>
      </c>
      <c r="U45" s="42">
        <f t="shared" si="25"/>
        <v>0</v>
      </c>
      <c r="V45" s="42">
        <f t="shared" si="25"/>
        <v>0</v>
      </c>
      <c r="W45" s="44">
        <f t="shared" si="25"/>
        <v>0</v>
      </c>
      <c r="X45" s="48">
        <f>SUM(N45:W45)</f>
        <v>0</v>
      </c>
      <c r="Y45" s="41" t="s">
        <v>928</v>
      </c>
      <c r="Z45" s="42">
        <f t="shared" ref="Z45:AI45" si="26">SUM(Z42:Z44)</f>
        <v>0</v>
      </c>
      <c r="AA45" s="42">
        <f t="shared" si="26"/>
        <v>0</v>
      </c>
      <c r="AB45" s="42">
        <f t="shared" si="26"/>
        <v>0</v>
      </c>
      <c r="AC45" s="42">
        <f t="shared" si="26"/>
        <v>0</v>
      </c>
      <c r="AD45" s="42">
        <f t="shared" si="26"/>
        <v>0</v>
      </c>
      <c r="AE45" s="42">
        <f t="shared" si="26"/>
        <v>0</v>
      </c>
      <c r="AF45" s="42">
        <f t="shared" si="26"/>
        <v>0</v>
      </c>
      <c r="AG45" s="42">
        <f t="shared" si="26"/>
        <v>0</v>
      </c>
      <c r="AH45" s="42">
        <f t="shared" si="26"/>
        <v>0</v>
      </c>
      <c r="AI45" s="44">
        <f t="shared" si="26"/>
        <v>0</v>
      </c>
      <c r="AJ45" s="48">
        <f>SUM(Z45:AI45)</f>
        <v>0</v>
      </c>
    </row>
    <row r="46" spans="1:36" s="35" customFormat="1">
      <c r="A46" s="37"/>
      <c r="B46" s="7" t="s">
        <v>5</v>
      </c>
      <c r="C46" s="7" t="s">
        <v>4</v>
      </c>
      <c r="D46" s="7" t="s">
        <v>3</v>
      </c>
      <c r="E46" s="7" t="s">
        <v>2</v>
      </c>
      <c r="F46" s="7" t="s">
        <v>28</v>
      </c>
      <c r="G46" s="7" t="s">
        <v>852</v>
      </c>
      <c r="H46" s="7" t="s">
        <v>249</v>
      </c>
      <c r="I46" s="7" t="s">
        <v>925</v>
      </c>
      <c r="J46" s="7" t="s">
        <v>926</v>
      </c>
      <c r="K46" s="26" t="s">
        <v>918</v>
      </c>
      <c r="L46" s="45"/>
      <c r="M46" s="37"/>
      <c r="N46" s="7" t="s">
        <v>5</v>
      </c>
      <c r="O46" s="7" t="s">
        <v>4</v>
      </c>
      <c r="P46" s="7" t="s">
        <v>3</v>
      </c>
      <c r="Q46" s="7" t="s">
        <v>2</v>
      </c>
      <c r="R46" s="7" t="s">
        <v>28</v>
      </c>
      <c r="S46" s="7" t="s">
        <v>852</v>
      </c>
      <c r="T46" s="7" t="s">
        <v>249</v>
      </c>
      <c r="U46" s="7" t="s">
        <v>925</v>
      </c>
      <c r="V46" s="7" t="s">
        <v>926</v>
      </c>
      <c r="W46" s="26" t="s">
        <v>918</v>
      </c>
      <c r="X46" s="45"/>
      <c r="Y46" s="37"/>
      <c r="Z46" s="7" t="s">
        <v>5</v>
      </c>
      <c r="AA46" s="7" t="s">
        <v>4</v>
      </c>
      <c r="AB46" s="7" t="s">
        <v>3</v>
      </c>
      <c r="AC46" s="7" t="s">
        <v>2</v>
      </c>
      <c r="AD46" s="7" t="s">
        <v>28</v>
      </c>
      <c r="AE46" s="7" t="s">
        <v>852</v>
      </c>
      <c r="AF46" s="7" t="s">
        <v>249</v>
      </c>
      <c r="AG46" s="7" t="s">
        <v>925</v>
      </c>
      <c r="AH46" s="7" t="s">
        <v>926</v>
      </c>
      <c r="AI46" s="26" t="s">
        <v>918</v>
      </c>
      <c r="AJ46" s="45"/>
    </row>
    <row r="47" spans="1:36" s="35" customFormat="1">
      <c r="A47" s="38" t="s">
        <v>923</v>
      </c>
      <c r="B47" s="36"/>
      <c r="C47" s="36"/>
      <c r="D47" s="36"/>
      <c r="E47" s="36"/>
      <c r="F47" s="36"/>
      <c r="G47" s="36"/>
      <c r="H47" s="36"/>
      <c r="I47" s="36"/>
      <c r="J47" s="36"/>
      <c r="K47" s="12"/>
      <c r="L47" s="46">
        <f>SUM(B47:K47)</f>
        <v>0</v>
      </c>
      <c r="M47" s="38" t="s">
        <v>923</v>
      </c>
      <c r="N47" s="36"/>
      <c r="O47" s="36"/>
      <c r="P47" s="36"/>
      <c r="Q47" s="36"/>
      <c r="R47" s="36"/>
      <c r="S47" s="36"/>
      <c r="T47" s="36"/>
      <c r="U47" s="36"/>
      <c r="V47" s="36"/>
      <c r="W47" s="12"/>
      <c r="X47" s="46">
        <f>SUM(N47:W47)</f>
        <v>0</v>
      </c>
      <c r="Y47" s="38" t="s">
        <v>923</v>
      </c>
      <c r="Z47" s="36"/>
      <c r="AA47" s="36"/>
      <c r="AB47" s="36"/>
      <c r="AC47" s="36"/>
      <c r="AD47" s="36"/>
      <c r="AE47" s="36"/>
      <c r="AF47" s="36"/>
      <c r="AG47" s="36"/>
      <c r="AH47" s="36"/>
      <c r="AI47" s="12"/>
      <c r="AJ47" s="46">
        <f>SUM(Z47:AI47)</f>
        <v>0</v>
      </c>
    </row>
    <row r="48" spans="1:36" s="35" customFormat="1">
      <c r="A48" s="38" t="s">
        <v>4</v>
      </c>
      <c r="B48" s="36"/>
      <c r="C48" s="36"/>
      <c r="D48" s="36"/>
      <c r="E48" s="36"/>
      <c r="F48" s="36"/>
      <c r="G48" s="36"/>
      <c r="H48" s="36"/>
      <c r="I48" s="36"/>
      <c r="J48" s="36"/>
      <c r="K48" s="12"/>
      <c r="L48" s="46">
        <f>SUM(B48:K48)</f>
        <v>0</v>
      </c>
      <c r="M48" s="38" t="s">
        <v>4</v>
      </c>
      <c r="N48" s="36"/>
      <c r="O48" s="36"/>
      <c r="P48" s="36"/>
      <c r="Q48" s="36"/>
      <c r="R48" s="36"/>
      <c r="S48" s="36"/>
      <c r="T48" s="36"/>
      <c r="U48" s="36"/>
      <c r="V48" s="36"/>
      <c r="W48" s="12"/>
      <c r="X48" s="46">
        <f>SUM(N48:W48)</f>
        <v>0</v>
      </c>
      <c r="Y48" s="38" t="s">
        <v>4</v>
      </c>
      <c r="Z48" s="36"/>
      <c r="AA48" s="36"/>
      <c r="AB48" s="36"/>
      <c r="AC48" s="36"/>
      <c r="AD48" s="36"/>
      <c r="AE48" s="36"/>
      <c r="AF48" s="36"/>
      <c r="AG48" s="36"/>
      <c r="AH48" s="36"/>
      <c r="AI48" s="12"/>
      <c r="AJ48" s="46">
        <f>SUM(Z48:AI48)</f>
        <v>0</v>
      </c>
    </row>
    <row r="49" spans="1:36" s="35" customFormat="1" ht="14.25" thickBot="1">
      <c r="A49" s="39" t="s">
        <v>924</v>
      </c>
      <c r="B49" s="40"/>
      <c r="C49" s="40"/>
      <c r="D49" s="40"/>
      <c r="E49" s="40"/>
      <c r="F49" s="40"/>
      <c r="G49" s="40"/>
      <c r="H49" s="40"/>
      <c r="I49" s="40"/>
      <c r="J49" s="40"/>
      <c r="K49" s="43"/>
      <c r="L49" s="47">
        <f>SUM(B49:K49)</f>
        <v>0</v>
      </c>
      <c r="M49" s="39" t="s">
        <v>924</v>
      </c>
      <c r="N49" s="40"/>
      <c r="O49" s="40"/>
      <c r="P49" s="40"/>
      <c r="Q49" s="40"/>
      <c r="R49" s="40"/>
      <c r="S49" s="40"/>
      <c r="T49" s="40"/>
      <c r="U49" s="40"/>
      <c r="V49" s="40"/>
      <c r="W49" s="43"/>
      <c r="X49" s="47">
        <f>SUM(N49:W49)</f>
        <v>0</v>
      </c>
      <c r="Y49" s="39" t="s">
        <v>924</v>
      </c>
      <c r="Z49" s="40"/>
      <c r="AA49" s="40"/>
      <c r="AB49" s="40"/>
      <c r="AC49" s="40"/>
      <c r="AD49" s="40"/>
      <c r="AE49" s="40"/>
      <c r="AF49" s="40"/>
      <c r="AG49" s="40"/>
      <c r="AH49" s="40"/>
      <c r="AI49" s="43"/>
      <c r="AJ49" s="47">
        <f>SUM(Z49:AI49)</f>
        <v>0</v>
      </c>
    </row>
    <row r="50" spans="1:36" s="35" customFormat="1" ht="15" thickTop="1" thickBot="1">
      <c r="A50" s="41" t="s">
        <v>928</v>
      </c>
      <c r="B50" s="42">
        <f t="shared" ref="B50:K50" si="27">SUM(B47:B49)</f>
        <v>0</v>
      </c>
      <c r="C50" s="42">
        <f t="shared" si="27"/>
        <v>0</v>
      </c>
      <c r="D50" s="42">
        <f t="shared" si="27"/>
        <v>0</v>
      </c>
      <c r="E50" s="42">
        <f t="shared" si="27"/>
        <v>0</v>
      </c>
      <c r="F50" s="42">
        <f t="shared" si="27"/>
        <v>0</v>
      </c>
      <c r="G50" s="42">
        <f t="shared" si="27"/>
        <v>0</v>
      </c>
      <c r="H50" s="42">
        <f t="shared" si="27"/>
        <v>0</v>
      </c>
      <c r="I50" s="42">
        <f t="shared" si="27"/>
        <v>0</v>
      </c>
      <c r="J50" s="42">
        <f t="shared" si="27"/>
        <v>0</v>
      </c>
      <c r="K50" s="44">
        <f t="shared" si="27"/>
        <v>0</v>
      </c>
      <c r="L50" s="48">
        <f>SUM(B50:K50)</f>
        <v>0</v>
      </c>
      <c r="M50" s="41" t="s">
        <v>928</v>
      </c>
      <c r="N50" s="42">
        <f t="shared" ref="N50:W50" si="28">SUM(N47:N49)</f>
        <v>0</v>
      </c>
      <c r="O50" s="42">
        <f t="shared" si="28"/>
        <v>0</v>
      </c>
      <c r="P50" s="42">
        <f t="shared" si="28"/>
        <v>0</v>
      </c>
      <c r="Q50" s="42">
        <f t="shared" si="28"/>
        <v>0</v>
      </c>
      <c r="R50" s="42">
        <f t="shared" si="28"/>
        <v>0</v>
      </c>
      <c r="S50" s="42">
        <f t="shared" si="28"/>
        <v>0</v>
      </c>
      <c r="T50" s="42">
        <f t="shared" si="28"/>
        <v>0</v>
      </c>
      <c r="U50" s="42">
        <f t="shared" si="28"/>
        <v>0</v>
      </c>
      <c r="V50" s="42">
        <f t="shared" si="28"/>
        <v>0</v>
      </c>
      <c r="W50" s="44">
        <f t="shared" si="28"/>
        <v>0</v>
      </c>
      <c r="X50" s="48">
        <f>SUM(N50:W50)</f>
        <v>0</v>
      </c>
      <c r="Y50" s="41" t="s">
        <v>928</v>
      </c>
      <c r="Z50" s="42">
        <f t="shared" ref="Z50:AI50" si="29">SUM(Z47:Z49)</f>
        <v>0</v>
      </c>
      <c r="AA50" s="42">
        <f t="shared" si="29"/>
        <v>0</v>
      </c>
      <c r="AB50" s="42">
        <f t="shared" si="29"/>
        <v>0</v>
      </c>
      <c r="AC50" s="42">
        <f t="shared" si="29"/>
        <v>0</v>
      </c>
      <c r="AD50" s="42">
        <f t="shared" si="29"/>
        <v>0</v>
      </c>
      <c r="AE50" s="42">
        <f t="shared" si="29"/>
        <v>0</v>
      </c>
      <c r="AF50" s="42">
        <f t="shared" si="29"/>
        <v>0</v>
      </c>
      <c r="AG50" s="42">
        <f t="shared" si="29"/>
        <v>0</v>
      </c>
      <c r="AH50" s="42">
        <f t="shared" si="29"/>
        <v>0</v>
      </c>
      <c r="AI50" s="44">
        <f t="shared" si="29"/>
        <v>0</v>
      </c>
      <c r="AJ50" s="48">
        <f>SUM(Z50:AI50)</f>
        <v>0</v>
      </c>
    </row>
  </sheetData>
  <phoneticPr fontId="1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H79"/>
  <sheetViews>
    <sheetView workbookViewId="0">
      <selection activeCell="E79" sqref="E79"/>
    </sheetView>
  </sheetViews>
  <sheetFormatPr defaultRowHeight="13.5"/>
  <cols>
    <col min="1" max="1" width="2" style="49" bestFit="1" customWidth="1"/>
    <col min="6" max="6" width="9" style="49"/>
  </cols>
  <sheetData>
    <row r="1" spans="1:8">
      <c r="A1" s="49" t="s">
        <v>1848</v>
      </c>
      <c r="B1" t="s">
        <v>1256</v>
      </c>
      <c r="F1" s="49" t="s">
        <v>684</v>
      </c>
      <c r="H1" t="str">
        <f>CONCATENATE(A1,B1,A1,C1,A1,D1,A1,E1,A1,F1,A1,G1,A1)</f>
        <v>|ｺﾓﾝ||||連繋||</v>
      </c>
    </row>
    <row r="2" spans="1:8">
      <c r="A2" s="49" t="s">
        <v>1848</v>
      </c>
      <c r="B2" t="s">
        <v>1849</v>
      </c>
      <c r="C2" t="s">
        <v>1808</v>
      </c>
      <c r="D2" t="s">
        <v>1810</v>
      </c>
      <c r="E2" t="s">
        <v>1809</v>
      </c>
      <c r="F2" s="49" t="s">
        <v>1812</v>
      </c>
      <c r="G2" t="s">
        <v>1811</v>
      </c>
      <c r="H2" s="49" t="str">
        <f t="shared" ref="H2:H18" si="0">CONCATENATE(A2,B2,A2,C2,A2,D2,A2,E2,A2,F2,A2,G2,A2)</f>
        <v>|霊的な訪れ|W|SOK|I|W|1/1spirit×1|</v>
      </c>
    </row>
    <row r="3" spans="1:8">
      <c r="A3" s="49" t="s">
        <v>1848</v>
      </c>
      <c r="B3" t="s">
        <v>1850</v>
      </c>
      <c r="C3" t="s">
        <v>1812</v>
      </c>
      <c r="D3" t="s">
        <v>1813</v>
      </c>
      <c r="E3" t="s">
        <v>1814</v>
      </c>
      <c r="G3" t="s">
        <v>1815</v>
      </c>
      <c r="H3" s="49" t="str">
        <f t="shared" si="0"/>
        <v>|物静かな純潔|W|CHK|I||E1破壊|</v>
      </c>
    </row>
    <row r="4" spans="1:8">
      <c r="A4" s="49" t="s">
        <v>1848</v>
      </c>
      <c r="B4" t="s">
        <v>1851</v>
      </c>
      <c r="C4" t="s">
        <v>1816</v>
      </c>
      <c r="D4" t="s">
        <v>1817</v>
      </c>
      <c r="E4" t="s">
        <v>1818</v>
      </c>
      <c r="F4" s="49" t="s">
        <v>1822</v>
      </c>
      <c r="G4" t="s">
        <v>1819</v>
      </c>
      <c r="H4" s="49" t="str">
        <f t="shared" si="0"/>
        <v>|百爪の一撃|W|BOK|I|白生物1T|生物1P+1+先制|</v>
      </c>
    </row>
    <row r="5" spans="1:8">
      <c r="A5" s="49" t="s">
        <v>1848</v>
      </c>
      <c r="B5" t="s">
        <v>1852</v>
      </c>
      <c r="C5" t="s">
        <v>1816</v>
      </c>
      <c r="D5" t="s">
        <v>1820</v>
      </c>
      <c r="E5" t="s">
        <v>1821</v>
      </c>
      <c r="F5" s="49" t="s">
        <v>1812</v>
      </c>
      <c r="G5" t="s">
        <v>1823</v>
      </c>
      <c r="H5" s="49" t="str">
        <f t="shared" si="0"/>
        <v>|祝福の息吹|W|SHK|I|W|生物1任意色プロ|</v>
      </c>
    </row>
    <row r="6" spans="1:8">
      <c r="A6" s="49" t="s">
        <v>1848</v>
      </c>
      <c r="B6" t="s">
        <v>1853</v>
      </c>
      <c r="C6" t="s">
        <v>1816</v>
      </c>
      <c r="D6" t="s">
        <v>1192</v>
      </c>
      <c r="E6" t="s">
        <v>1824</v>
      </c>
      <c r="G6" t="s">
        <v>1825</v>
      </c>
      <c r="H6" s="49" t="str">
        <f t="shared" si="0"/>
        <v>|天空のもや|W|CHK|I||濃霧|</v>
      </c>
    </row>
    <row r="7" spans="1:8">
      <c r="A7" s="49" t="s">
        <v>1848</v>
      </c>
      <c r="B7" t="s">
        <v>1854</v>
      </c>
      <c r="C7" t="s">
        <v>1826</v>
      </c>
      <c r="D7" t="s">
        <v>1827</v>
      </c>
      <c r="E7" t="s">
        <v>1814</v>
      </c>
      <c r="G7" t="s">
        <v>1828</v>
      </c>
      <c r="H7" s="49" t="str">
        <f t="shared" si="0"/>
        <v>|霊都の驀進|1W|SOK|I||平地掃引-生物1PT+X|</v>
      </c>
    </row>
    <row r="8" spans="1:8">
      <c r="A8" s="49" t="s">
        <v>1848</v>
      </c>
      <c r="B8" t="s">
        <v>1855</v>
      </c>
      <c r="C8" t="s">
        <v>1829</v>
      </c>
      <c r="D8" t="s">
        <v>1192</v>
      </c>
      <c r="E8" t="s">
        <v>1818</v>
      </c>
      <c r="G8" t="s">
        <v>1830</v>
      </c>
      <c r="H8" s="49" t="str">
        <f t="shared" si="0"/>
        <v>|来世への旅|1W|CHK|I||ちらつき+1/+1C|</v>
      </c>
    </row>
    <row r="9" spans="1:8">
      <c r="A9" s="49" t="s">
        <v>1848</v>
      </c>
      <c r="B9" t="s">
        <v>1856</v>
      </c>
      <c r="C9" t="s">
        <v>1835</v>
      </c>
      <c r="D9" t="s">
        <v>1813</v>
      </c>
      <c r="E9" t="s">
        <v>1836</v>
      </c>
      <c r="G9" t="s">
        <v>1837</v>
      </c>
      <c r="H9" s="49" t="str">
        <f t="shared" si="0"/>
        <v>|天羅至の叫び|3W|CHK|S||生物3T|</v>
      </c>
    </row>
    <row r="10" spans="1:8">
      <c r="A10" s="49" t="s">
        <v>1848</v>
      </c>
      <c r="B10" t="s">
        <v>1257</v>
      </c>
      <c r="H10" s="49" t="str">
        <f t="shared" si="0"/>
        <v>|ｱﾝｺﾓﾝ||||||</v>
      </c>
    </row>
    <row r="11" spans="1:8">
      <c r="A11" s="49" t="s">
        <v>1848</v>
      </c>
      <c r="B11" t="s">
        <v>1857</v>
      </c>
      <c r="C11" t="s">
        <v>1838</v>
      </c>
      <c r="D11" t="s">
        <v>1813</v>
      </c>
      <c r="E11" t="s">
        <v>1818</v>
      </c>
      <c r="F11" s="49" t="s">
        <v>1826</v>
      </c>
      <c r="G11" t="s">
        <v>1839</v>
      </c>
      <c r="H11" s="49" t="str">
        <f t="shared" si="0"/>
        <v>|蝋燭の輝き|1W|CHK|I|1W|3点軽減+軽減分回復|</v>
      </c>
    </row>
    <row r="12" spans="1:8">
      <c r="A12" s="49" t="s">
        <v>1848</v>
      </c>
      <c r="B12" t="s">
        <v>1858</v>
      </c>
      <c r="C12" t="s">
        <v>1829</v>
      </c>
      <c r="D12" t="s">
        <v>1840</v>
      </c>
      <c r="E12" t="s">
        <v>1824</v>
      </c>
      <c r="G12" t="s">
        <v>1841</v>
      </c>
      <c r="H12" s="49" t="str">
        <f t="shared" si="0"/>
        <v>|天羅志の評決|1W|BOK|I||P3↓破壊|</v>
      </c>
    </row>
    <row r="13" spans="1:8">
      <c r="A13" s="49" t="s">
        <v>1848</v>
      </c>
      <c r="B13" t="s">
        <v>1859</v>
      </c>
      <c r="C13" t="s">
        <v>1831</v>
      </c>
      <c r="D13" t="s">
        <v>1832</v>
      </c>
      <c r="E13" t="s">
        <v>1833</v>
      </c>
      <c r="G13" t="s">
        <v>1834</v>
      </c>
      <c r="H13" s="49" t="str">
        <f t="shared" si="0"/>
        <v>|天羅至の掌握|2W|BOK|S||帰化+CMC回復|</v>
      </c>
    </row>
    <row r="14" spans="1:8">
      <c r="A14" s="49" t="s">
        <v>1848</v>
      </c>
      <c r="B14" t="s">
        <v>1860</v>
      </c>
      <c r="C14" t="s">
        <v>980</v>
      </c>
      <c r="D14" t="s">
        <v>1192</v>
      </c>
      <c r="E14" t="s">
        <v>758</v>
      </c>
      <c r="G14" t="s">
        <v>1842</v>
      </c>
      <c r="H14" s="49" t="str">
        <f t="shared" si="0"/>
        <v>|清浄|2W|CHK|S||全E破壊|</v>
      </c>
    </row>
    <row r="15" spans="1:8">
      <c r="A15" s="49" t="s">
        <v>1848</v>
      </c>
      <c r="B15" t="s">
        <v>1861</v>
      </c>
      <c r="C15" t="s">
        <v>987</v>
      </c>
      <c r="D15" t="s">
        <v>1827</v>
      </c>
      <c r="E15" t="s">
        <v>1263</v>
      </c>
      <c r="G15" t="s">
        <v>1843</v>
      </c>
      <c r="H15" s="49" t="str">
        <f t="shared" si="0"/>
        <v>|荒場越えの突撃|4W|SOK|I||平地掃引-自軍PT+X|</v>
      </c>
    </row>
    <row r="16" spans="1:8">
      <c r="A16" s="49" t="s">
        <v>1848</v>
      </c>
      <c r="B16" t="s">
        <v>1258</v>
      </c>
      <c r="H16" s="49" t="str">
        <f t="shared" si="0"/>
        <v>|ﾚｱ||||||</v>
      </c>
    </row>
    <row r="17" spans="1:8">
      <c r="A17" s="49" t="s">
        <v>1848</v>
      </c>
      <c r="B17" t="s">
        <v>1862</v>
      </c>
      <c r="C17" t="s">
        <v>1844</v>
      </c>
      <c r="D17" t="s">
        <v>1827</v>
      </c>
      <c r="E17" t="s">
        <v>1263</v>
      </c>
      <c r="G17" t="s">
        <v>1845</v>
      </c>
      <c r="H17" s="49" t="str">
        <f t="shared" si="0"/>
        <v>|純粋な意図|W|SOK|I||敵能力ハンデス無効|</v>
      </c>
    </row>
    <row r="18" spans="1:8">
      <c r="A18" s="49" t="s">
        <v>1848</v>
      </c>
      <c r="B18" t="s">
        <v>1863</v>
      </c>
      <c r="C18" t="s">
        <v>1846</v>
      </c>
      <c r="D18" t="s">
        <v>1832</v>
      </c>
      <c r="E18" t="s">
        <v>1263</v>
      </c>
      <c r="G18" t="s">
        <v>1847</v>
      </c>
      <c r="H18" s="49" t="str">
        <f t="shared" si="0"/>
        <v>|輝く群れ|XWW|BOK|I||ﾋﾟｯﾁW公開X=CMC　XD反射|</v>
      </c>
    </row>
    <row r="21" spans="1:8">
      <c r="B21" t="s">
        <v>1864</v>
      </c>
    </row>
    <row r="23" spans="1:8">
      <c r="B23" t="s">
        <v>1256</v>
      </c>
    </row>
    <row r="24" spans="1:8">
      <c r="B24" t="s">
        <v>1865</v>
      </c>
      <c r="C24" t="s">
        <v>1902</v>
      </c>
      <c r="D24" t="s">
        <v>1827</v>
      </c>
      <c r="E24" t="s">
        <v>1809</v>
      </c>
      <c r="G24" t="s">
        <v>1903</v>
      </c>
    </row>
    <row r="25" spans="1:8">
      <c r="B25" t="s">
        <v>1866</v>
      </c>
      <c r="C25" t="s">
        <v>42</v>
      </c>
      <c r="D25" t="s">
        <v>1192</v>
      </c>
      <c r="E25" t="s">
        <v>1263</v>
      </c>
      <c r="G25" t="s">
        <v>1904</v>
      </c>
    </row>
    <row r="26" spans="1:8">
      <c r="B26" t="s">
        <v>1867</v>
      </c>
      <c r="C26" t="s">
        <v>1905</v>
      </c>
      <c r="D26" t="s">
        <v>1192</v>
      </c>
      <c r="E26" t="s">
        <v>758</v>
      </c>
      <c r="G26" t="s">
        <v>1906</v>
      </c>
    </row>
    <row r="27" spans="1:8">
      <c r="B27" t="s">
        <v>1868</v>
      </c>
      <c r="C27" t="s">
        <v>995</v>
      </c>
      <c r="D27" t="s">
        <v>1192</v>
      </c>
      <c r="E27" t="s">
        <v>1263</v>
      </c>
      <c r="G27" t="s">
        <v>1907</v>
      </c>
    </row>
    <row r="28" spans="1:8">
      <c r="B28" t="s">
        <v>1869</v>
      </c>
      <c r="C28" t="s">
        <v>995</v>
      </c>
      <c r="D28" t="s">
        <v>1192</v>
      </c>
      <c r="E28" t="s">
        <v>1263</v>
      </c>
      <c r="F28" s="49" t="s">
        <v>42</v>
      </c>
      <c r="G28" t="s">
        <v>1908</v>
      </c>
    </row>
    <row r="29" spans="1:8">
      <c r="B29" t="s">
        <v>1870</v>
      </c>
      <c r="C29" t="s">
        <v>995</v>
      </c>
      <c r="D29" t="s">
        <v>1832</v>
      </c>
      <c r="E29" t="s">
        <v>1263</v>
      </c>
      <c r="F29" s="49" t="s">
        <v>1909</v>
      </c>
      <c r="G29" t="s">
        <v>1910</v>
      </c>
    </row>
    <row r="30" spans="1:8">
      <c r="B30" t="s">
        <v>1871</v>
      </c>
      <c r="C30" t="s">
        <v>1905</v>
      </c>
      <c r="D30" t="s">
        <v>1827</v>
      </c>
      <c r="E30" t="s">
        <v>758</v>
      </c>
      <c r="G30" t="s">
        <v>1911</v>
      </c>
    </row>
    <row r="31" spans="1:8">
      <c r="B31" t="s">
        <v>1872</v>
      </c>
      <c r="C31" t="s">
        <v>995</v>
      </c>
      <c r="D31" t="s">
        <v>1192</v>
      </c>
      <c r="E31" t="s">
        <v>1263</v>
      </c>
      <c r="F31" s="49" t="s">
        <v>1001</v>
      </c>
      <c r="G31" t="s">
        <v>1912</v>
      </c>
    </row>
    <row r="32" spans="1:8">
      <c r="B32" t="s">
        <v>1874</v>
      </c>
      <c r="C32" t="s">
        <v>995</v>
      </c>
      <c r="D32" t="s">
        <v>1192</v>
      </c>
      <c r="E32" t="s">
        <v>1263</v>
      </c>
      <c r="F32" s="49" t="s">
        <v>995</v>
      </c>
      <c r="G32" t="s">
        <v>1913</v>
      </c>
    </row>
    <row r="33" spans="2:7">
      <c r="B33" t="s">
        <v>1875</v>
      </c>
      <c r="C33" t="s">
        <v>997</v>
      </c>
      <c r="D33" t="s">
        <v>1827</v>
      </c>
      <c r="E33" t="s">
        <v>1263</v>
      </c>
      <c r="G33" t="s">
        <v>1914</v>
      </c>
    </row>
    <row r="34" spans="2:7">
      <c r="B34" t="s">
        <v>1876</v>
      </c>
      <c r="C34" t="s">
        <v>1915</v>
      </c>
      <c r="D34" t="s">
        <v>1192</v>
      </c>
      <c r="E34" t="s">
        <v>1263</v>
      </c>
      <c r="G34" t="s">
        <v>1916</v>
      </c>
    </row>
    <row r="35" spans="2:7">
      <c r="B35" t="s">
        <v>1877</v>
      </c>
      <c r="C35" t="s">
        <v>997</v>
      </c>
      <c r="D35" t="s">
        <v>1832</v>
      </c>
      <c r="E35" t="s">
        <v>1263</v>
      </c>
      <c r="G35" t="s">
        <v>1917</v>
      </c>
    </row>
    <row r="36" spans="2:7">
      <c r="B36" t="s">
        <v>1878</v>
      </c>
      <c r="C36" t="s">
        <v>997</v>
      </c>
      <c r="D36" t="s">
        <v>1192</v>
      </c>
      <c r="E36" t="s">
        <v>1263</v>
      </c>
      <c r="F36" s="49" t="s">
        <v>995</v>
      </c>
      <c r="G36" t="s">
        <v>1918</v>
      </c>
    </row>
    <row r="37" spans="2:7">
      <c r="B37" t="s">
        <v>1879</v>
      </c>
      <c r="C37" t="s">
        <v>1003</v>
      </c>
      <c r="D37" t="s">
        <v>1192</v>
      </c>
      <c r="E37" t="s">
        <v>758</v>
      </c>
      <c r="G37" t="s">
        <v>1919</v>
      </c>
    </row>
    <row r="38" spans="2:7">
      <c r="B38" t="s">
        <v>1880</v>
      </c>
      <c r="C38" t="s">
        <v>1003</v>
      </c>
      <c r="D38" t="s">
        <v>1832</v>
      </c>
      <c r="E38" t="s">
        <v>758</v>
      </c>
      <c r="G38" t="s">
        <v>1920</v>
      </c>
    </row>
    <row r="39" spans="2:7">
      <c r="B39" t="s">
        <v>1257</v>
      </c>
    </row>
    <row r="41" spans="2:7">
      <c r="B41" t="s">
        <v>2254</v>
      </c>
    </row>
    <row r="42" spans="2:7">
      <c r="B42" t="s">
        <v>1881</v>
      </c>
    </row>
    <row r="43" spans="2:7">
      <c r="B43" t="s">
        <v>1882</v>
      </c>
    </row>
    <row r="44" spans="2:7">
      <c r="B44" t="s">
        <v>1883</v>
      </c>
    </row>
    <row r="45" spans="2:7">
      <c r="B45" t="s">
        <v>1921</v>
      </c>
    </row>
    <row r="47" spans="2:7">
      <c r="B47" t="s">
        <v>1884</v>
      </c>
    </row>
    <row r="48" spans="2:7">
      <c r="B48" t="s">
        <v>1804</v>
      </c>
    </row>
    <row r="49" spans="2:2">
      <c r="B49" t="s">
        <v>1885</v>
      </c>
    </row>
    <row r="51" spans="2:2">
      <c r="B51" t="s">
        <v>1886</v>
      </c>
    </row>
    <row r="52" spans="2:2">
      <c r="B52" t="s">
        <v>1805</v>
      </c>
    </row>
    <row r="53" spans="2:2">
      <c r="B53" t="s">
        <v>1887</v>
      </c>
    </row>
    <row r="55" spans="2:2">
      <c r="B55" t="s">
        <v>1888</v>
      </c>
    </row>
    <row r="56" spans="2:2">
      <c r="B56" t="s">
        <v>1806</v>
      </c>
    </row>
    <row r="57" spans="2:2">
      <c r="B57" t="s">
        <v>1889</v>
      </c>
    </row>
    <row r="58" spans="2:2">
      <c r="B58" t="s">
        <v>1873</v>
      </c>
    </row>
    <row r="60" spans="2:2">
      <c r="B60" t="s">
        <v>1890</v>
      </c>
    </row>
    <row r="61" spans="2:2">
      <c r="B61" t="s">
        <v>1891</v>
      </c>
    </row>
    <row r="62" spans="2:2">
      <c r="B62" t="s">
        <v>1892</v>
      </c>
    </row>
    <row r="65" spans="2:2">
      <c r="B65" t="s">
        <v>1258</v>
      </c>
    </row>
    <row r="67" spans="2:2">
      <c r="B67" t="s">
        <v>1893</v>
      </c>
    </row>
    <row r="68" spans="2:2">
      <c r="B68" t="s">
        <v>1807</v>
      </c>
    </row>
    <row r="69" spans="2:2">
      <c r="B69" t="s">
        <v>1894</v>
      </c>
    </row>
    <row r="70" spans="2:2">
      <c r="B70" t="s">
        <v>1895</v>
      </c>
    </row>
    <row r="72" spans="2:2">
      <c r="B72" t="s">
        <v>1896</v>
      </c>
    </row>
    <row r="73" spans="2:2">
      <c r="B73" t="s">
        <v>1897</v>
      </c>
    </row>
    <row r="74" spans="2:2">
      <c r="B74" t="s">
        <v>1898</v>
      </c>
    </row>
    <row r="76" spans="2:2">
      <c r="B76" t="s">
        <v>1899</v>
      </c>
    </row>
    <row r="77" spans="2:2">
      <c r="B77" t="s">
        <v>1897</v>
      </c>
    </row>
    <row r="78" spans="2:2">
      <c r="B78" t="s">
        <v>1900</v>
      </c>
    </row>
    <row r="79" spans="2:2">
      <c r="B79" t="s">
        <v>1901</v>
      </c>
    </row>
  </sheetData>
  <phoneticPr fontId="1"/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W347"/>
  <sheetViews>
    <sheetView topLeftCell="A328" zoomScaleNormal="100" workbookViewId="0">
      <selection activeCell="S343" sqref="S343"/>
    </sheetView>
  </sheetViews>
  <sheetFormatPr defaultRowHeight="13.5"/>
  <cols>
    <col min="1" max="1" width="4" style="49" bestFit="1" customWidth="1"/>
    <col min="2" max="2" width="2.5" style="49" hidden="1" customWidth="1"/>
    <col min="3" max="7" width="2.625" style="49" bestFit="1" customWidth="1"/>
    <col min="8" max="8" width="21.125" style="49" customWidth="1"/>
    <col min="9" max="9" width="8.5" style="102" customWidth="1"/>
    <col min="10" max="10" width="2.5" style="102" hidden="1" customWidth="1"/>
    <col min="11" max="11" width="3.5" style="102" hidden="1" customWidth="1"/>
    <col min="12" max="12" width="5.125" style="49" bestFit="1" customWidth="1"/>
    <col min="13" max="13" width="5.875" style="49" hidden="1" customWidth="1"/>
    <col min="14" max="14" width="2.75" style="49" hidden="1" customWidth="1"/>
    <col min="15" max="15" width="4.875" style="58" bestFit="1" customWidth="1"/>
    <col min="16" max="16" width="17.625" style="49" customWidth="1"/>
    <col min="17" max="17" width="5.5" style="19" bestFit="1" customWidth="1"/>
    <col min="18" max="18" width="5.5" bestFit="1" customWidth="1"/>
    <col min="19" max="20" width="6.5" bestFit="1" customWidth="1"/>
    <col min="21" max="21" width="9" style="49"/>
  </cols>
  <sheetData>
    <row r="1" spans="1:22">
      <c r="A1" s="136"/>
      <c r="B1" s="137"/>
      <c r="C1" s="137"/>
      <c r="D1" s="137"/>
      <c r="E1" s="137"/>
      <c r="F1" s="137"/>
      <c r="G1" s="137"/>
      <c r="H1" s="138" t="s">
        <v>2100</v>
      </c>
      <c r="I1" s="139" t="s">
        <v>2099</v>
      </c>
      <c r="J1" s="139"/>
      <c r="K1" s="139"/>
      <c r="L1" s="138" t="s">
        <v>2098</v>
      </c>
      <c r="M1" s="138"/>
      <c r="N1" s="138" t="s">
        <v>2094</v>
      </c>
      <c r="O1" s="140" t="s">
        <v>2101</v>
      </c>
      <c r="P1" s="141" t="s">
        <v>2102</v>
      </c>
      <c r="Q1" s="18" t="str">
        <f>IF(ISBLANK(A1),"",COUNTBLANK(C1:G1))</f>
        <v/>
      </c>
      <c r="T1">
        <f>SUM(S1:S24)</f>
        <v>3255</v>
      </c>
    </row>
    <row r="2" spans="1:22" s="49" customFormat="1" ht="14.25" thickBot="1">
      <c r="A2" s="53" t="s">
        <v>2798</v>
      </c>
      <c r="B2" s="54">
        <v>3</v>
      </c>
      <c r="C2" s="54" t="s">
        <v>2812</v>
      </c>
      <c r="D2" s="54" t="s">
        <v>2812</v>
      </c>
      <c r="E2" s="54" t="s">
        <v>2801</v>
      </c>
      <c r="F2" s="54" t="s">
        <v>2801</v>
      </c>
      <c r="G2" s="54" t="s">
        <v>2801</v>
      </c>
      <c r="H2" s="54" t="s">
        <v>2950</v>
      </c>
      <c r="I2" s="126" t="s">
        <v>2215</v>
      </c>
      <c r="J2" s="126">
        <v>6</v>
      </c>
      <c r="K2" s="126">
        <v>4</v>
      </c>
      <c r="L2" s="54" t="s">
        <v>2386</v>
      </c>
      <c r="M2" s="54">
        <v>9</v>
      </c>
      <c r="N2" s="54" t="s">
        <v>923</v>
      </c>
      <c r="O2" s="93" t="s">
        <v>2244</v>
      </c>
      <c r="P2" s="11" t="s">
        <v>2388</v>
      </c>
      <c r="Q2" s="18">
        <f>IF(ISBLANK(A2),"",COUNTBLANK(C2:G2))</f>
        <v>0</v>
      </c>
      <c r="R2" s="49" t="s">
        <v>3119</v>
      </c>
      <c r="S2" s="49">
        <f>IF(R2="#",0,Q2*R2)</f>
        <v>0</v>
      </c>
      <c r="U2" s="49">
        <f>IF(AND(OR(A2="Co",A2="UC"),Q2&gt;0),S2,0)</f>
        <v>0</v>
      </c>
      <c r="V2" s="49">
        <f>IF(AND(OR(A2="Re",A2="MR"),Q2&gt;0),S2,0)</f>
        <v>0</v>
      </c>
    </row>
    <row r="3" spans="1:22" s="49" customFormat="1">
      <c r="A3" s="50" t="s">
        <v>2798</v>
      </c>
      <c r="B3" s="51">
        <v>3</v>
      </c>
      <c r="C3" s="51" t="s">
        <v>2812</v>
      </c>
      <c r="D3" s="51" t="s">
        <v>2812</v>
      </c>
      <c r="E3" s="51" t="s">
        <v>2801</v>
      </c>
      <c r="F3" s="51" t="s">
        <v>2801</v>
      </c>
      <c r="G3" s="51" t="s">
        <v>2801</v>
      </c>
      <c r="H3" s="51" t="s">
        <v>2378</v>
      </c>
      <c r="I3" s="129" t="s">
        <v>2379</v>
      </c>
      <c r="J3" s="129">
        <v>4</v>
      </c>
      <c r="K3" s="129">
        <v>1</v>
      </c>
      <c r="L3" s="51" t="s">
        <v>351</v>
      </c>
      <c r="M3" s="51">
        <v>10</v>
      </c>
      <c r="N3" s="51" t="s">
        <v>1501</v>
      </c>
      <c r="O3" s="92"/>
      <c r="P3" s="52" t="s">
        <v>2380</v>
      </c>
      <c r="Q3" s="18">
        <f t="shared" ref="Q3:Q66" si="0">IF(ISBLANK(A3),"",COUNTBLANK(C3:G3))</f>
        <v>0</v>
      </c>
      <c r="R3" s="49" t="s">
        <v>3119</v>
      </c>
      <c r="S3" s="49">
        <f t="shared" ref="S3:S66" si="1">IF(R3="#",0,Q3*R3)</f>
        <v>0</v>
      </c>
      <c r="U3" s="49">
        <f t="shared" ref="U3:U66" si="2">IF(AND(OR(A3="Co",A3="UC"),Q3&gt;0),S3,0)</f>
        <v>0</v>
      </c>
      <c r="V3" s="49">
        <f t="shared" ref="V3:V66" si="3">IF(AND(OR(A3="Re",A3="MR"),Q3&gt;0),S3,0)</f>
        <v>0</v>
      </c>
    </row>
    <row r="4" spans="1:22" s="49" customFormat="1">
      <c r="A4" s="56" t="s">
        <v>2794</v>
      </c>
      <c r="B4" s="55">
        <v>2</v>
      </c>
      <c r="C4" s="55" t="s">
        <v>2812</v>
      </c>
      <c r="D4" s="55" t="s">
        <v>2812</v>
      </c>
      <c r="E4" s="55" t="s">
        <v>2812</v>
      </c>
      <c r="F4" s="55" t="s">
        <v>2812</v>
      </c>
      <c r="G4" s="55" t="s">
        <v>2801</v>
      </c>
      <c r="H4" s="55" t="s">
        <v>2951</v>
      </c>
      <c r="I4" s="103" t="s">
        <v>983</v>
      </c>
      <c r="J4" s="103">
        <v>5</v>
      </c>
      <c r="K4" s="103">
        <v>1</v>
      </c>
      <c r="L4" s="55" t="s">
        <v>351</v>
      </c>
      <c r="M4" s="55">
        <v>10</v>
      </c>
      <c r="N4" s="55" t="s">
        <v>923</v>
      </c>
      <c r="O4" s="85" t="s">
        <v>1482</v>
      </c>
      <c r="P4" s="57" t="s">
        <v>2291</v>
      </c>
      <c r="Q4" s="18">
        <f t="shared" si="0"/>
        <v>0</v>
      </c>
      <c r="R4" s="49">
        <v>30</v>
      </c>
      <c r="S4" s="49">
        <f t="shared" si="1"/>
        <v>0</v>
      </c>
      <c r="U4" s="49">
        <f t="shared" si="2"/>
        <v>0</v>
      </c>
      <c r="V4" s="49">
        <f t="shared" si="3"/>
        <v>0</v>
      </c>
    </row>
    <row r="5" spans="1:22" s="49" customFormat="1">
      <c r="A5" s="56" t="s">
        <v>2795</v>
      </c>
      <c r="B5" s="55">
        <v>1</v>
      </c>
      <c r="C5" s="55" t="s">
        <v>2812</v>
      </c>
      <c r="D5" s="55" t="s">
        <v>2800</v>
      </c>
      <c r="E5" s="55" t="s">
        <v>2800</v>
      </c>
      <c r="F5" s="55" t="s">
        <v>2800</v>
      </c>
      <c r="G5" s="55" t="s">
        <v>2800</v>
      </c>
      <c r="H5" s="55" t="s">
        <v>2191</v>
      </c>
      <c r="I5" s="103" t="s">
        <v>974</v>
      </c>
      <c r="J5" s="103">
        <v>3</v>
      </c>
      <c r="K5" s="103">
        <v>3</v>
      </c>
      <c r="L5" s="55" t="s">
        <v>351</v>
      </c>
      <c r="M5" s="55">
        <v>10</v>
      </c>
      <c r="N5" s="55" t="s">
        <v>1490</v>
      </c>
      <c r="O5" s="85"/>
      <c r="P5" s="57" t="s">
        <v>2192</v>
      </c>
      <c r="Q5" s="18">
        <f t="shared" si="0"/>
        <v>4</v>
      </c>
      <c r="R5" s="49">
        <v>10</v>
      </c>
      <c r="S5" s="49">
        <f t="shared" si="1"/>
        <v>40</v>
      </c>
      <c r="U5" s="49">
        <f t="shared" si="2"/>
        <v>40</v>
      </c>
      <c r="V5" s="49">
        <f t="shared" si="3"/>
        <v>0</v>
      </c>
    </row>
    <row r="6" spans="1:22" s="49" customFormat="1">
      <c r="A6" s="56" t="s">
        <v>2798</v>
      </c>
      <c r="B6" s="55">
        <v>3</v>
      </c>
      <c r="C6" s="55" t="s">
        <v>2812</v>
      </c>
      <c r="D6" s="55" t="s">
        <v>2812</v>
      </c>
      <c r="E6" s="55" t="s">
        <v>2801</v>
      </c>
      <c r="F6" s="55" t="s">
        <v>2801</v>
      </c>
      <c r="G6" s="55" t="s">
        <v>2801</v>
      </c>
      <c r="H6" s="55" t="s">
        <v>792</v>
      </c>
      <c r="I6" s="103" t="s">
        <v>28</v>
      </c>
      <c r="J6" s="103">
        <v>1</v>
      </c>
      <c r="K6" s="103">
        <v>5</v>
      </c>
      <c r="L6" s="55" t="s">
        <v>351</v>
      </c>
      <c r="M6" s="55">
        <v>10</v>
      </c>
      <c r="N6" s="55" t="s">
        <v>923</v>
      </c>
      <c r="O6" s="85" t="s">
        <v>1415</v>
      </c>
      <c r="P6" s="57" t="s">
        <v>960</v>
      </c>
      <c r="Q6" s="18">
        <f t="shared" si="0"/>
        <v>0</v>
      </c>
      <c r="R6" s="49" t="s">
        <v>3119</v>
      </c>
      <c r="S6" s="49">
        <f t="shared" si="1"/>
        <v>0</v>
      </c>
      <c r="U6" s="49">
        <f t="shared" si="2"/>
        <v>0</v>
      </c>
      <c r="V6" s="49">
        <f t="shared" si="3"/>
        <v>0</v>
      </c>
    </row>
    <row r="7" spans="1:22" s="49" customFormat="1" ht="14.25" thickBot="1">
      <c r="A7" s="53" t="s">
        <v>2795</v>
      </c>
      <c r="B7" s="54">
        <v>1</v>
      </c>
      <c r="C7" s="54"/>
      <c r="D7" s="54" t="s">
        <v>2800</v>
      </c>
      <c r="E7" s="54" t="s">
        <v>2800</v>
      </c>
      <c r="F7" s="54" t="s">
        <v>2800</v>
      </c>
      <c r="G7" s="54" t="s">
        <v>2800</v>
      </c>
      <c r="H7" s="54" t="s">
        <v>2952</v>
      </c>
      <c r="I7" s="126" t="s">
        <v>2230</v>
      </c>
      <c r="J7" s="126">
        <v>8</v>
      </c>
      <c r="K7" s="126">
        <v>5</v>
      </c>
      <c r="L7" s="54" t="s">
        <v>351</v>
      </c>
      <c r="M7" s="54">
        <v>10</v>
      </c>
      <c r="N7" s="54" t="s">
        <v>923</v>
      </c>
      <c r="O7" s="93" t="s">
        <v>2248</v>
      </c>
      <c r="P7" s="11"/>
      <c r="Q7" s="18">
        <f t="shared" si="0"/>
        <v>5</v>
      </c>
      <c r="R7" s="49">
        <v>10</v>
      </c>
      <c r="S7" s="49">
        <f t="shared" si="1"/>
        <v>50</v>
      </c>
      <c r="U7" s="49">
        <f t="shared" si="2"/>
        <v>50</v>
      </c>
      <c r="V7" s="49">
        <f t="shared" si="3"/>
        <v>0</v>
      </c>
    </row>
    <row r="8" spans="1:22" s="49" customFormat="1">
      <c r="A8" s="50" t="s">
        <v>2798</v>
      </c>
      <c r="B8" s="51">
        <v>3</v>
      </c>
      <c r="C8" s="51"/>
      <c r="D8" s="51" t="s">
        <v>2800</v>
      </c>
      <c r="E8" s="51" t="s">
        <v>2801</v>
      </c>
      <c r="F8" s="51" t="s">
        <v>2801</v>
      </c>
      <c r="G8" s="51" t="s">
        <v>2801</v>
      </c>
      <c r="H8" s="51" t="s">
        <v>3120</v>
      </c>
      <c r="I8" s="129" t="s">
        <v>2311</v>
      </c>
      <c r="J8" s="129">
        <v>6</v>
      </c>
      <c r="K8" s="129">
        <v>4</v>
      </c>
      <c r="L8" s="51" t="s">
        <v>359</v>
      </c>
      <c r="M8" s="51">
        <v>11</v>
      </c>
      <c r="N8" s="51" t="s">
        <v>1490</v>
      </c>
      <c r="O8" s="92"/>
      <c r="P8" s="52" t="s">
        <v>2747</v>
      </c>
      <c r="Q8" s="18">
        <f t="shared" si="0"/>
        <v>2</v>
      </c>
      <c r="R8" s="49">
        <v>200</v>
      </c>
      <c r="S8" s="49">
        <f t="shared" si="1"/>
        <v>400</v>
      </c>
      <c r="U8" s="49">
        <f t="shared" si="2"/>
        <v>0</v>
      </c>
      <c r="V8" s="49">
        <f t="shared" si="3"/>
        <v>400</v>
      </c>
    </row>
    <row r="9" spans="1:22" s="49" customFormat="1" ht="14.25" thickBot="1">
      <c r="A9" s="53" t="s">
        <v>2794</v>
      </c>
      <c r="B9" s="54">
        <v>2</v>
      </c>
      <c r="C9" s="54"/>
      <c r="D9" s="54" t="s">
        <v>2800</v>
      </c>
      <c r="E9" s="54" t="s">
        <v>2800</v>
      </c>
      <c r="F9" s="54" t="s">
        <v>2800</v>
      </c>
      <c r="G9" s="54" t="s">
        <v>2801</v>
      </c>
      <c r="H9" s="54" t="s">
        <v>2764</v>
      </c>
      <c r="I9" s="126" t="s">
        <v>1024</v>
      </c>
      <c r="J9" s="126">
        <v>2</v>
      </c>
      <c r="K9" s="126">
        <v>5</v>
      </c>
      <c r="L9" s="54" t="s">
        <v>2947</v>
      </c>
      <c r="M9" s="54">
        <v>11</v>
      </c>
      <c r="N9" s="54" t="s">
        <v>1493</v>
      </c>
      <c r="O9" s="93"/>
      <c r="P9" s="11" t="s">
        <v>2765</v>
      </c>
      <c r="Q9" s="18">
        <f t="shared" si="0"/>
        <v>4</v>
      </c>
      <c r="R9" s="49">
        <v>30</v>
      </c>
      <c r="S9" s="49">
        <f t="shared" si="1"/>
        <v>120</v>
      </c>
      <c r="U9" s="49">
        <f t="shared" si="2"/>
        <v>120</v>
      </c>
      <c r="V9" s="49">
        <f t="shared" si="3"/>
        <v>0</v>
      </c>
    </row>
    <row r="10" spans="1:22" s="49" customFormat="1" ht="14.25" thickBot="1">
      <c r="A10" s="88" t="s">
        <v>2794</v>
      </c>
      <c r="B10" s="89">
        <v>2</v>
      </c>
      <c r="C10" s="89" t="s">
        <v>2812</v>
      </c>
      <c r="D10" s="89" t="s">
        <v>2812</v>
      </c>
      <c r="E10" s="89" t="s">
        <v>2812</v>
      </c>
      <c r="F10" s="89" t="s">
        <v>2812</v>
      </c>
      <c r="G10" s="89" t="s">
        <v>2801</v>
      </c>
      <c r="H10" s="89" t="s">
        <v>2316</v>
      </c>
      <c r="I10" s="135" t="s">
        <v>1012</v>
      </c>
      <c r="J10" s="135">
        <v>2</v>
      </c>
      <c r="K10" s="135">
        <v>4</v>
      </c>
      <c r="L10" s="89" t="s">
        <v>221</v>
      </c>
      <c r="M10" s="89">
        <v>13</v>
      </c>
      <c r="N10" s="89" t="s">
        <v>1501</v>
      </c>
      <c r="O10" s="90"/>
      <c r="P10" s="91" t="s">
        <v>2317</v>
      </c>
      <c r="Q10" s="18">
        <f t="shared" si="0"/>
        <v>0</v>
      </c>
      <c r="R10" s="49">
        <v>30</v>
      </c>
      <c r="S10" s="49">
        <f t="shared" si="1"/>
        <v>0</v>
      </c>
      <c r="U10" s="49">
        <f t="shared" si="2"/>
        <v>0</v>
      </c>
      <c r="V10" s="49">
        <f t="shared" si="3"/>
        <v>0</v>
      </c>
    </row>
    <row r="11" spans="1:22" s="49" customFormat="1">
      <c r="A11" s="50" t="s">
        <v>2795</v>
      </c>
      <c r="B11" s="51">
        <v>1</v>
      </c>
      <c r="C11" s="51" t="s">
        <v>2812</v>
      </c>
      <c r="D11" s="51" t="s">
        <v>2800</v>
      </c>
      <c r="E11" s="51" t="s">
        <v>2800</v>
      </c>
      <c r="F11" s="51" t="s">
        <v>2800</v>
      </c>
      <c r="G11" s="51" t="s">
        <v>2800</v>
      </c>
      <c r="H11" s="51" t="s">
        <v>2193</v>
      </c>
      <c r="I11" s="129" t="s">
        <v>974</v>
      </c>
      <c r="J11" s="129">
        <v>3</v>
      </c>
      <c r="K11" s="129">
        <v>3</v>
      </c>
      <c r="L11" s="51" t="s">
        <v>222</v>
      </c>
      <c r="M11" s="51">
        <v>14</v>
      </c>
      <c r="N11" s="51" t="s">
        <v>1501</v>
      </c>
      <c r="O11" s="92"/>
      <c r="P11" s="52" t="s">
        <v>2194</v>
      </c>
      <c r="Q11" s="18">
        <f t="shared" si="0"/>
        <v>4</v>
      </c>
      <c r="R11" s="49">
        <v>10</v>
      </c>
      <c r="S11" s="49">
        <f t="shared" si="1"/>
        <v>40</v>
      </c>
      <c r="U11" s="49">
        <f t="shared" si="2"/>
        <v>40</v>
      </c>
      <c r="V11" s="49">
        <f t="shared" si="3"/>
        <v>0</v>
      </c>
    </row>
    <row r="12" spans="1:22" s="49" customFormat="1">
      <c r="A12" s="56" t="s">
        <v>2794</v>
      </c>
      <c r="B12" s="55">
        <v>2</v>
      </c>
      <c r="C12" s="55" t="s">
        <v>2812</v>
      </c>
      <c r="D12" s="55" t="s">
        <v>2812</v>
      </c>
      <c r="E12" s="55" t="s">
        <v>2800</v>
      </c>
      <c r="F12" s="55" t="s">
        <v>2800</v>
      </c>
      <c r="G12" s="55" t="s">
        <v>2801</v>
      </c>
      <c r="H12" s="55" t="s">
        <v>2480</v>
      </c>
      <c r="I12" s="103" t="s">
        <v>1012</v>
      </c>
      <c r="J12" s="103">
        <v>2</v>
      </c>
      <c r="K12" s="103">
        <v>4</v>
      </c>
      <c r="L12" s="55" t="s">
        <v>222</v>
      </c>
      <c r="M12" s="55">
        <v>14</v>
      </c>
      <c r="N12" s="55" t="s">
        <v>923</v>
      </c>
      <c r="O12" s="85" t="s">
        <v>1473</v>
      </c>
      <c r="P12" s="57" t="s">
        <v>2482</v>
      </c>
      <c r="Q12" s="18">
        <f t="shared" si="0"/>
        <v>2</v>
      </c>
      <c r="R12" s="49">
        <v>30</v>
      </c>
      <c r="S12" s="49">
        <f t="shared" si="1"/>
        <v>60</v>
      </c>
      <c r="U12" s="49">
        <f t="shared" si="2"/>
        <v>60</v>
      </c>
      <c r="V12" s="49">
        <f t="shared" si="3"/>
        <v>0</v>
      </c>
    </row>
    <row r="13" spans="1:22" s="49" customFormat="1">
      <c r="A13" s="56" t="s">
        <v>2795</v>
      </c>
      <c r="B13" s="55">
        <v>1</v>
      </c>
      <c r="C13" s="55" t="s">
        <v>2812</v>
      </c>
      <c r="D13" s="55" t="s">
        <v>2812</v>
      </c>
      <c r="E13" s="55" t="s">
        <v>2812</v>
      </c>
      <c r="F13" s="55" t="s">
        <v>2812</v>
      </c>
      <c r="G13" s="55" t="s">
        <v>2812</v>
      </c>
      <c r="H13" s="55" t="s">
        <v>801</v>
      </c>
      <c r="I13" s="103" t="s">
        <v>1024</v>
      </c>
      <c r="J13" s="103">
        <v>2</v>
      </c>
      <c r="K13" s="103">
        <v>5</v>
      </c>
      <c r="L13" s="55" t="s">
        <v>222</v>
      </c>
      <c r="M13" s="55">
        <v>14</v>
      </c>
      <c r="N13" s="55" t="s">
        <v>1501</v>
      </c>
      <c r="O13" s="85"/>
      <c r="P13" s="57" t="s">
        <v>2219</v>
      </c>
      <c r="Q13" s="18">
        <f t="shared" si="0"/>
        <v>0</v>
      </c>
      <c r="R13" s="49">
        <v>10</v>
      </c>
      <c r="S13" s="49">
        <f t="shared" si="1"/>
        <v>0</v>
      </c>
      <c r="U13" s="49">
        <f t="shared" si="2"/>
        <v>0</v>
      </c>
      <c r="V13" s="49">
        <f t="shared" si="3"/>
        <v>0</v>
      </c>
    </row>
    <row r="14" spans="1:22" s="49" customFormat="1" ht="14.25" thickBot="1">
      <c r="A14" s="53" t="s">
        <v>2798</v>
      </c>
      <c r="B14" s="54">
        <v>3</v>
      </c>
      <c r="C14" s="54"/>
      <c r="D14" s="54" t="s">
        <v>2800</v>
      </c>
      <c r="E14" s="54" t="s">
        <v>2801</v>
      </c>
      <c r="F14" s="54" t="s">
        <v>2801</v>
      </c>
      <c r="G14" s="54" t="s">
        <v>2801</v>
      </c>
      <c r="H14" s="54" t="s">
        <v>3121</v>
      </c>
      <c r="I14" s="126">
        <v>4</v>
      </c>
      <c r="J14" s="126">
        <v>4</v>
      </c>
      <c r="K14" s="126">
        <v>6</v>
      </c>
      <c r="L14" s="54" t="s">
        <v>222</v>
      </c>
      <c r="M14" s="54">
        <v>14</v>
      </c>
      <c r="N14" s="54" t="s">
        <v>1518</v>
      </c>
      <c r="O14" s="93" t="s">
        <v>1475</v>
      </c>
      <c r="P14" s="11" t="s">
        <v>2782</v>
      </c>
      <c r="Q14" s="18">
        <f t="shared" si="0"/>
        <v>2</v>
      </c>
      <c r="R14" s="49">
        <v>500</v>
      </c>
      <c r="S14" s="49">
        <f t="shared" si="1"/>
        <v>1000</v>
      </c>
      <c r="U14" s="49">
        <f t="shared" si="2"/>
        <v>0</v>
      </c>
      <c r="V14" s="49">
        <f t="shared" si="3"/>
        <v>1000</v>
      </c>
    </row>
    <row r="15" spans="1:22" s="49" customFormat="1">
      <c r="A15" s="50" t="s">
        <v>2795</v>
      </c>
      <c r="B15" s="51">
        <v>1</v>
      </c>
      <c r="C15" s="51" t="s">
        <v>2812</v>
      </c>
      <c r="D15" s="51" t="s">
        <v>2812</v>
      </c>
      <c r="E15" s="51" t="s">
        <v>2812</v>
      </c>
      <c r="F15" s="51" t="s">
        <v>2812</v>
      </c>
      <c r="G15" s="51" t="s">
        <v>2812</v>
      </c>
      <c r="H15" s="51" t="s">
        <v>2277</v>
      </c>
      <c r="I15" s="129" t="s">
        <v>979</v>
      </c>
      <c r="J15" s="129">
        <v>3</v>
      </c>
      <c r="K15" s="129">
        <v>1</v>
      </c>
      <c r="L15" s="51" t="s">
        <v>223</v>
      </c>
      <c r="M15" s="51">
        <v>15</v>
      </c>
      <c r="N15" s="51" t="s">
        <v>1490</v>
      </c>
      <c r="O15" s="92"/>
      <c r="P15" s="52" t="s">
        <v>2278</v>
      </c>
      <c r="Q15" s="18">
        <f t="shared" si="0"/>
        <v>0</v>
      </c>
      <c r="R15" s="49">
        <v>10</v>
      </c>
      <c r="S15" s="49">
        <f t="shared" si="1"/>
        <v>0</v>
      </c>
      <c r="U15" s="49">
        <f t="shared" si="2"/>
        <v>0</v>
      </c>
      <c r="V15" s="49">
        <f t="shared" si="3"/>
        <v>0</v>
      </c>
    </row>
    <row r="16" spans="1:22" s="49" customFormat="1" ht="14.25" thickBot="1">
      <c r="A16" s="53" t="s">
        <v>2798</v>
      </c>
      <c r="B16" s="54">
        <v>3</v>
      </c>
      <c r="C16" s="54" t="s">
        <v>2812</v>
      </c>
      <c r="D16" s="54" t="s">
        <v>2800</v>
      </c>
      <c r="E16" s="54" t="s">
        <v>2801</v>
      </c>
      <c r="F16" s="54" t="s">
        <v>2801</v>
      </c>
      <c r="G16" s="54" t="s">
        <v>2801</v>
      </c>
      <c r="H16" s="54" t="s">
        <v>3122</v>
      </c>
      <c r="I16" s="126"/>
      <c r="J16" s="126">
        <v>0</v>
      </c>
      <c r="K16" s="126">
        <v>7</v>
      </c>
      <c r="L16" s="54" t="s">
        <v>223</v>
      </c>
      <c r="M16" s="54">
        <v>15</v>
      </c>
      <c r="N16" s="54" t="s">
        <v>249</v>
      </c>
      <c r="O16" s="93"/>
      <c r="P16" s="11"/>
      <c r="Q16" s="18">
        <f t="shared" si="0"/>
        <v>1</v>
      </c>
      <c r="R16" s="49">
        <v>257</v>
      </c>
      <c r="S16" s="49">
        <f t="shared" si="1"/>
        <v>257</v>
      </c>
      <c r="U16" s="49">
        <f t="shared" si="2"/>
        <v>0</v>
      </c>
      <c r="V16" s="49">
        <f t="shared" si="3"/>
        <v>257</v>
      </c>
    </row>
    <row r="17" spans="1:22" s="49" customFormat="1" ht="14.25" thickBot="1">
      <c r="A17" s="88" t="s">
        <v>2913</v>
      </c>
      <c r="B17" s="89">
        <v>1</v>
      </c>
      <c r="C17" s="89" t="s">
        <v>2812</v>
      </c>
      <c r="D17" s="89" t="s">
        <v>2812</v>
      </c>
      <c r="E17" s="89" t="s">
        <v>2812</v>
      </c>
      <c r="F17" s="89" t="s">
        <v>2812</v>
      </c>
      <c r="G17" s="89" t="s">
        <v>2812</v>
      </c>
      <c r="H17" s="89" t="s">
        <v>2953</v>
      </c>
      <c r="I17" s="89" t="s">
        <v>1027</v>
      </c>
      <c r="J17" s="89">
        <v>4</v>
      </c>
      <c r="K17" s="135">
        <v>5</v>
      </c>
      <c r="L17" s="89" t="s">
        <v>224</v>
      </c>
      <c r="M17" s="89">
        <v>16</v>
      </c>
      <c r="N17" s="135" t="s">
        <v>1501</v>
      </c>
      <c r="O17" s="90"/>
      <c r="P17" s="91" t="s">
        <v>2872</v>
      </c>
      <c r="Q17" s="18">
        <f t="shared" si="0"/>
        <v>0</v>
      </c>
      <c r="R17" s="49">
        <v>10</v>
      </c>
      <c r="S17" s="49">
        <f t="shared" si="1"/>
        <v>0</v>
      </c>
      <c r="U17" s="49">
        <f t="shared" si="2"/>
        <v>0</v>
      </c>
      <c r="V17" s="49">
        <f t="shared" si="3"/>
        <v>0</v>
      </c>
    </row>
    <row r="18" spans="1:22" s="49" customFormat="1">
      <c r="A18" s="99" t="s">
        <v>2913</v>
      </c>
      <c r="B18" s="60">
        <v>1</v>
      </c>
      <c r="C18" s="60" t="s">
        <v>2812</v>
      </c>
      <c r="D18" s="60" t="s">
        <v>2812</v>
      </c>
      <c r="E18" s="60"/>
      <c r="F18" s="60"/>
      <c r="G18" s="60"/>
      <c r="H18" s="60" t="s">
        <v>2895</v>
      </c>
      <c r="I18" s="60" t="s">
        <v>1184</v>
      </c>
      <c r="J18" s="60">
        <v>6</v>
      </c>
      <c r="K18" s="128">
        <v>1</v>
      </c>
      <c r="L18" s="60" t="s">
        <v>225</v>
      </c>
      <c r="M18" s="60">
        <v>17</v>
      </c>
      <c r="N18" s="128" t="s">
        <v>1501</v>
      </c>
      <c r="O18" s="87"/>
      <c r="P18" s="100" t="s">
        <v>2808</v>
      </c>
      <c r="Q18" s="18">
        <f t="shared" si="0"/>
        <v>3</v>
      </c>
      <c r="R18" s="49">
        <v>10</v>
      </c>
      <c r="S18" s="49">
        <f t="shared" si="1"/>
        <v>30</v>
      </c>
      <c r="U18" s="49">
        <f t="shared" si="2"/>
        <v>30</v>
      </c>
      <c r="V18" s="49">
        <f t="shared" si="3"/>
        <v>0</v>
      </c>
    </row>
    <row r="19" spans="1:22" s="49" customFormat="1">
      <c r="A19" s="56" t="s">
        <v>2795</v>
      </c>
      <c r="B19" s="55">
        <v>1</v>
      </c>
      <c r="C19" s="55" t="s">
        <v>2812</v>
      </c>
      <c r="D19" s="55" t="s">
        <v>2812</v>
      </c>
      <c r="E19" s="55" t="s">
        <v>2800</v>
      </c>
      <c r="F19" s="55" t="s">
        <v>2800</v>
      </c>
      <c r="G19" s="55" t="s">
        <v>2800</v>
      </c>
      <c r="H19" s="55" t="s">
        <v>2126</v>
      </c>
      <c r="I19" s="103" t="s">
        <v>2180</v>
      </c>
      <c r="J19" s="103">
        <v>6</v>
      </c>
      <c r="K19" s="103">
        <v>2</v>
      </c>
      <c r="L19" s="55" t="s">
        <v>225</v>
      </c>
      <c r="M19" s="55">
        <v>17</v>
      </c>
      <c r="N19" s="55" t="s">
        <v>923</v>
      </c>
      <c r="O19" s="85" t="s">
        <v>2244</v>
      </c>
      <c r="P19" s="57" t="s">
        <v>2181</v>
      </c>
      <c r="Q19" s="18">
        <f t="shared" si="0"/>
        <v>3</v>
      </c>
      <c r="R19" s="49">
        <v>10</v>
      </c>
      <c r="S19" s="49">
        <f t="shared" si="1"/>
        <v>30</v>
      </c>
      <c r="U19" s="49">
        <f t="shared" si="2"/>
        <v>30</v>
      </c>
      <c r="V19" s="49">
        <f t="shared" si="3"/>
        <v>0</v>
      </c>
    </row>
    <row r="20" spans="1:22" s="49" customFormat="1">
      <c r="A20" s="56" t="s">
        <v>2795</v>
      </c>
      <c r="B20" s="55">
        <v>1</v>
      </c>
      <c r="C20" s="55" t="s">
        <v>2812</v>
      </c>
      <c r="D20" s="55" t="s">
        <v>2812</v>
      </c>
      <c r="E20" s="55" t="s">
        <v>2800</v>
      </c>
      <c r="F20" s="55" t="s">
        <v>2800</v>
      </c>
      <c r="G20" s="55" t="s">
        <v>2800</v>
      </c>
      <c r="H20" s="55" t="s">
        <v>2213</v>
      </c>
      <c r="I20" s="103" t="s">
        <v>1189</v>
      </c>
      <c r="J20" s="103">
        <v>5</v>
      </c>
      <c r="K20" s="103">
        <v>4</v>
      </c>
      <c r="L20" s="55" t="s">
        <v>225</v>
      </c>
      <c r="M20" s="55">
        <v>17</v>
      </c>
      <c r="N20" s="55" t="s">
        <v>1501</v>
      </c>
      <c r="O20" s="85"/>
      <c r="P20" s="57" t="s">
        <v>2214</v>
      </c>
      <c r="Q20" s="18">
        <f t="shared" si="0"/>
        <v>3</v>
      </c>
      <c r="R20" s="49">
        <v>10</v>
      </c>
      <c r="S20" s="49">
        <f t="shared" si="1"/>
        <v>30</v>
      </c>
      <c r="U20" s="49">
        <f t="shared" si="2"/>
        <v>30</v>
      </c>
      <c r="V20" s="49">
        <f t="shared" si="3"/>
        <v>0</v>
      </c>
    </row>
    <row r="21" spans="1:22" s="49" customFormat="1">
      <c r="A21" s="56" t="s">
        <v>2795</v>
      </c>
      <c r="B21" s="55">
        <v>1</v>
      </c>
      <c r="C21" s="55" t="s">
        <v>2812</v>
      </c>
      <c r="D21" s="55" t="s">
        <v>2812</v>
      </c>
      <c r="E21" s="55" t="s">
        <v>2800</v>
      </c>
      <c r="F21" s="55" t="s">
        <v>2800</v>
      </c>
      <c r="G21" s="55" t="s">
        <v>2800</v>
      </c>
      <c r="H21" s="55" t="s">
        <v>2107</v>
      </c>
      <c r="I21" s="103" t="s">
        <v>2215</v>
      </c>
      <c r="J21" s="103">
        <v>6</v>
      </c>
      <c r="K21" s="103">
        <v>4</v>
      </c>
      <c r="L21" s="55" t="s">
        <v>225</v>
      </c>
      <c r="M21" s="55">
        <v>17</v>
      </c>
      <c r="N21" s="55" t="s">
        <v>923</v>
      </c>
      <c r="O21" s="85" t="s">
        <v>2246</v>
      </c>
      <c r="P21" s="57" t="s">
        <v>2216</v>
      </c>
      <c r="Q21" s="18">
        <f t="shared" si="0"/>
        <v>3</v>
      </c>
      <c r="R21" s="49">
        <v>10</v>
      </c>
      <c r="S21" s="49">
        <f t="shared" si="1"/>
        <v>30</v>
      </c>
      <c r="U21" s="49">
        <f t="shared" si="2"/>
        <v>30</v>
      </c>
      <c r="V21" s="49">
        <f t="shared" si="3"/>
        <v>0</v>
      </c>
    </row>
    <row r="22" spans="1:22" s="49" customFormat="1">
      <c r="A22" s="56" t="s">
        <v>2913</v>
      </c>
      <c r="B22" s="55">
        <v>1</v>
      </c>
      <c r="C22" s="55" t="s">
        <v>2812</v>
      </c>
      <c r="D22" s="55" t="s">
        <v>2812</v>
      </c>
      <c r="E22" s="55" t="s">
        <v>2812</v>
      </c>
      <c r="F22" s="55" t="s">
        <v>2812</v>
      </c>
      <c r="G22" s="55" t="s">
        <v>2812</v>
      </c>
      <c r="H22" s="55" t="s">
        <v>2873</v>
      </c>
      <c r="I22" s="55" t="s">
        <v>1026</v>
      </c>
      <c r="J22" s="55">
        <v>3</v>
      </c>
      <c r="K22" s="103">
        <v>5</v>
      </c>
      <c r="L22" s="55" t="s">
        <v>225</v>
      </c>
      <c r="M22" s="55">
        <v>17</v>
      </c>
      <c r="N22" s="103" t="s">
        <v>1493</v>
      </c>
      <c r="O22" s="85"/>
      <c r="P22" s="57" t="s">
        <v>2875</v>
      </c>
      <c r="Q22" s="18">
        <f t="shared" si="0"/>
        <v>0</v>
      </c>
      <c r="R22" s="49">
        <v>10</v>
      </c>
      <c r="S22" s="49">
        <f t="shared" si="1"/>
        <v>0</v>
      </c>
      <c r="U22" s="49">
        <f t="shared" si="2"/>
        <v>0</v>
      </c>
      <c r="V22" s="49">
        <f t="shared" si="3"/>
        <v>0</v>
      </c>
    </row>
    <row r="23" spans="1:22" s="49" customFormat="1">
      <c r="A23" s="56" t="s">
        <v>2795</v>
      </c>
      <c r="B23" s="55">
        <v>1</v>
      </c>
      <c r="C23" s="55" t="s">
        <v>2812</v>
      </c>
      <c r="D23" s="55" t="s">
        <v>2812</v>
      </c>
      <c r="E23" s="55" t="s">
        <v>2800</v>
      </c>
      <c r="F23" s="55" t="s">
        <v>2800</v>
      </c>
      <c r="G23" s="55" t="s">
        <v>2800</v>
      </c>
      <c r="H23" s="55" t="s">
        <v>2954</v>
      </c>
      <c r="I23" s="103">
        <v>6</v>
      </c>
      <c r="J23" s="103">
        <v>6</v>
      </c>
      <c r="K23" s="103">
        <v>6</v>
      </c>
      <c r="L23" s="55" t="s">
        <v>225</v>
      </c>
      <c r="M23" s="55">
        <v>17</v>
      </c>
      <c r="N23" s="55" t="s">
        <v>1518</v>
      </c>
      <c r="O23" s="85" t="s">
        <v>1482</v>
      </c>
      <c r="P23" s="57" t="s">
        <v>2467</v>
      </c>
      <c r="Q23" s="18">
        <f t="shared" si="0"/>
        <v>3</v>
      </c>
      <c r="R23" s="49">
        <v>10</v>
      </c>
      <c r="S23" s="49">
        <f t="shared" si="1"/>
        <v>30</v>
      </c>
      <c r="U23" s="49">
        <f t="shared" si="2"/>
        <v>30</v>
      </c>
      <c r="V23" s="49">
        <f t="shared" si="3"/>
        <v>0</v>
      </c>
    </row>
    <row r="24" spans="1:22" s="49" customFormat="1" ht="14.25" thickBot="1">
      <c r="A24" s="53" t="s">
        <v>2798</v>
      </c>
      <c r="B24" s="54">
        <v>3</v>
      </c>
      <c r="C24" s="54"/>
      <c r="D24" s="54" t="s">
        <v>2800</v>
      </c>
      <c r="E24" s="54" t="s">
        <v>2801</v>
      </c>
      <c r="F24" s="54" t="s">
        <v>2801</v>
      </c>
      <c r="G24" s="54" t="s">
        <v>2801</v>
      </c>
      <c r="H24" s="54" t="s">
        <v>3123</v>
      </c>
      <c r="I24" s="126"/>
      <c r="J24" s="126">
        <v>0</v>
      </c>
      <c r="K24" s="126">
        <v>7</v>
      </c>
      <c r="L24" s="54" t="s">
        <v>225</v>
      </c>
      <c r="M24" s="54">
        <v>17</v>
      </c>
      <c r="N24" s="54" t="s">
        <v>249</v>
      </c>
      <c r="O24" s="93"/>
      <c r="P24" s="11" t="s">
        <v>2404</v>
      </c>
      <c r="Q24" s="18">
        <f t="shared" si="0"/>
        <v>2</v>
      </c>
      <c r="R24" s="49">
        <v>569</v>
      </c>
      <c r="S24" s="49">
        <f t="shared" si="1"/>
        <v>1138</v>
      </c>
      <c r="U24" s="49">
        <f t="shared" si="2"/>
        <v>0</v>
      </c>
      <c r="V24" s="49">
        <f t="shared" si="3"/>
        <v>1138</v>
      </c>
    </row>
    <row r="25" spans="1:22" s="49" customFormat="1">
      <c r="A25" s="142"/>
      <c r="B25" s="143"/>
      <c r="C25" s="143"/>
      <c r="D25" s="143"/>
      <c r="E25" s="143"/>
      <c r="F25" s="143"/>
      <c r="G25" s="144"/>
      <c r="H25" s="145" t="s">
        <v>2955</v>
      </c>
      <c r="I25" s="146" t="s">
        <v>2099</v>
      </c>
      <c r="J25" s="146"/>
      <c r="K25" s="146"/>
      <c r="L25" s="147" t="s">
        <v>2098</v>
      </c>
      <c r="M25" s="147"/>
      <c r="N25" s="147" t="s">
        <v>2094</v>
      </c>
      <c r="O25" s="148" t="s">
        <v>2101</v>
      </c>
      <c r="P25" s="149" t="s">
        <v>2102</v>
      </c>
      <c r="Q25" s="18" t="str">
        <f t="shared" si="0"/>
        <v/>
      </c>
      <c r="R25" s="49" t="s">
        <v>3119</v>
      </c>
      <c r="S25" s="49">
        <f t="shared" si="1"/>
        <v>0</v>
      </c>
      <c r="T25" s="49">
        <f>SUM(S25:S37)</f>
        <v>80</v>
      </c>
      <c r="U25" s="49">
        <f t="shared" si="2"/>
        <v>0</v>
      </c>
      <c r="V25" s="49">
        <f t="shared" si="3"/>
        <v>0</v>
      </c>
    </row>
    <row r="26" spans="1:22" s="49" customFormat="1">
      <c r="A26" s="60" t="s">
        <v>2794</v>
      </c>
      <c r="B26" s="60">
        <v>2</v>
      </c>
      <c r="C26" s="60" t="s">
        <v>2812</v>
      </c>
      <c r="D26" s="60" t="s">
        <v>2812</v>
      </c>
      <c r="E26" s="60" t="s">
        <v>2800</v>
      </c>
      <c r="F26" s="60" t="s">
        <v>2800</v>
      </c>
      <c r="G26" s="60" t="s">
        <v>2801</v>
      </c>
      <c r="H26" s="55" t="s">
        <v>2755</v>
      </c>
      <c r="I26" s="103" t="s">
        <v>2756</v>
      </c>
      <c r="J26" s="103">
        <v>1</v>
      </c>
      <c r="K26" s="103">
        <v>2</v>
      </c>
      <c r="L26" s="55" t="s">
        <v>377</v>
      </c>
      <c r="M26" s="55">
        <v>18</v>
      </c>
      <c r="N26" s="55" t="s">
        <v>1490</v>
      </c>
      <c r="O26" s="85"/>
      <c r="P26" s="55" t="s">
        <v>2757</v>
      </c>
      <c r="Q26" s="18">
        <f t="shared" si="0"/>
        <v>2</v>
      </c>
      <c r="R26" s="49">
        <v>30</v>
      </c>
      <c r="S26" s="49">
        <f t="shared" si="1"/>
        <v>60</v>
      </c>
      <c r="U26" s="49">
        <f t="shared" si="2"/>
        <v>60</v>
      </c>
      <c r="V26" s="49">
        <f t="shared" si="3"/>
        <v>0</v>
      </c>
    </row>
    <row r="27" spans="1:22" s="49" customFormat="1">
      <c r="A27" s="55" t="s">
        <v>2795</v>
      </c>
      <c r="B27" s="55">
        <v>1</v>
      </c>
      <c r="C27" s="55" t="s">
        <v>2812</v>
      </c>
      <c r="D27" s="55" t="s">
        <v>2812</v>
      </c>
      <c r="E27" s="55" t="s">
        <v>2812</v>
      </c>
      <c r="F27" s="55" t="s">
        <v>2812</v>
      </c>
      <c r="G27" s="55" t="s">
        <v>2812</v>
      </c>
      <c r="H27" s="55" t="s">
        <v>2159</v>
      </c>
      <c r="I27" s="103" t="s">
        <v>2154</v>
      </c>
      <c r="J27" s="103">
        <v>2</v>
      </c>
      <c r="K27" s="103">
        <v>2</v>
      </c>
      <c r="L27" s="55" t="s">
        <v>377</v>
      </c>
      <c r="M27" s="55">
        <v>18</v>
      </c>
      <c r="N27" s="55" t="s">
        <v>1490</v>
      </c>
      <c r="O27" s="85"/>
      <c r="P27" s="55" t="s">
        <v>2160</v>
      </c>
      <c r="Q27" s="18">
        <f t="shared" si="0"/>
        <v>0</v>
      </c>
      <c r="R27" s="49">
        <v>10</v>
      </c>
      <c r="S27" s="49">
        <f t="shared" si="1"/>
        <v>0</v>
      </c>
      <c r="U27" s="49">
        <f t="shared" si="2"/>
        <v>0</v>
      </c>
      <c r="V27" s="49">
        <f t="shared" si="3"/>
        <v>0</v>
      </c>
    </row>
    <row r="28" spans="1:22" s="49" customFormat="1">
      <c r="A28" s="55" t="s">
        <v>2798</v>
      </c>
      <c r="B28" s="55">
        <v>3</v>
      </c>
      <c r="C28" s="55" t="s">
        <v>2812</v>
      </c>
      <c r="D28" s="55" t="s">
        <v>2812</v>
      </c>
      <c r="E28" s="55" t="s">
        <v>2801</v>
      </c>
      <c r="F28" s="55" t="s">
        <v>2801</v>
      </c>
      <c r="G28" s="55" t="s">
        <v>2801</v>
      </c>
      <c r="H28" s="55" t="s">
        <v>2771</v>
      </c>
      <c r="I28" s="103" t="s">
        <v>2162</v>
      </c>
      <c r="J28" s="103">
        <v>2</v>
      </c>
      <c r="K28" s="103">
        <v>2</v>
      </c>
      <c r="L28" s="55" t="s">
        <v>377</v>
      </c>
      <c r="M28" s="55">
        <v>18</v>
      </c>
      <c r="N28" s="55" t="s">
        <v>923</v>
      </c>
      <c r="O28" s="85" t="s">
        <v>1475</v>
      </c>
      <c r="P28" s="55" t="s">
        <v>2673</v>
      </c>
      <c r="Q28" s="18">
        <f t="shared" si="0"/>
        <v>0</v>
      </c>
      <c r="R28" s="49" t="s">
        <v>3119</v>
      </c>
      <c r="S28" s="49">
        <f t="shared" si="1"/>
        <v>0</v>
      </c>
      <c r="U28" s="49">
        <f t="shared" si="2"/>
        <v>0</v>
      </c>
      <c r="V28" s="49">
        <f t="shared" si="3"/>
        <v>0</v>
      </c>
    </row>
    <row r="29" spans="1:22" s="49" customFormat="1">
      <c r="A29" s="55" t="s">
        <v>2798</v>
      </c>
      <c r="B29" s="55">
        <v>3</v>
      </c>
      <c r="C29" s="55" t="s">
        <v>2812</v>
      </c>
      <c r="D29" s="55" t="s">
        <v>2812</v>
      </c>
      <c r="E29" s="55" t="s">
        <v>2801</v>
      </c>
      <c r="F29" s="55" t="s">
        <v>2801</v>
      </c>
      <c r="G29" s="55" t="s">
        <v>2801</v>
      </c>
      <c r="H29" s="55" t="s">
        <v>2644</v>
      </c>
      <c r="I29" s="103" t="s">
        <v>2772</v>
      </c>
      <c r="J29" s="103">
        <v>2</v>
      </c>
      <c r="K29" s="103">
        <v>2</v>
      </c>
      <c r="L29" s="55" t="s">
        <v>377</v>
      </c>
      <c r="M29" s="55">
        <v>18</v>
      </c>
      <c r="N29" s="55" t="s">
        <v>1501</v>
      </c>
      <c r="O29" s="85"/>
      <c r="P29" s="55" t="s">
        <v>2647</v>
      </c>
      <c r="Q29" s="18">
        <f t="shared" si="0"/>
        <v>0</v>
      </c>
      <c r="R29" s="49" t="s">
        <v>3119</v>
      </c>
      <c r="S29" s="49">
        <f t="shared" si="1"/>
        <v>0</v>
      </c>
      <c r="U29" s="49">
        <f t="shared" si="2"/>
        <v>0</v>
      </c>
      <c r="V29" s="49">
        <f t="shared" si="3"/>
        <v>0</v>
      </c>
    </row>
    <row r="30" spans="1:22" s="49" customFormat="1">
      <c r="A30" s="55" t="s">
        <v>2795</v>
      </c>
      <c r="B30" s="55">
        <v>1</v>
      </c>
      <c r="C30" s="55" t="s">
        <v>2812</v>
      </c>
      <c r="D30" s="55" t="s">
        <v>2812</v>
      </c>
      <c r="E30" s="55" t="s">
        <v>2812</v>
      </c>
      <c r="F30" s="55" t="s">
        <v>2800</v>
      </c>
      <c r="G30" s="55" t="s">
        <v>2800</v>
      </c>
      <c r="H30" s="55" t="s">
        <v>2166</v>
      </c>
      <c r="I30" s="103" t="s">
        <v>996</v>
      </c>
      <c r="J30" s="103">
        <v>3</v>
      </c>
      <c r="K30" s="103">
        <v>2</v>
      </c>
      <c r="L30" s="55" t="s">
        <v>377</v>
      </c>
      <c r="M30" s="55">
        <v>18</v>
      </c>
      <c r="N30" s="55" t="s">
        <v>1490</v>
      </c>
      <c r="O30" s="85"/>
      <c r="P30" s="55" t="s">
        <v>2167</v>
      </c>
      <c r="Q30" s="18">
        <f t="shared" si="0"/>
        <v>2</v>
      </c>
      <c r="R30" s="49">
        <v>10</v>
      </c>
      <c r="S30" s="49">
        <f t="shared" si="1"/>
        <v>20</v>
      </c>
      <c r="U30" s="49">
        <f t="shared" si="2"/>
        <v>20</v>
      </c>
      <c r="V30" s="49">
        <f t="shared" si="3"/>
        <v>0</v>
      </c>
    </row>
    <row r="31" spans="1:22" s="49" customFormat="1">
      <c r="A31" s="55" t="s">
        <v>2913</v>
      </c>
      <c r="B31" s="55">
        <v>1</v>
      </c>
      <c r="C31" s="55" t="s">
        <v>2812</v>
      </c>
      <c r="D31" s="55" t="s">
        <v>2812</v>
      </c>
      <c r="E31" s="55" t="s">
        <v>2812</v>
      </c>
      <c r="F31" s="55" t="s">
        <v>2812</v>
      </c>
      <c r="G31" s="55" t="s">
        <v>2812</v>
      </c>
      <c r="H31" s="55" t="s">
        <v>2816</v>
      </c>
      <c r="I31" s="55" t="s">
        <v>1000</v>
      </c>
      <c r="J31" s="55">
        <v>4</v>
      </c>
      <c r="K31" s="103">
        <v>2</v>
      </c>
      <c r="L31" s="55" t="s">
        <v>377</v>
      </c>
      <c r="M31" s="55">
        <v>18</v>
      </c>
      <c r="N31" s="103" t="s">
        <v>923</v>
      </c>
      <c r="O31" s="85" t="s">
        <v>1475</v>
      </c>
      <c r="P31" s="55" t="s">
        <v>2820</v>
      </c>
      <c r="Q31" s="18">
        <f t="shared" si="0"/>
        <v>0</v>
      </c>
      <c r="R31" s="49">
        <v>10</v>
      </c>
      <c r="S31" s="49">
        <f t="shared" si="1"/>
        <v>0</v>
      </c>
      <c r="U31" s="49">
        <f t="shared" si="2"/>
        <v>0</v>
      </c>
      <c r="V31" s="49">
        <f t="shared" si="3"/>
        <v>0</v>
      </c>
    </row>
    <row r="32" spans="1:22" s="49" customFormat="1">
      <c r="A32" s="55" t="s">
        <v>2795</v>
      </c>
      <c r="B32" s="55">
        <v>1</v>
      </c>
      <c r="C32" s="55" t="s">
        <v>2812</v>
      </c>
      <c r="D32" s="55" t="s">
        <v>2812</v>
      </c>
      <c r="E32" s="55" t="s">
        <v>2812</v>
      </c>
      <c r="F32" s="55" t="s">
        <v>2812</v>
      </c>
      <c r="G32" s="55" t="s">
        <v>2812</v>
      </c>
      <c r="H32" s="55" t="s">
        <v>2195</v>
      </c>
      <c r="I32" s="103" t="s">
        <v>974</v>
      </c>
      <c r="J32" s="103">
        <v>3</v>
      </c>
      <c r="K32" s="103">
        <v>3</v>
      </c>
      <c r="L32" s="55" t="s">
        <v>377</v>
      </c>
      <c r="M32" s="55">
        <v>18</v>
      </c>
      <c r="N32" s="55" t="s">
        <v>1501</v>
      </c>
      <c r="O32" s="85"/>
      <c r="P32" s="55" t="s">
        <v>2196</v>
      </c>
      <c r="Q32" s="18">
        <f t="shared" si="0"/>
        <v>0</v>
      </c>
      <c r="R32" s="49">
        <v>10</v>
      </c>
      <c r="S32" s="49">
        <f t="shared" si="1"/>
        <v>0</v>
      </c>
      <c r="U32" s="49">
        <f t="shared" si="2"/>
        <v>0</v>
      </c>
      <c r="V32" s="49">
        <f t="shared" si="3"/>
        <v>0</v>
      </c>
    </row>
    <row r="33" spans="1:22" s="49" customFormat="1">
      <c r="A33" s="55" t="s">
        <v>2795</v>
      </c>
      <c r="B33" s="55">
        <v>1</v>
      </c>
      <c r="C33" s="55" t="s">
        <v>2812</v>
      </c>
      <c r="D33" s="55" t="s">
        <v>2812</v>
      </c>
      <c r="E33" s="55" t="s">
        <v>2812</v>
      </c>
      <c r="F33" s="55" t="s">
        <v>2812</v>
      </c>
      <c r="G33" s="55" t="s">
        <v>2812</v>
      </c>
      <c r="H33" s="55" t="s">
        <v>2956</v>
      </c>
      <c r="I33" s="103" t="s">
        <v>1014</v>
      </c>
      <c r="J33" s="103">
        <v>3</v>
      </c>
      <c r="K33" s="103">
        <v>4</v>
      </c>
      <c r="L33" s="55" t="s">
        <v>377</v>
      </c>
      <c r="M33" s="55">
        <v>18</v>
      </c>
      <c r="N33" s="55" t="s">
        <v>923</v>
      </c>
      <c r="O33" s="85" t="s">
        <v>1475</v>
      </c>
      <c r="P33" s="55" t="s">
        <v>2208</v>
      </c>
      <c r="Q33" s="18">
        <f t="shared" si="0"/>
        <v>0</v>
      </c>
      <c r="R33" s="49">
        <v>10</v>
      </c>
      <c r="S33" s="49">
        <f t="shared" si="1"/>
        <v>0</v>
      </c>
      <c r="U33" s="49">
        <f t="shared" si="2"/>
        <v>0</v>
      </c>
      <c r="V33" s="49">
        <f t="shared" si="3"/>
        <v>0</v>
      </c>
    </row>
    <row r="34" spans="1:22" s="49" customFormat="1">
      <c r="A34" s="55" t="s">
        <v>2795</v>
      </c>
      <c r="B34" s="55">
        <v>1</v>
      </c>
      <c r="C34" s="55" t="s">
        <v>2812</v>
      </c>
      <c r="D34" s="55" t="s">
        <v>2812</v>
      </c>
      <c r="E34" s="55" t="s">
        <v>2812</v>
      </c>
      <c r="F34" s="55" t="s">
        <v>2812</v>
      </c>
      <c r="G34" s="55" t="s">
        <v>2812</v>
      </c>
      <c r="H34" s="55" t="s">
        <v>2222</v>
      </c>
      <c r="I34" s="103" t="s">
        <v>1024</v>
      </c>
      <c r="J34" s="103">
        <v>2</v>
      </c>
      <c r="K34" s="103">
        <v>5</v>
      </c>
      <c r="L34" s="55" t="s">
        <v>377</v>
      </c>
      <c r="M34" s="55">
        <v>18</v>
      </c>
      <c r="N34" s="55" t="s">
        <v>1493</v>
      </c>
      <c r="O34" s="85"/>
      <c r="P34" s="55" t="s">
        <v>2223</v>
      </c>
      <c r="Q34" s="18">
        <f t="shared" si="0"/>
        <v>0</v>
      </c>
      <c r="R34" s="49">
        <v>10</v>
      </c>
      <c r="S34" s="49">
        <f t="shared" si="1"/>
        <v>0</v>
      </c>
      <c r="U34" s="49">
        <f t="shared" si="2"/>
        <v>0</v>
      </c>
      <c r="V34" s="49">
        <f t="shared" si="3"/>
        <v>0</v>
      </c>
    </row>
    <row r="35" spans="1:22" s="49" customFormat="1">
      <c r="A35" s="55" t="s">
        <v>2798</v>
      </c>
      <c r="B35" s="55">
        <v>3</v>
      </c>
      <c r="C35" s="55" t="s">
        <v>2812</v>
      </c>
      <c r="D35" s="55" t="s">
        <v>2812</v>
      </c>
      <c r="E35" s="55" t="s">
        <v>2801</v>
      </c>
      <c r="F35" s="55" t="s">
        <v>2801</v>
      </c>
      <c r="G35" s="55" t="s">
        <v>2801</v>
      </c>
      <c r="H35" s="55" t="s">
        <v>2781</v>
      </c>
      <c r="I35" s="103">
        <v>2</v>
      </c>
      <c r="J35" s="103">
        <v>2</v>
      </c>
      <c r="K35" s="103">
        <v>6</v>
      </c>
      <c r="L35" s="55" t="s">
        <v>377</v>
      </c>
      <c r="M35" s="55">
        <v>18</v>
      </c>
      <c r="N35" s="55" t="s">
        <v>2237</v>
      </c>
      <c r="O35" s="85"/>
      <c r="P35" s="55" t="s">
        <v>2716</v>
      </c>
      <c r="Q35" s="18">
        <f t="shared" si="0"/>
        <v>0</v>
      </c>
      <c r="R35" s="49" t="s">
        <v>3119</v>
      </c>
      <c r="S35" s="49">
        <f t="shared" si="1"/>
        <v>0</v>
      </c>
      <c r="U35" s="49">
        <f t="shared" si="2"/>
        <v>0</v>
      </c>
      <c r="V35" s="49">
        <f t="shared" si="3"/>
        <v>0</v>
      </c>
    </row>
    <row r="36" spans="1:22" s="49" customFormat="1">
      <c r="A36" s="55" t="s">
        <v>2794</v>
      </c>
      <c r="B36" s="55">
        <v>2</v>
      </c>
      <c r="C36" s="55" t="s">
        <v>2812</v>
      </c>
      <c r="D36" s="55" t="s">
        <v>2812</v>
      </c>
      <c r="E36" s="55" t="s">
        <v>2812</v>
      </c>
      <c r="F36" s="55" t="s">
        <v>2812</v>
      </c>
      <c r="G36" s="55" t="s">
        <v>2801</v>
      </c>
      <c r="H36" s="55" t="s">
        <v>206</v>
      </c>
      <c r="I36" s="103">
        <v>5</v>
      </c>
      <c r="J36" s="103">
        <v>5</v>
      </c>
      <c r="K36" s="103">
        <v>6</v>
      </c>
      <c r="L36" s="55" t="s">
        <v>377</v>
      </c>
      <c r="M36" s="55">
        <v>18</v>
      </c>
      <c r="N36" s="55" t="s">
        <v>2237</v>
      </c>
      <c r="O36" s="85"/>
      <c r="P36" s="55" t="s">
        <v>2495</v>
      </c>
      <c r="Q36" s="18">
        <f t="shared" si="0"/>
        <v>0</v>
      </c>
      <c r="R36" s="49">
        <v>30</v>
      </c>
      <c r="S36" s="49">
        <f t="shared" si="1"/>
        <v>0</v>
      </c>
      <c r="U36" s="49">
        <f t="shared" si="2"/>
        <v>0</v>
      </c>
      <c r="V36" s="49">
        <f t="shared" si="3"/>
        <v>0</v>
      </c>
    </row>
    <row r="37" spans="1:22" s="49" customFormat="1" ht="14.25" thickBot="1">
      <c r="A37" s="40" t="s">
        <v>2799</v>
      </c>
      <c r="B37" s="40">
        <v>4</v>
      </c>
      <c r="C37" s="40" t="s">
        <v>2812</v>
      </c>
      <c r="D37" s="40" t="s">
        <v>2801</v>
      </c>
      <c r="E37" s="40" t="s">
        <v>2801</v>
      </c>
      <c r="F37" s="40" t="s">
        <v>2801</v>
      </c>
      <c r="G37" s="40" t="s">
        <v>2801</v>
      </c>
      <c r="H37" s="40" t="s">
        <v>2957</v>
      </c>
      <c r="I37" s="127">
        <v>5</v>
      </c>
      <c r="J37" s="127">
        <v>5</v>
      </c>
      <c r="K37" s="127">
        <v>6</v>
      </c>
      <c r="L37" s="40" t="s">
        <v>377</v>
      </c>
      <c r="M37" s="40">
        <v>18</v>
      </c>
      <c r="N37" s="40" t="s">
        <v>2237</v>
      </c>
      <c r="O37" s="116"/>
      <c r="P37" s="40"/>
      <c r="Q37" s="18">
        <f t="shared" si="0"/>
        <v>0</v>
      </c>
      <c r="R37" s="49" t="s">
        <v>3119</v>
      </c>
      <c r="S37" s="49">
        <f t="shared" si="1"/>
        <v>0</v>
      </c>
      <c r="U37" s="49">
        <f t="shared" si="2"/>
        <v>0</v>
      </c>
      <c r="V37" s="49">
        <f t="shared" si="3"/>
        <v>0</v>
      </c>
    </row>
    <row r="38" spans="1:22" s="49" customFormat="1">
      <c r="A38" s="150"/>
      <c r="B38" s="151"/>
      <c r="C38" s="151"/>
      <c r="D38" s="151"/>
      <c r="E38" s="151"/>
      <c r="F38" s="151"/>
      <c r="G38" s="152"/>
      <c r="H38" s="137" t="s">
        <v>2955</v>
      </c>
      <c r="I38" s="139" t="s">
        <v>2099</v>
      </c>
      <c r="J38" s="139"/>
      <c r="K38" s="139"/>
      <c r="L38" s="138" t="s">
        <v>2098</v>
      </c>
      <c r="M38" s="138"/>
      <c r="N38" s="138" t="s">
        <v>2094</v>
      </c>
      <c r="O38" s="140" t="s">
        <v>2101</v>
      </c>
      <c r="P38" s="141" t="s">
        <v>2102</v>
      </c>
      <c r="Q38" s="18" t="str">
        <f t="shared" si="0"/>
        <v/>
      </c>
      <c r="R38" s="49" t="s">
        <v>3119</v>
      </c>
      <c r="S38" s="49">
        <f t="shared" si="1"/>
        <v>0</v>
      </c>
      <c r="T38" s="49">
        <f>SUM(S38:S41)</f>
        <v>290</v>
      </c>
      <c r="U38" s="49">
        <f t="shared" si="2"/>
        <v>0</v>
      </c>
      <c r="V38" s="49">
        <f t="shared" si="3"/>
        <v>0</v>
      </c>
    </row>
    <row r="39" spans="1:22" s="49" customFormat="1" ht="14.25" thickBot="1">
      <c r="A39" s="53" t="s">
        <v>2794</v>
      </c>
      <c r="B39" s="54">
        <v>2</v>
      </c>
      <c r="C39" s="54"/>
      <c r="D39" s="54" t="s">
        <v>2800</v>
      </c>
      <c r="E39" s="54" t="s">
        <v>2800</v>
      </c>
      <c r="F39" s="54" t="s">
        <v>2800</v>
      </c>
      <c r="G39" s="54" t="s">
        <v>2801</v>
      </c>
      <c r="H39" s="54" t="s">
        <v>2318</v>
      </c>
      <c r="I39" s="126" t="s">
        <v>1016</v>
      </c>
      <c r="J39" s="126">
        <v>4</v>
      </c>
      <c r="K39" s="126">
        <v>4</v>
      </c>
      <c r="L39" s="54" t="s">
        <v>344</v>
      </c>
      <c r="M39" s="54">
        <v>49</v>
      </c>
      <c r="N39" s="54" t="s">
        <v>1490</v>
      </c>
      <c r="O39" s="93"/>
      <c r="P39" s="11" t="s">
        <v>2319</v>
      </c>
      <c r="Q39" s="18">
        <f t="shared" si="0"/>
        <v>4</v>
      </c>
      <c r="R39" s="49">
        <v>30</v>
      </c>
      <c r="S39" s="49">
        <f t="shared" si="1"/>
        <v>120</v>
      </c>
      <c r="U39" s="49">
        <f t="shared" si="2"/>
        <v>120</v>
      </c>
      <c r="V39" s="49">
        <f t="shared" si="3"/>
        <v>0</v>
      </c>
    </row>
    <row r="40" spans="1:22" s="49" customFormat="1" ht="14.25" thickBot="1">
      <c r="A40" s="88" t="s">
        <v>2795</v>
      </c>
      <c r="B40" s="89">
        <v>1</v>
      </c>
      <c r="C40" s="89"/>
      <c r="D40" s="89" t="s">
        <v>2800</v>
      </c>
      <c r="E40" s="89" t="s">
        <v>2800</v>
      </c>
      <c r="F40" s="89" t="s">
        <v>2800</v>
      </c>
      <c r="G40" s="89" t="s">
        <v>2800</v>
      </c>
      <c r="H40" s="89" t="s">
        <v>2958</v>
      </c>
      <c r="I40" s="135">
        <v>4</v>
      </c>
      <c r="J40" s="135">
        <v>4</v>
      </c>
      <c r="K40" s="135">
        <v>6</v>
      </c>
      <c r="L40" s="89" t="s">
        <v>345</v>
      </c>
      <c r="M40" s="89">
        <v>50</v>
      </c>
      <c r="N40" s="89" t="s">
        <v>2237</v>
      </c>
      <c r="O40" s="90"/>
      <c r="P40" s="91" t="s">
        <v>2468</v>
      </c>
      <c r="Q40" s="18">
        <f t="shared" si="0"/>
        <v>5</v>
      </c>
      <c r="R40" s="49">
        <v>10</v>
      </c>
      <c r="S40" s="49">
        <f t="shared" si="1"/>
        <v>50</v>
      </c>
      <c r="U40" s="49">
        <f t="shared" si="2"/>
        <v>50</v>
      </c>
      <c r="V40" s="49">
        <f t="shared" si="3"/>
        <v>0</v>
      </c>
    </row>
    <row r="41" spans="1:22" s="49" customFormat="1" ht="14.25" thickBot="1">
      <c r="A41" s="130" t="s">
        <v>2794</v>
      </c>
      <c r="B41" s="131">
        <v>2</v>
      </c>
      <c r="C41" s="131"/>
      <c r="D41" s="131" t="s">
        <v>2800</v>
      </c>
      <c r="E41" s="131" t="s">
        <v>2800</v>
      </c>
      <c r="F41" s="131" t="s">
        <v>2800</v>
      </c>
      <c r="G41" s="131" t="s">
        <v>2801</v>
      </c>
      <c r="H41" s="131" t="s">
        <v>2476</v>
      </c>
      <c r="I41" s="132" t="s">
        <v>1190</v>
      </c>
      <c r="J41" s="132">
        <v>2</v>
      </c>
      <c r="K41" s="132">
        <v>3</v>
      </c>
      <c r="L41" s="131" t="s">
        <v>346</v>
      </c>
      <c r="M41" s="131">
        <v>51</v>
      </c>
      <c r="N41" s="131" t="s">
        <v>1490</v>
      </c>
      <c r="O41" s="133"/>
      <c r="P41" s="134" t="s">
        <v>2477</v>
      </c>
      <c r="Q41" s="18">
        <f t="shared" si="0"/>
        <v>4</v>
      </c>
      <c r="R41" s="49">
        <v>30</v>
      </c>
      <c r="S41" s="49">
        <f t="shared" si="1"/>
        <v>120</v>
      </c>
      <c r="U41" s="49">
        <f t="shared" si="2"/>
        <v>120</v>
      </c>
      <c r="V41" s="49">
        <f t="shared" si="3"/>
        <v>0</v>
      </c>
    </row>
    <row r="42" spans="1:22" s="49" customFormat="1">
      <c r="A42" s="150"/>
      <c r="B42" s="151"/>
      <c r="C42" s="151"/>
      <c r="D42" s="151"/>
      <c r="E42" s="151"/>
      <c r="F42" s="151"/>
      <c r="G42" s="152"/>
      <c r="H42" s="137" t="s">
        <v>2955</v>
      </c>
      <c r="I42" s="139" t="s">
        <v>2099</v>
      </c>
      <c r="J42" s="139"/>
      <c r="K42" s="139"/>
      <c r="L42" s="138" t="s">
        <v>2098</v>
      </c>
      <c r="M42" s="138"/>
      <c r="N42" s="138" t="s">
        <v>2094</v>
      </c>
      <c r="O42" s="140" t="s">
        <v>2101</v>
      </c>
      <c r="P42" s="141" t="s">
        <v>2102</v>
      </c>
      <c r="Q42" s="18" t="str">
        <f t="shared" si="0"/>
        <v/>
      </c>
      <c r="R42" s="49" t="s">
        <v>3119</v>
      </c>
      <c r="S42" s="49">
        <f t="shared" si="1"/>
        <v>0</v>
      </c>
      <c r="T42" s="49">
        <f>SUM(S42:S77)</f>
        <v>2857</v>
      </c>
      <c r="U42" s="49">
        <f t="shared" si="2"/>
        <v>0</v>
      </c>
      <c r="V42" s="49">
        <f t="shared" si="3"/>
        <v>0</v>
      </c>
    </row>
    <row r="43" spans="1:22" s="49" customFormat="1">
      <c r="A43" s="56" t="s">
        <v>2794</v>
      </c>
      <c r="B43" s="55">
        <v>2</v>
      </c>
      <c r="C43" s="55"/>
      <c r="D43" s="55" t="s">
        <v>2800</v>
      </c>
      <c r="E43" s="55" t="s">
        <v>2800</v>
      </c>
      <c r="F43" s="55" t="s">
        <v>2800</v>
      </c>
      <c r="G43" s="55" t="s">
        <v>2801</v>
      </c>
      <c r="H43" s="55" t="s">
        <v>2253</v>
      </c>
      <c r="I43" s="103" t="s">
        <v>977</v>
      </c>
      <c r="J43" s="103">
        <v>2</v>
      </c>
      <c r="K43" s="103">
        <v>1</v>
      </c>
      <c r="L43" s="55" t="s">
        <v>347</v>
      </c>
      <c r="M43" s="55">
        <v>52</v>
      </c>
      <c r="N43" s="55" t="s">
        <v>1490</v>
      </c>
      <c r="O43" s="85"/>
      <c r="P43" s="57" t="s">
        <v>2284</v>
      </c>
      <c r="Q43" s="18">
        <f t="shared" si="0"/>
        <v>4</v>
      </c>
      <c r="R43" s="49">
        <v>30</v>
      </c>
      <c r="S43" s="49">
        <f t="shared" si="1"/>
        <v>120</v>
      </c>
      <c r="U43" s="49">
        <f t="shared" si="2"/>
        <v>120</v>
      </c>
      <c r="V43" s="49">
        <f t="shared" si="3"/>
        <v>0</v>
      </c>
    </row>
    <row r="44" spans="1:22" s="49" customFormat="1">
      <c r="A44" s="56" t="s">
        <v>2798</v>
      </c>
      <c r="B44" s="55">
        <v>3</v>
      </c>
      <c r="C44" s="55"/>
      <c r="D44" s="55" t="s">
        <v>2800</v>
      </c>
      <c r="E44" s="55" t="s">
        <v>2801</v>
      </c>
      <c r="F44" s="55" t="s">
        <v>2801</v>
      </c>
      <c r="G44" s="55" t="s">
        <v>2801</v>
      </c>
      <c r="H44" s="55" t="s">
        <v>3124</v>
      </c>
      <c r="I44" s="103" t="s">
        <v>977</v>
      </c>
      <c r="J44" s="103">
        <v>2</v>
      </c>
      <c r="K44" s="103">
        <v>1</v>
      </c>
      <c r="L44" s="55" t="s">
        <v>347</v>
      </c>
      <c r="M44" s="55">
        <v>52</v>
      </c>
      <c r="N44" s="55" t="s">
        <v>923</v>
      </c>
      <c r="O44" s="85" t="s">
        <v>1474</v>
      </c>
      <c r="P44" s="57" t="s">
        <v>2375</v>
      </c>
      <c r="Q44" s="18">
        <f t="shared" si="0"/>
        <v>2</v>
      </c>
      <c r="R44" s="49">
        <v>100</v>
      </c>
      <c r="S44" s="49">
        <f t="shared" si="1"/>
        <v>200</v>
      </c>
      <c r="U44" s="49">
        <f t="shared" si="2"/>
        <v>0</v>
      </c>
      <c r="V44" s="49">
        <f t="shared" si="3"/>
        <v>200</v>
      </c>
    </row>
    <row r="45" spans="1:22" s="49" customFormat="1">
      <c r="A45" s="56" t="s">
        <v>2795</v>
      </c>
      <c r="B45" s="55">
        <v>1</v>
      </c>
      <c r="C45" s="55" t="s">
        <v>3128</v>
      </c>
      <c r="D45" s="55" t="s">
        <v>2800</v>
      </c>
      <c r="E45" s="55" t="s">
        <v>2800</v>
      </c>
      <c r="F45" s="55" t="s">
        <v>2800</v>
      </c>
      <c r="G45" s="55" t="s">
        <v>2800</v>
      </c>
      <c r="H45" s="55" t="s">
        <v>1165</v>
      </c>
      <c r="I45" s="103" t="s">
        <v>979</v>
      </c>
      <c r="J45" s="103">
        <v>3</v>
      </c>
      <c r="K45" s="103">
        <v>1</v>
      </c>
      <c r="L45" s="55" t="s">
        <v>347</v>
      </c>
      <c r="M45" s="55">
        <v>52</v>
      </c>
      <c r="N45" s="55" t="s">
        <v>923</v>
      </c>
      <c r="O45" s="85" t="s">
        <v>1475</v>
      </c>
      <c r="P45" s="57" t="s">
        <v>2139</v>
      </c>
      <c r="Q45" s="18">
        <f t="shared" si="0"/>
        <v>4</v>
      </c>
      <c r="R45" s="49">
        <v>10</v>
      </c>
      <c r="S45" s="49">
        <f t="shared" si="1"/>
        <v>40</v>
      </c>
      <c r="U45" s="49">
        <f t="shared" si="2"/>
        <v>40</v>
      </c>
      <c r="V45" s="49">
        <f t="shared" si="3"/>
        <v>0</v>
      </c>
    </row>
    <row r="46" spans="1:22" s="49" customFormat="1">
      <c r="A46" s="56" t="s">
        <v>2795</v>
      </c>
      <c r="B46" s="55">
        <v>1</v>
      </c>
      <c r="C46" s="55" t="s">
        <v>3128</v>
      </c>
      <c r="D46" s="55" t="s">
        <v>2800</v>
      </c>
      <c r="E46" s="55" t="s">
        <v>2800</v>
      </c>
      <c r="F46" s="55" t="s">
        <v>2800</v>
      </c>
      <c r="G46" s="55" t="s">
        <v>2800</v>
      </c>
      <c r="H46" s="55" t="s">
        <v>1170</v>
      </c>
      <c r="I46" s="103" t="s">
        <v>981</v>
      </c>
      <c r="J46" s="103">
        <v>4</v>
      </c>
      <c r="K46" s="103">
        <v>1</v>
      </c>
      <c r="L46" s="55" t="s">
        <v>347</v>
      </c>
      <c r="M46" s="55">
        <v>52</v>
      </c>
      <c r="N46" s="55" t="s">
        <v>923</v>
      </c>
      <c r="O46" s="85" t="s">
        <v>1475</v>
      </c>
      <c r="P46" s="57" t="s">
        <v>2145</v>
      </c>
      <c r="Q46" s="18">
        <f t="shared" si="0"/>
        <v>4</v>
      </c>
      <c r="R46" s="49">
        <v>10</v>
      </c>
      <c r="S46" s="49">
        <f t="shared" si="1"/>
        <v>40</v>
      </c>
      <c r="U46" s="49">
        <f t="shared" si="2"/>
        <v>40</v>
      </c>
      <c r="V46" s="49">
        <f t="shared" si="3"/>
        <v>0</v>
      </c>
    </row>
    <row r="47" spans="1:22" s="49" customFormat="1">
      <c r="A47" s="56" t="s">
        <v>2795</v>
      </c>
      <c r="B47" s="55">
        <v>1</v>
      </c>
      <c r="C47" s="55"/>
      <c r="D47" s="55" t="s">
        <v>2800</v>
      </c>
      <c r="E47" s="55" t="s">
        <v>2800</v>
      </c>
      <c r="F47" s="55" t="s">
        <v>2800</v>
      </c>
      <c r="G47" s="55" t="s">
        <v>2800</v>
      </c>
      <c r="H47" s="55" t="s">
        <v>2084</v>
      </c>
      <c r="I47" s="103" t="s">
        <v>981</v>
      </c>
      <c r="J47" s="103">
        <v>4</v>
      </c>
      <c r="K47" s="103">
        <v>1</v>
      </c>
      <c r="L47" s="55" t="s">
        <v>347</v>
      </c>
      <c r="M47" s="55">
        <v>52</v>
      </c>
      <c r="N47" s="55" t="s">
        <v>1501</v>
      </c>
      <c r="O47" s="85"/>
      <c r="P47" s="57" t="s">
        <v>2148</v>
      </c>
      <c r="Q47" s="18">
        <f t="shared" si="0"/>
        <v>5</v>
      </c>
      <c r="R47" s="49">
        <v>10</v>
      </c>
      <c r="S47" s="49">
        <f t="shared" si="1"/>
        <v>50</v>
      </c>
      <c r="U47" s="49">
        <f t="shared" si="2"/>
        <v>50</v>
      </c>
      <c r="V47" s="49">
        <f t="shared" si="3"/>
        <v>0</v>
      </c>
    </row>
    <row r="48" spans="1:22" s="49" customFormat="1">
      <c r="A48" s="56" t="s">
        <v>2794</v>
      </c>
      <c r="B48" s="55">
        <v>2</v>
      </c>
      <c r="C48" s="55"/>
      <c r="D48" s="55" t="s">
        <v>2800</v>
      </c>
      <c r="E48" s="55" t="s">
        <v>2800</v>
      </c>
      <c r="F48" s="55" t="s">
        <v>2800</v>
      </c>
      <c r="G48" s="55" t="s">
        <v>2801</v>
      </c>
      <c r="H48" s="55" t="s">
        <v>2959</v>
      </c>
      <c r="I48" s="103" t="s">
        <v>981</v>
      </c>
      <c r="J48" s="103">
        <v>4</v>
      </c>
      <c r="K48" s="103">
        <v>1</v>
      </c>
      <c r="L48" s="55" t="s">
        <v>347</v>
      </c>
      <c r="M48" s="55">
        <v>52</v>
      </c>
      <c r="N48" s="55" t="s">
        <v>923</v>
      </c>
      <c r="O48" s="85" t="s">
        <v>1479</v>
      </c>
      <c r="P48" s="57" t="s">
        <v>2287</v>
      </c>
      <c r="Q48" s="18">
        <f t="shared" si="0"/>
        <v>4</v>
      </c>
      <c r="R48" s="49">
        <v>30</v>
      </c>
      <c r="S48" s="49">
        <f t="shared" si="1"/>
        <v>120</v>
      </c>
      <c r="U48" s="49">
        <f t="shared" si="2"/>
        <v>120</v>
      </c>
      <c r="V48" s="49">
        <f t="shared" si="3"/>
        <v>0</v>
      </c>
    </row>
    <row r="49" spans="1:22" s="49" customFormat="1">
      <c r="A49" s="56" t="s">
        <v>2795</v>
      </c>
      <c r="B49" s="55">
        <v>1</v>
      </c>
      <c r="C49" s="55" t="s">
        <v>3128</v>
      </c>
      <c r="D49" s="55" t="s">
        <v>2800</v>
      </c>
      <c r="E49" s="55" t="s">
        <v>2800</v>
      </c>
      <c r="F49" s="55" t="s">
        <v>2800</v>
      </c>
      <c r="G49" s="55" t="s">
        <v>2800</v>
      </c>
      <c r="H49" s="55" t="s">
        <v>1437</v>
      </c>
      <c r="I49" s="103" t="s">
        <v>986</v>
      </c>
      <c r="J49" s="103">
        <v>5</v>
      </c>
      <c r="K49" s="103">
        <v>1</v>
      </c>
      <c r="L49" s="55" t="s">
        <v>347</v>
      </c>
      <c r="M49" s="55">
        <v>52</v>
      </c>
      <c r="N49" s="55" t="s">
        <v>923</v>
      </c>
      <c r="O49" s="85" t="s">
        <v>1480</v>
      </c>
      <c r="P49" s="57" t="s">
        <v>1438</v>
      </c>
      <c r="Q49" s="18">
        <f t="shared" si="0"/>
        <v>4</v>
      </c>
      <c r="R49" s="49">
        <v>10</v>
      </c>
      <c r="S49" s="49">
        <f t="shared" si="1"/>
        <v>40</v>
      </c>
      <c r="U49" s="49">
        <f t="shared" si="2"/>
        <v>40</v>
      </c>
      <c r="V49" s="49">
        <f t="shared" si="3"/>
        <v>0</v>
      </c>
    </row>
    <row r="50" spans="1:22" s="49" customFormat="1">
      <c r="A50" s="56" t="s">
        <v>2913</v>
      </c>
      <c r="B50" s="55">
        <v>1</v>
      </c>
      <c r="C50" s="55" t="s">
        <v>3128</v>
      </c>
      <c r="D50" s="55"/>
      <c r="E50" s="55"/>
      <c r="F50" s="55"/>
      <c r="G50" s="55"/>
      <c r="H50" s="55" t="s">
        <v>1177</v>
      </c>
      <c r="I50" s="55" t="s">
        <v>2946</v>
      </c>
      <c r="J50" s="55">
        <v>5</v>
      </c>
      <c r="K50" s="103">
        <v>1</v>
      </c>
      <c r="L50" s="55" t="s">
        <v>347</v>
      </c>
      <c r="M50" s="55">
        <v>52</v>
      </c>
      <c r="N50" s="103" t="s">
        <v>923</v>
      </c>
      <c r="O50" s="85" t="s">
        <v>1480</v>
      </c>
      <c r="P50" s="57" t="s">
        <v>2912</v>
      </c>
      <c r="Q50" s="18">
        <f t="shared" si="0"/>
        <v>4</v>
      </c>
      <c r="R50" s="49">
        <v>10</v>
      </c>
      <c r="S50" s="49">
        <f t="shared" si="1"/>
        <v>40</v>
      </c>
      <c r="U50" s="49">
        <f t="shared" si="2"/>
        <v>40</v>
      </c>
      <c r="V50" s="49">
        <f t="shared" si="3"/>
        <v>0</v>
      </c>
    </row>
    <row r="51" spans="1:22" s="49" customFormat="1">
      <c r="A51" s="56" t="s">
        <v>2794</v>
      </c>
      <c r="B51" s="55">
        <v>2</v>
      </c>
      <c r="C51" s="55"/>
      <c r="D51" s="55" t="s">
        <v>2800</v>
      </c>
      <c r="E51" s="55" t="s">
        <v>2800</v>
      </c>
      <c r="F51" s="55" t="s">
        <v>2800</v>
      </c>
      <c r="G51" s="55" t="s">
        <v>2801</v>
      </c>
      <c r="H51" s="55" t="s">
        <v>1453</v>
      </c>
      <c r="I51" s="103" t="s">
        <v>1185</v>
      </c>
      <c r="J51" s="103">
        <v>6</v>
      </c>
      <c r="K51" s="103">
        <v>1</v>
      </c>
      <c r="L51" s="55" t="s">
        <v>347</v>
      </c>
      <c r="M51" s="55">
        <v>52</v>
      </c>
      <c r="N51" s="55" t="s">
        <v>923</v>
      </c>
      <c r="O51" s="85" t="s">
        <v>1483</v>
      </c>
      <c r="P51" s="57" t="s">
        <v>1454</v>
      </c>
      <c r="Q51" s="18">
        <f t="shared" si="0"/>
        <v>4</v>
      </c>
      <c r="R51" s="49">
        <v>30</v>
      </c>
      <c r="S51" s="49">
        <f t="shared" si="1"/>
        <v>120</v>
      </c>
      <c r="U51" s="49">
        <f t="shared" si="2"/>
        <v>120</v>
      </c>
      <c r="V51" s="49">
        <f t="shared" si="3"/>
        <v>0</v>
      </c>
    </row>
    <row r="52" spans="1:22" s="49" customFormat="1">
      <c r="A52" s="56" t="s">
        <v>2798</v>
      </c>
      <c r="B52" s="55">
        <v>3</v>
      </c>
      <c r="C52" s="55"/>
      <c r="D52" s="55" t="s">
        <v>2800</v>
      </c>
      <c r="E52" s="55" t="s">
        <v>2801</v>
      </c>
      <c r="F52" s="55" t="s">
        <v>2801</v>
      </c>
      <c r="G52" s="55" t="s">
        <v>2801</v>
      </c>
      <c r="H52" s="55" t="s">
        <v>3125</v>
      </c>
      <c r="I52" s="103" t="s">
        <v>1185</v>
      </c>
      <c r="J52" s="103">
        <v>6</v>
      </c>
      <c r="K52" s="103">
        <v>1</v>
      </c>
      <c r="L52" s="55" t="s">
        <v>347</v>
      </c>
      <c r="M52" s="55">
        <v>52</v>
      </c>
      <c r="N52" s="55" t="s">
        <v>923</v>
      </c>
      <c r="O52" s="85" t="s">
        <v>1479</v>
      </c>
      <c r="P52" s="57" t="s">
        <v>2376</v>
      </c>
      <c r="Q52" s="18">
        <f t="shared" si="0"/>
        <v>2</v>
      </c>
      <c r="R52" s="49">
        <v>58</v>
      </c>
      <c r="S52" s="49">
        <f t="shared" si="1"/>
        <v>116</v>
      </c>
      <c r="U52" s="49">
        <f t="shared" si="2"/>
        <v>0</v>
      </c>
      <c r="V52" s="49">
        <f t="shared" si="3"/>
        <v>116</v>
      </c>
    </row>
    <row r="53" spans="1:22" s="49" customFormat="1">
      <c r="A53" s="56" t="s">
        <v>2799</v>
      </c>
      <c r="B53" s="55">
        <v>4</v>
      </c>
      <c r="C53" s="55"/>
      <c r="D53" s="55" t="s">
        <v>2801</v>
      </c>
      <c r="E53" s="55" t="s">
        <v>2801</v>
      </c>
      <c r="F53" s="55" t="s">
        <v>2801</v>
      </c>
      <c r="G53" s="55" t="s">
        <v>2801</v>
      </c>
      <c r="H53" s="55" t="s">
        <v>3126</v>
      </c>
      <c r="I53" s="103" t="s">
        <v>1186</v>
      </c>
      <c r="J53" s="103">
        <v>7</v>
      </c>
      <c r="K53" s="103">
        <v>1</v>
      </c>
      <c r="L53" s="55" t="s">
        <v>347</v>
      </c>
      <c r="M53" s="55">
        <v>52</v>
      </c>
      <c r="N53" s="55" t="s">
        <v>923</v>
      </c>
      <c r="O53" s="85" t="s">
        <v>1753</v>
      </c>
      <c r="P53" s="57" t="s">
        <v>2578</v>
      </c>
      <c r="Q53" s="18">
        <f t="shared" si="0"/>
        <v>1</v>
      </c>
      <c r="R53" s="49">
        <v>196</v>
      </c>
      <c r="S53" s="49">
        <f t="shared" si="1"/>
        <v>196</v>
      </c>
      <c r="U53" s="49">
        <f t="shared" si="2"/>
        <v>0</v>
      </c>
      <c r="V53" s="49">
        <f t="shared" si="3"/>
        <v>196</v>
      </c>
    </row>
    <row r="54" spans="1:22" s="49" customFormat="1">
      <c r="A54" s="56" t="s">
        <v>2795</v>
      </c>
      <c r="B54" s="55">
        <v>1</v>
      </c>
      <c r="C54" s="55"/>
      <c r="D54" s="55" t="s">
        <v>2800</v>
      </c>
      <c r="E54" s="55" t="s">
        <v>2800</v>
      </c>
      <c r="F54" s="55" t="s">
        <v>2800</v>
      </c>
      <c r="G54" s="55" t="s">
        <v>2800</v>
      </c>
      <c r="H54" s="55" t="s">
        <v>2161</v>
      </c>
      <c r="I54" s="103" t="s">
        <v>2162</v>
      </c>
      <c r="J54" s="103">
        <v>2</v>
      </c>
      <c r="K54" s="103">
        <v>2</v>
      </c>
      <c r="L54" s="55" t="s">
        <v>347</v>
      </c>
      <c r="M54" s="55">
        <v>52</v>
      </c>
      <c r="N54" s="55" t="s">
        <v>1501</v>
      </c>
      <c r="O54" s="85"/>
      <c r="P54" s="57" t="s">
        <v>2163</v>
      </c>
      <c r="Q54" s="18">
        <f t="shared" si="0"/>
        <v>5</v>
      </c>
      <c r="R54" s="49">
        <v>10</v>
      </c>
      <c r="S54" s="49">
        <f t="shared" si="1"/>
        <v>50</v>
      </c>
      <c r="U54" s="49">
        <f t="shared" si="2"/>
        <v>50</v>
      </c>
      <c r="V54" s="49">
        <f t="shared" si="3"/>
        <v>0</v>
      </c>
    </row>
    <row r="55" spans="1:22" s="49" customFormat="1">
      <c r="A55" s="56" t="s">
        <v>2794</v>
      </c>
      <c r="B55" s="55">
        <v>2</v>
      </c>
      <c r="C55" s="55"/>
      <c r="D55" s="55" t="s">
        <v>2800</v>
      </c>
      <c r="E55" s="55" t="s">
        <v>2800</v>
      </c>
      <c r="F55" s="55" t="s">
        <v>2800</v>
      </c>
      <c r="G55" s="55" t="s">
        <v>2801</v>
      </c>
      <c r="H55" s="55" t="s">
        <v>2753</v>
      </c>
      <c r="I55" s="103" t="s">
        <v>2941</v>
      </c>
      <c r="J55" s="103">
        <v>2</v>
      </c>
      <c r="K55" s="103">
        <v>2</v>
      </c>
      <c r="L55" s="55" t="s">
        <v>347</v>
      </c>
      <c r="M55" s="55">
        <v>52</v>
      </c>
      <c r="N55" s="55" t="s">
        <v>1490</v>
      </c>
      <c r="O55" s="85"/>
      <c r="P55" s="57" t="s">
        <v>2754</v>
      </c>
      <c r="Q55" s="18">
        <f t="shared" si="0"/>
        <v>4</v>
      </c>
      <c r="R55" s="49">
        <v>30</v>
      </c>
      <c r="S55" s="49">
        <f t="shared" si="1"/>
        <v>120</v>
      </c>
      <c r="U55" s="49">
        <f t="shared" si="2"/>
        <v>120</v>
      </c>
      <c r="V55" s="49">
        <f t="shared" si="3"/>
        <v>0</v>
      </c>
    </row>
    <row r="56" spans="1:22" s="49" customFormat="1">
      <c r="A56" s="56" t="s">
        <v>2795</v>
      </c>
      <c r="B56" s="55">
        <v>1</v>
      </c>
      <c r="C56" s="55"/>
      <c r="D56" s="55" t="s">
        <v>2800</v>
      </c>
      <c r="E56" s="55" t="s">
        <v>2800</v>
      </c>
      <c r="F56" s="55" t="s">
        <v>2800</v>
      </c>
      <c r="G56" s="55" t="s">
        <v>2800</v>
      </c>
      <c r="H56" s="55" t="s">
        <v>2123</v>
      </c>
      <c r="I56" s="103" t="s">
        <v>1006</v>
      </c>
      <c r="J56" s="103">
        <v>2</v>
      </c>
      <c r="K56" s="103">
        <v>3</v>
      </c>
      <c r="L56" s="55" t="s">
        <v>347</v>
      </c>
      <c r="M56" s="55">
        <v>52</v>
      </c>
      <c r="N56" s="55" t="s">
        <v>1490</v>
      </c>
      <c r="O56" s="85"/>
      <c r="P56" s="57" t="s">
        <v>2190</v>
      </c>
      <c r="Q56" s="18">
        <f t="shared" si="0"/>
        <v>5</v>
      </c>
      <c r="R56" s="49">
        <v>10</v>
      </c>
      <c r="S56" s="49">
        <f t="shared" si="1"/>
        <v>50</v>
      </c>
      <c r="U56" s="49">
        <f t="shared" si="2"/>
        <v>50</v>
      </c>
      <c r="V56" s="49">
        <f t="shared" si="3"/>
        <v>0</v>
      </c>
    </row>
    <row r="57" spans="1:22" s="49" customFormat="1">
      <c r="A57" s="56" t="s">
        <v>2794</v>
      </c>
      <c r="B57" s="55">
        <v>2</v>
      </c>
      <c r="C57" s="55"/>
      <c r="D57" s="55" t="s">
        <v>2800</v>
      </c>
      <c r="E57" s="55" t="s">
        <v>2800</v>
      </c>
      <c r="F57" s="55" t="s">
        <v>2800</v>
      </c>
      <c r="G57" s="55" t="s">
        <v>2801</v>
      </c>
      <c r="H57" s="55" t="s">
        <v>2301</v>
      </c>
      <c r="I57" s="103" t="s">
        <v>1009</v>
      </c>
      <c r="J57" s="103">
        <v>4</v>
      </c>
      <c r="K57" s="103">
        <v>3</v>
      </c>
      <c r="L57" s="55" t="s">
        <v>347</v>
      </c>
      <c r="M57" s="55">
        <v>52</v>
      </c>
      <c r="N57" s="55" t="s">
        <v>1490</v>
      </c>
      <c r="O57" s="85"/>
      <c r="P57" s="57" t="s">
        <v>2302</v>
      </c>
      <c r="Q57" s="18">
        <f t="shared" si="0"/>
        <v>4</v>
      </c>
      <c r="R57" s="49">
        <v>30</v>
      </c>
      <c r="S57" s="49">
        <f t="shared" si="1"/>
        <v>120</v>
      </c>
      <c r="U57" s="49">
        <f t="shared" si="2"/>
        <v>120</v>
      </c>
      <c r="V57" s="49">
        <f t="shared" si="3"/>
        <v>0</v>
      </c>
    </row>
    <row r="58" spans="1:22" s="49" customFormat="1">
      <c r="A58" s="56" t="s">
        <v>2795</v>
      </c>
      <c r="B58" s="55">
        <v>1</v>
      </c>
      <c r="C58" s="55"/>
      <c r="D58" s="55" t="s">
        <v>2800</v>
      </c>
      <c r="E58" s="55" t="s">
        <v>2800</v>
      </c>
      <c r="F58" s="55" t="s">
        <v>2800</v>
      </c>
      <c r="G58" s="55" t="s">
        <v>2800</v>
      </c>
      <c r="H58" s="55" t="s">
        <v>2273</v>
      </c>
      <c r="I58" s="103" t="s">
        <v>1011</v>
      </c>
      <c r="J58" s="103">
        <v>5</v>
      </c>
      <c r="K58" s="103">
        <v>3</v>
      </c>
      <c r="L58" s="55" t="s">
        <v>347</v>
      </c>
      <c r="M58" s="55">
        <v>52</v>
      </c>
      <c r="N58" s="55" t="s">
        <v>1501</v>
      </c>
      <c r="O58" s="85"/>
      <c r="P58" s="57" t="s">
        <v>2279</v>
      </c>
      <c r="Q58" s="18">
        <f t="shared" si="0"/>
        <v>5</v>
      </c>
      <c r="R58" s="49">
        <v>10</v>
      </c>
      <c r="S58" s="49">
        <f t="shared" si="1"/>
        <v>50</v>
      </c>
      <c r="U58" s="49">
        <f t="shared" si="2"/>
        <v>50</v>
      </c>
      <c r="V58" s="49">
        <f t="shared" si="3"/>
        <v>0</v>
      </c>
    </row>
    <row r="59" spans="1:22" s="49" customFormat="1">
      <c r="A59" s="56" t="s">
        <v>2795</v>
      </c>
      <c r="B59" s="55">
        <v>1</v>
      </c>
      <c r="C59" s="55" t="s">
        <v>3128</v>
      </c>
      <c r="D59" s="55" t="s">
        <v>3128</v>
      </c>
      <c r="E59" s="55" t="s">
        <v>2800</v>
      </c>
      <c r="F59" s="55" t="s">
        <v>2800</v>
      </c>
      <c r="G59" s="55" t="s">
        <v>2800</v>
      </c>
      <c r="H59" s="55" t="s">
        <v>1429</v>
      </c>
      <c r="I59" s="103" t="s">
        <v>1011</v>
      </c>
      <c r="J59" s="103">
        <v>5</v>
      </c>
      <c r="K59" s="103">
        <v>3</v>
      </c>
      <c r="L59" s="55" t="s">
        <v>347</v>
      </c>
      <c r="M59" s="55">
        <v>52</v>
      </c>
      <c r="N59" s="55" t="s">
        <v>923</v>
      </c>
      <c r="O59" s="85" t="s">
        <v>1478</v>
      </c>
      <c r="P59" s="57" t="s">
        <v>1430</v>
      </c>
      <c r="Q59" s="18">
        <f t="shared" si="0"/>
        <v>3</v>
      </c>
      <c r="R59" s="49">
        <v>10</v>
      </c>
      <c r="S59" s="49">
        <f t="shared" si="1"/>
        <v>30</v>
      </c>
      <c r="U59" s="49">
        <f t="shared" si="2"/>
        <v>30</v>
      </c>
      <c r="V59" s="49">
        <f t="shared" si="3"/>
        <v>0</v>
      </c>
    </row>
    <row r="60" spans="1:22" s="49" customFormat="1">
      <c r="A60" s="56" t="s">
        <v>2798</v>
      </c>
      <c r="B60" s="55">
        <v>3</v>
      </c>
      <c r="C60" s="55"/>
      <c r="D60" s="55" t="s">
        <v>2800</v>
      </c>
      <c r="E60" s="55" t="s">
        <v>2801</v>
      </c>
      <c r="F60" s="55" t="s">
        <v>2801</v>
      </c>
      <c r="G60" s="55" t="s">
        <v>2801</v>
      </c>
      <c r="H60" s="55" t="s">
        <v>3127</v>
      </c>
      <c r="I60" s="103" t="s">
        <v>1011</v>
      </c>
      <c r="J60" s="103">
        <v>5</v>
      </c>
      <c r="K60" s="103">
        <v>3</v>
      </c>
      <c r="L60" s="55" t="s">
        <v>347</v>
      </c>
      <c r="M60" s="55">
        <v>52</v>
      </c>
      <c r="N60" s="55" t="s">
        <v>923</v>
      </c>
      <c r="O60" s="85" t="s">
        <v>1483</v>
      </c>
      <c r="P60" s="57" t="s">
        <v>1472</v>
      </c>
      <c r="Q60" s="18">
        <f t="shared" si="0"/>
        <v>2</v>
      </c>
      <c r="R60" s="49">
        <v>51</v>
      </c>
      <c r="S60" s="49">
        <f t="shared" si="1"/>
        <v>102</v>
      </c>
      <c r="U60" s="49">
        <f t="shared" si="2"/>
        <v>0</v>
      </c>
      <c r="V60" s="49">
        <f t="shared" si="3"/>
        <v>102</v>
      </c>
    </row>
    <row r="61" spans="1:22" s="49" customFormat="1">
      <c r="A61" s="56" t="s">
        <v>2795</v>
      </c>
      <c r="B61" s="55">
        <v>1</v>
      </c>
      <c r="C61" s="55"/>
      <c r="D61" s="55" t="s">
        <v>2800</v>
      </c>
      <c r="E61" s="55" t="s">
        <v>2800</v>
      </c>
      <c r="F61" s="55" t="s">
        <v>2800</v>
      </c>
      <c r="G61" s="55" t="s">
        <v>2800</v>
      </c>
      <c r="H61" s="55" t="s">
        <v>1159</v>
      </c>
      <c r="I61" s="103" t="s">
        <v>1012</v>
      </c>
      <c r="J61" s="103">
        <v>2</v>
      </c>
      <c r="K61" s="103">
        <v>4</v>
      </c>
      <c r="L61" s="55" t="s">
        <v>347</v>
      </c>
      <c r="M61" s="55">
        <v>52</v>
      </c>
      <c r="N61" s="55" t="s">
        <v>923</v>
      </c>
      <c r="O61" s="85" t="s">
        <v>1473</v>
      </c>
      <c r="P61" s="57" t="s">
        <v>2203</v>
      </c>
      <c r="Q61" s="18">
        <f t="shared" si="0"/>
        <v>5</v>
      </c>
      <c r="R61" s="49">
        <v>10</v>
      </c>
      <c r="S61" s="49">
        <f t="shared" si="1"/>
        <v>50</v>
      </c>
      <c r="U61" s="49">
        <f t="shared" si="2"/>
        <v>50</v>
      </c>
      <c r="V61" s="49">
        <f t="shared" si="3"/>
        <v>0</v>
      </c>
    </row>
    <row r="62" spans="1:22" s="49" customFormat="1">
      <c r="A62" s="56" t="s">
        <v>2795</v>
      </c>
      <c r="B62" s="55">
        <v>1</v>
      </c>
      <c r="C62" s="55"/>
      <c r="D62" s="55" t="s">
        <v>2800</v>
      </c>
      <c r="E62" s="55" t="s">
        <v>2800</v>
      </c>
      <c r="F62" s="55" t="s">
        <v>2800</v>
      </c>
      <c r="G62" s="55" t="s">
        <v>2800</v>
      </c>
      <c r="H62" s="55" t="s">
        <v>2105</v>
      </c>
      <c r="I62" s="103" t="s">
        <v>1012</v>
      </c>
      <c r="J62" s="103">
        <v>2</v>
      </c>
      <c r="K62" s="103">
        <v>4</v>
      </c>
      <c r="L62" s="55" t="s">
        <v>347</v>
      </c>
      <c r="M62" s="55">
        <v>52</v>
      </c>
      <c r="N62" s="55" t="s">
        <v>1490</v>
      </c>
      <c r="O62" s="85"/>
      <c r="P62" s="57" t="s">
        <v>2207</v>
      </c>
      <c r="Q62" s="18">
        <f t="shared" si="0"/>
        <v>5</v>
      </c>
      <c r="R62" s="49">
        <v>10</v>
      </c>
      <c r="S62" s="49">
        <f t="shared" si="1"/>
        <v>50</v>
      </c>
      <c r="U62" s="49">
        <f t="shared" si="2"/>
        <v>50</v>
      </c>
      <c r="V62" s="49">
        <f t="shared" si="3"/>
        <v>0</v>
      </c>
    </row>
    <row r="63" spans="1:22" s="49" customFormat="1">
      <c r="A63" s="56" t="s">
        <v>2794</v>
      </c>
      <c r="B63" s="55">
        <v>2</v>
      </c>
      <c r="C63" s="55"/>
      <c r="D63" s="55" t="s">
        <v>2800</v>
      </c>
      <c r="E63" s="55" t="s">
        <v>2800</v>
      </c>
      <c r="F63" s="55" t="s">
        <v>2800</v>
      </c>
      <c r="G63" s="55" t="s">
        <v>2801</v>
      </c>
      <c r="H63" s="55" t="s">
        <v>2255</v>
      </c>
      <c r="I63" s="103" t="s">
        <v>1012</v>
      </c>
      <c r="J63" s="103">
        <v>2</v>
      </c>
      <c r="K63" s="103">
        <v>4</v>
      </c>
      <c r="L63" s="55" t="s">
        <v>347</v>
      </c>
      <c r="M63" s="55">
        <v>52</v>
      </c>
      <c r="N63" s="55" t="s">
        <v>1490</v>
      </c>
      <c r="O63" s="85"/>
      <c r="P63" s="57" t="s">
        <v>2305</v>
      </c>
      <c r="Q63" s="18">
        <f t="shared" si="0"/>
        <v>4</v>
      </c>
      <c r="R63" s="49">
        <v>30</v>
      </c>
      <c r="S63" s="49">
        <f t="shared" si="1"/>
        <v>120</v>
      </c>
      <c r="U63" s="49">
        <f t="shared" si="2"/>
        <v>120</v>
      </c>
      <c r="V63" s="49">
        <f t="shared" si="3"/>
        <v>0</v>
      </c>
    </row>
    <row r="64" spans="1:22" s="49" customFormat="1">
      <c r="A64" s="56" t="s">
        <v>2794</v>
      </c>
      <c r="B64" s="55">
        <v>2</v>
      </c>
      <c r="C64" s="55"/>
      <c r="D64" s="55" t="s">
        <v>2800</v>
      </c>
      <c r="E64" s="55" t="s">
        <v>2800</v>
      </c>
      <c r="F64" s="55" t="s">
        <v>2800</v>
      </c>
      <c r="G64" s="55" t="s">
        <v>2801</v>
      </c>
      <c r="H64" s="55" t="s">
        <v>254</v>
      </c>
      <c r="I64" s="103" t="s">
        <v>1014</v>
      </c>
      <c r="J64" s="103">
        <v>3</v>
      </c>
      <c r="K64" s="103">
        <v>4</v>
      </c>
      <c r="L64" s="55" t="s">
        <v>347</v>
      </c>
      <c r="M64" s="55">
        <v>52</v>
      </c>
      <c r="N64" s="55" t="s">
        <v>923</v>
      </c>
      <c r="O64" s="85" t="s">
        <v>1474</v>
      </c>
      <c r="P64" s="57" t="s">
        <v>2306</v>
      </c>
      <c r="Q64" s="18">
        <f t="shared" si="0"/>
        <v>4</v>
      </c>
      <c r="R64" s="49">
        <v>30</v>
      </c>
      <c r="S64" s="49">
        <f t="shared" si="1"/>
        <v>120</v>
      </c>
      <c r="U64" s="49">
        <f t="shared" si="2"/>
        <v>120</v>
      </c>
      <c r="V64" s="49">
        <f t="shared" si="3"/>
        <v>0</v>
      </c>
    </row>
    <row r="65" spans="1:22" s="49" customFormat="1">
      <c r="A65" s="56" t="s">
        <v>2795</v>
      </c>
      <c r="B65" s="55">
        <v>1</v>
      </c>
      <c r="C65" s="55" t="s">
        <v>3128</v>
      </c>
      <c r="D65" s="55" t="s">
        <v>2800</v>
      </c>
      <c r="E65" s="55" t="s">
        <v>2800</v>
      </c>
      <c r="F65" s="55" t="s">
        <v>2800</v>
      </c>
      <c r="G65" s="55" t="s">
        <v>2800</v>
      </c>
      <c r="H65" s="55" t="s">
        <v>2122</v>
      </c>
      <c r="I65" s="103" t="s">
        <v>1026</v>
      </c>
      <c r="J65" s="103">
        <v>3</v>
      </c>
      <c r="K65" s="103">
        <v>5</v>
      </c>
      <c r="L65" s="55" t="s">
        <v>347</v>
      </c>
      <c r="M65" s="55">
        <v>52</v>
      </c>
      <c r="N65" s="55" t="s">
        <v>1501</v>
      </c>
      <c r="O65" s="85"/>
      <c r="P65" s="57" t="s">
        <v>2224</v>
      </c>
      <c r="Q65" s="18">
        <f t="shared" si="0"/>
        <v>4</v>
      </c>
      <c r="R65" s="49">
        <v>10</v>
      </c>
      <c r="S65" s="49">
        <f t="shared" si="1"/>
        <v>40</v>
      </c>
      <c r="U65" s="49">
        <f t="shared" si="2"/>
        <v>40</v>
      </c>
      <c r="V65" s="49">
        <f t="shared" si="3"/>
        <v>0</v>
      </c>
    </row>
    <row r="66" spans="1:22" s="49" customFormat="1">
      <c r="A66" s="56" t="s">
        <v>2795</v>
      </c>
      <c r="B66" s="55">
        <v>1</v>
      </c>
      <c r="C66" s="55" t="s">
        <v>3128</v>
      </c>
      <c r="D66" s="55" t="s">
        <v>2800</v>
      </c>
      <c r="E66" s="55" t="s">
        <v>2800</v>
      </c>
      <c r="F66" s="55" t="s">
        <v>2800</v>
      </c>
      <c r="G66" s="55" t="s">
        <v>2800</v>
      </c>
      <c r="H66" s="55" t="s">
        <v>1427</v>
      </c>
      <c r="I66" s="103" t="s">
        <v>1027</v>
      </c>
      <c r="J66" s="103">
        <v>4</v>
      </c>
      <c r="K66" s="103">
        <v>5</v>
      </c>
      <c r="L66" s="55" t="s">
        <v>347</v>
      </c>
      <c r="M66" s="55">
        <v>52</v>
      </c>
      <c r="N66" s="55" t="s">
        <v>923</v>
      </c>
      <c r="O66" s="85" t="s">
        <v>1475</v>
      </c>
      <c r="P66" s="57" t="s">
        <v>1428</v>
      </c>
      <c r="Q66" s="18">
        <f t="shared" si="0"/>
        <v>4</v>
      </c>
      <c r="R66" s="49">
        <v>10</v>
      </c>
      <c r="S66" s="49">
        <f t="shared" si="1"/>
        <v>40</v>
      </c>
      <c r="U66" s="49">
        <f t="shared" si="2"/>
        <v>40</v>
      </c>
      <c r="V66" s="49">
        <f t="shared" si="3"/>
        <v>0</v>
      </c>
    </row>
    <row r="67" spans="1:22" s="49" customFormat="1" ht="14.25" thickBot="1">
      <c r="A67" s="53" t="s">
        <v>2794</v>
      </c>
      <c r="B67" s="54">
        <v>2</v>
      </c>
      <c r="C67" s="54"/>
      <c r="D67" s="54" t="s">
        <v>2800</v>
      </c>
      <c r="E67" s="54" t="s">
        <v>2800</v>
      </c>
      <c r="F67" s="54" t="s">
        <v>2800</v>
      </c>
      <c r="G67" s="54" t="s">
        <v>2801</v>
      </c>
      <c r="H67" s="54" t="s">
        <v>2325</v>
      </c>
      <c r="I67" s="126" t="s">
        <v>1028</v>
      </c>
      <c r="J67" s="126">
        <v>5</v>
      </c>
      <c r="K67" s="126">
        <v>5</v>
      </c>
      <c r="L67" s="54" t="s">
        <v>347</v>
      </c>
      <c r="M67" s="54">
        <v>52</v>
      </c>
      <c r="N67" s="54" t="s">
        <v>1490</v>
      </c>
      <c r="O67" s="93"/>
      <c r="P67" s="11" t="s">
        <v>2326</v>
      </c>
      <c r="Q67" s="18">
        <f t="shared" ref="Q67:Q130" si="4">IF(ISBLANK(A67),"",COUNTBLANK(C67:G67))</f>
        <v>4</v>
      </c>
      <c r="R67" s="49">
        <v>30</v>
      </c>
      <c r="S67" s="49">
        <f t="shared" ref="S67:S130" si="5">IF(R67="#",0,Q67*R67)</f>
        <v>120</v>
      </c>
      <c r="U67" s="49">
        <f t="shared" ref="U67:U130" si="6">IF(AND(OR(A67="Co",A67="UC"),Q67&gt;0),S67,0)</f>
        <v>120</v>
      </c>
      <c r="V67" s="49">
        <f t="shared" ref="V67:V130" si="7">IF(AND(OR(A67="Re",A67="MR"),Q67&gt;0),S67,0)</f>
        <v>0</v>
      </c>
    </row>
    <row r="68" spans="1:22" s="49" customFormat="1">
      <c r="A68" s="50" t="s">
        <v>2795</v>
      </c>
      <c r="B68" s="51">
        <v>1</v>
      </c>
      <c r="C68" s="51" t="s">
        <v>2812</v>
      </c>
      <c r="D68" s="51" t="s">
        <v>2812</v>
      </c>
      <c r="E68" s="51" t="s">
        <v>2812</v>
      </c>
      <c r="F68" s="51" t="s">
        <v>2800</v>
      </c>
      <c r="G68" s="51" t="s">
        <v>2800</v>
      </c>
      <c r="H68" s="51" t="s">
        <v>1425</v>
      </c>
      <c r="I68" s="129" t="s">
        <v>981</v>
      </c>
      <c r="J68" s="129">
        <v>4</v>
      </c>
      <c r="K68" s="129">
        <v>1</v>
      </c>
      <c r="L68" s="51" t="s">
        <v>348</v>
      </c>
      <c r="M68" s="51">
        <v>53</v>
      </c>
      <c r="N68" s="51" t="s">
        <v>923</v>
      </c>
      <c r="O68" s="92" t="s">
        <v>1477</v>
      </c>
      <c r="P68" s="52" t="s">
        <v>1426</v>
      </c>
      <c r="Q68" s="18">
        <f t="shared" si="4"/>
        <v>2</v>
      </c>
      <c r="R68" s="49">
        <v>10</v>
      </c>
      <c r="S68" s="49">
        <f t="shared" si="5"/>
        <v>20</v>
      </c>
      <c r="U68" s="49">
        <f t="shared" si="6"/>
        <v>20</v>
      </c>
      <c r="V68" s="49">
        <f t="shared" si="7"/>
        <v>0</v>
      </c>
    </row>
    <row r="69" spans="1:22" s="49" customFormat="1">
      <c r="A69" s="56" t="s">
        <v>2794</v>
      </c>
      <c r="B69" s="55">
        <v>2</v>
      </c>
      <c r="C69" s="55"/>
      <c r="D69" s="55" t="s">
        <v>2800</v>
      </c>
      <c r="E69" s="55" t="s">
        <v>2800</v>
      </c>
      <c r="F69" s="55" t="s">
        <v>2800</v>
      </c>
      <c r="G69" s="55" t="s">
        <v>2801</v>
      </c>
      <c r="H69" s="55" t="s">
        <v>1457</v>
      </c>
      <c r="I69" s="103" t="s">
        <v>1458</v>
      </c>
      <c r="J69" s="103">
        <v>7</v>
      </c>
      <c r="K69" s="103">
        <v>3</v>
      </c>
      <c r="L69" s="55" t="s">
        <v>348</v>
      </c>
      <c r="M69" s="55">
        <v>53</v>
      </c>
      <c r="N69" s="55" t="s">
        <v>923</v>
      </c>
      <c r="O69" s="85" t="s">
        <v>1479</v>
      </c>
      <c r="P69" s="57" t="s">
        <v>1459</v>
      </c>
      <c r="Q69" s="18">
        <f t="shared" si="4"/>
        <v>4</v>
      </c>
      <c r="R69" s="49">
        <v>30</v>
      </c>
      <c r="S69" s="49">
        <f t="shared" si="5"/>
        <v>120</v>
      </c>
      <c r="U69" s="49">
        <f t="shared" si="6"/>
        <v>120</v>
      </c>
      <c r="V69" s="49">
        <f t="shared" si="7"/>
        <v>0</v>
      </c>
    </row>
    <row r="70" spans="1:22" s="49" customFormat="1">
      <c r="A70" s="56" t="s">
        <v>2798</v>
      </c>
      <c r="B70" s="55">
        <v>3</v>
      </c>
      <c r="C70" s="55" t="s">
        <v>3128</v>
      </c>
      <c r="D70" s="55" t="s">
        <v>2800</v>
      </c>
      <c r="E70" s="55" t="s">
        <v>2801</v>
      </c>
      <c r="F70" s="55" t="s">
        <v>2801</v>
      </c>
      <c r="G70" s="55" t="s">
        <v>2801</v>
      </c>
      <c r="H70" s="55" t="s">
        <v>3129</v>
      </c>
      <c r="I70" s="103" t="s">
        <v>1187</v>
      </c>
      <c r="J70" s="103">
        <v>4</v>
      </c>
      <c r="K70" s="103">
        <v>4</v>
      </c>
      <c r="L70" s="55" t="s">
        <v>348</v>
      </c>
      <c r="M70" s="55">
        <v>53</v>
      </c>
      <c r="N70" s="55" t="s">
        <v>923</v>
      </c>
      <c r="O70" s="85" t="s">
        <v>1483</v>
      </c>
      <c r="P70" s="57" t="s">
        <v>2383</v>
      </c>
      <c r="Q70" s="18">
        <f t="shared" si="4"/>
        <v>1</v>
      </c>
      <c r="R70" s="49">
        <v>75</v>
      </c>
      <c r="S70" s="49">
        <f t="shared" si="5"/>
        <v>75</v>
      </c>
      <c r="U70" s="49">
        <f t="shared" si="6"/>
        <v>0</v>
      </c>
      <c r="V70" s="49">
        <f t="shared" si="7"/>
        <v>75</v>
      </c>
    </row>
    <row r="71" spans="1:22" s="49" customFormat="1" ht="14.25" thickBot="1">
      <c r="A71" s="53" t="s">
        <v>2794</v>
      </c>
      <c r="B71" s="54">
        <v>2</v>
      </c>
      <c r="C71" s="54"/>
      <c r="D71" s="54" t="s">
        <v>2800</v>
      </c>
      <c r="E71" s="54" t="s">
        <v>2800</v>
      </c>
      <c r="F71" s="54" t="s">
        <v>2800</v>
      </c>
      <c r="G71" s="54" t="s">
        <v>2801</v>
      </c>
      <c r="H71" s="54" t="s">
        <v>1464</v>
      </c>
      <c r="I71" s="126" t="s">
        <v>1465</v>
      </c>
      <c r="J71" s="126">
        <v>9</v>
      </c>
      <c r="K71" s="126">
        <v>5</v>
      </c>
      <c r="L71" s="54" t="s">
        <v>348</v>
      </c>
      <c r="M71" s="54">
        <v>53</v>
      </c>
      <c r="N71" s="54" t="s">
        <v>923</v>
      </c>
      <c r="O71" s="93" t="s">
        <v>1486</v>
      </c>
      <c r="P71" s="11" t="s">
        <v>1466</v>
      </c>
      <c r="Q71" s="18">
        <f t="shared" si="4"/>
        <v>4</v>
      </c>
      <c r="R71" s="49">
        <v>30</v>
      </c>
      <c r="S71" s="49">
        <f t="shared" si="5"/>
        <v>120</v>
      </c>
      <c r="U71" s="49">
        <f t="shared" si="6"/>
        <v>120</v>
      </c>
      <c r="V71" s="49">
        <f t="shared" si="7"/>
        <v>0</v>
      </c>
    </row>
    <row r="72" spans="1:22" s="49" customFormat="1">
      <c r="A72" s="99" t="s">
        <v>2794</v>
      </c>
      <c r="B72" s="60">
        <v>2</v>
      </c>
      <c r="C72" s="60" t="s">
        <v>2812</v>
      </c>
      <c r="D72" s="60" t="s">
        <v>2812</v>
      </c>
      <c r="E72" s="60" t="s">
        <v>2812</v>
      </c>
      <c r="F72" s="60" t="s">
        <v>2812</v>
      </c>
      <c r="G72" s="60" t="s">
        <v>2801</v>
      </c>
      <c r="H72" s="60" t="s">
        <v>1152</v>
      </c>
      <c r="I72" s="128" t="s">
        <v>1182</v>
      </c>
      <c r="J72" s="128">
        <v>2</v>
      </c>
      <c r="K72" s="128">
        <v>1</v>
      </c>
      <c r="L72" s="60" t="s">
        <v>278</v>
      </c>
      <c r="M72" s="60">
        <v>54</v>
      </c>
      <c r="N72" s="60" t="s">
        <v>923</v>
      </c>
      <c r="O72" s="87" t="s">
        <v>1475</v>
      </c>
      <c r="P72" s="100" t="s">
        <v>2282</v>
      </c>
      <c r="Q72" s="18">
        <f t="shared" si="4"/>
        <v>0</v>
      </c>
      <c r="R72" s="49">
        <v>30</v>
      </c>
      <c r="S72" s="49">
        <f t="shared" si="5"/>
        <v>0</v>
      </c>
      <c r="U72" s="49">
        <f t="shared" si="6"/>
        <v>0</v>
      </c>
      <c r="V72" s="49">
        <f t="shared" si="7"/>
        <v>0</v>
      </c>
    </row>
    <row r="73" spans="1:22" s="49" customFormat="1">
      <c r="A73" s="56" t="s">
        <v>2795</v>
      </c>
      <c r="B73" s="55">
        <v>1</v>
      </c>
      <c r="C73" s="55"/>
      <c r="D73" s="55" t="s">
        <v>2800</v>
      </c>
      <c r="E73" s="55" t="s">
        <v>2800</v>
      </c>
      <c r="F73" s="55" t="s">
        <v>2800</v>
      </c>
      <c r="G73" s="55" t="s">
        <v>2800</v>
      </c>
      <c r="H73" s="55" t="s">
        <v>1421</v>
      </c>
      <c r="I73" s="103" t="s">
        <v>1008</v>
      </c>
      <c r="J73" s="103">
        <v>4</v>
      </c>
      <c r="K73" s="103">
        <v>3</v>
      </c>
      <c r="L73" s="55" t="s">
        <v>278</v>
      </c>
      <c r="M73" s="55">
        <v>54</v>
      </c>
      <c r="N73" s="55" t="s">
        <v>923</v>
      </c>
      <c r="O73" s="85" t="s">
        <v>1476</v>
      </c>
      <c r="P73" s="57" t="s">
        <v>1422</v>
      </c>
      <c r="Q73" s="18">
        <f t="shared" si="4"/>
        <v>5</v>
      </c>
      <c r="R73" s="49">
        <v>10</v>
      </c>
      <c r="S73" s="49">
        <f t="shared" si="5"/>
        <v>50</v>
      </c>
      <c r="U73" s="49">
        <f t="shared" si="6"/>
        <v>50</v>
      </c>
      <c r="V73" s="49">
        <f t="shared" si="7"/>
        <v>0</v>
      </c>
    </row>
    <row r="74" spans="1:22" s="49" customFormat="1">
      <c r="A74" s="56" t="s">
        <v>2795</v>
      </c>
      <c r="B74" s="55">
        <v>1</v>
      </c>
      <c r="C74" s="55" t="s">
        <v>3128</v>
      </c>
      <c r="D74" s="55" t="s">
        <v>2800</v>
      </c>
      <c r="E74" s="55" t="s">
        <v>2800</v>
      </c>
      <c r="F74" s="55" t="s">
        <v>2800</v>
      </c>
      <c r="G74" s="55" t="s">
        <v>2800</v>
      </c>
      <c r="H74" s="55" t="s">
        <v>1176</v>
      </c>
      <c r="I74" s="103" t="s">
        <v>1189</v>
      </c>
      <c r="J74" s="103">
        <v>5</v>
      </c>
      <c r="K74" s="103">
        <v>4</v>
      </c>
      <c r="L74" s="55" t="s">
        <v>278</v>
      </c>
      <c r="M74" s="55">
        <v>54</v>
      </c>
      <c r="N74" s="55" t="s">
        <v>923</v>
      </c>
      <c r="O74" s="85" t="s">
        <v>1480</v>
      </c>
      <c r="P74" s="57" t="s">
        <v>2212</v>
      </c>
      <c r="Q74" s="18">
        <f t="shared" si="4"/>
        <v>4</v>
      </c>
      <c r="R74" s="49">
        <v>10</v>
      </c>
      <c r="S74" s="49">
        <f t="shared" si="5"/>
        <v>40</v>
      </c>
      <c r="U74" s="49">
        <f t="shared" si="6"/>
        <v>40</v>
      </c>
      <c r="V74" s="49">
        <f t="shared" si="7"/>
        <v>0</v>
      </c>
    </row>
    <row r="75" spans="1:22" s="49" customFormat="1">
      <c r="A75" s="56" t="s">
        <v>2798</v>
      </c>
      <c r="B75" s="55">
        <v>3</v>
      </c>
      <c r="C75" s="55"/>
      <c r="D75" s="55" t="s">
        <v>2800</v>
      </c>
      <c r="E75" s="55" t="s">
        <v>2801</v>
      </c>
      <c r="F75" s="55" t="s">
        <v>2801</v>
      </c>
      <c r="G75" s="55" t="s">
        <v>2801</v>
      </c>
      <c r="H75" s="55" t="s">
        <v>3130</v>
      </c>
      <c r="I75" s="103" t="s">
        <v>1188</v>
      </c>
      <c r="J75" s="103">
        <v>5</v>
      </c>
      <c r="K75" s="103">
        <v>4</v>
      </c>
      <c r="L75" s="55" t="s">
        <v>278</v>
      </c>
      <c r="M75" s="55">
        <v>54</v>
      </c>
      <c r="N75" s="55" t="s">
        <v>923</v>
      </c>
      <c r="O75" s="85" t="s">
        <v>1479</v>
      </c>
      <c r="P75" s="57" t="s">
        <v>2384</v>
      </c>
      <c r="Q75" s="18">
        <f t="shared" si="4"/>
        <v>2</v>
      </c>
      <c r="R75" s="49">
        <v>59</v>
      </c>
      <c r="S75" s="49">
        <f t="shared" si="5"/>
        <v>118</v>
      </c>
      <c r="U75" s="49">
        <f t="shared" si="6"/>
        <v>0</v>
      </c>
      <c r="V75" s="49">
        <f t="shared" si="7"/>
        <v>118</v>
      </c>
    </row>
    <row r="76" spans="1:22" s="49" customFormat="1">
      <c r="A76" s="56" t="s">
        <v>2794</v>
      </c>
      <c r="B76" s="55">
        <v>2</v>
      </c>
      <c r="C76" s="55"/>
      <c r="D76" s="55" t="s">
        <v>2800</v>
      </c>
      <c r="E76" s="55" t="s">
        <v>2800</v>
      </c>
      <c r="F76" s="55" t="s">
        <v>2800</v>
      </c>
      <c r="G76" s="55" t="s">
        <v>2801</v>
      </c>
      <c r="H76" s="55" t="s">
        <v>2262</v>
      </c>
      <c r="I76" s="103" t="s">
        <v>2311</v>
      </c>
      <c r="J76" s="103">
        <v>6</v>
      </c>
      <c r="K76" s="103">
        <v>4</v>
      </c>
      <c r="L76" s="55" t="s">
        <v>278</v>
      </c>
      <c r="M76" s="55">
        <v>54</v>
      </c>
      <c r="N76" s="55" t="s">
        <v>1501</v>
      </c>
      <c r="O76" s="85"/>
      <c r="P76" s="57" t="s">
        <v>2312</v>
      </c>
      <c r="Q76" s="18">
        <f t="shared" si="4"/>
        <v>4</v>
      </c>
      <c r="R76" s="49">
        <v>30</v>
      </c>
      <c r="S76" s="49">
        <f t="shared" si="5"/>
        <v>120</v>
      </c>
      <c r="U76" s="49">
        <f t="shared" si="6"/>
        <v>120</v>
      </c>
      <c r="V76" s="49">
        <f t="shared" si="7"/>
        <v>0</v>
      </c>
    </row>
    <row r="77" spans="1:22" s="49" customFormat="1" ht="14.25" thickBot="1">
      <c r="A77" s="53" t="s">
        <v>2795</v>
      </c>
      <c r="B77" s="54">
        <v>1</v>
      </c>
      <c r="C77" s="54"/>
      <c r="D77" s="54" t="s">
        <v>2800</v>
      </c>
      <c r="E77" s="54" t="s">
        <v>2800</v>
      </c>
      <c r="F77" s="54" t="s">
        <v>2800</v>
      </c>
      <c r="G77" s="54" t="s">
        <v>2800</v>
      </c>
      <c r="H77" s="54" t="s">
        <v>1439</v>
      </c>
      <c r="I77" s="126" t="s">
        <v>1387</v>
      </c>
      <c r="J77" s="126">
        <v>6</v>
      </c>
      <c r="K77" s="126">
        <v>5</v>
      </c>
      <c r="L77" s="54" t="s">
        <v>278</v>
      </c>
      <c r="M77" s="54">
        <v>54</v>
      </c>
      <c r="N77" s="54" t="s">
        <v>923</v>
      </c>
      <c r="O77" s="93" t="s">
        <v>1481</v>
      </c>
      <c r="P77" s="11" t="s">
        <v>1440</v>
      </c>
      <c r="Q77" s="18">
        <f t="shared" si="4"/>
        <v>5</v>
      </c>
      <c r="R77" s="49">
        <v>10</v>
      </c>
      <c r="S77" s="49">
        <f t="shared" si="5"/>
        <v>50</v>
      </c>
      <c r="U77" s="49">
        <f t="shared" si="6"/>
        <v>50</v>
      </c>
      <c r="V77" s="49">
        <f t="shared" si="7"/>
        <v>0</v>
      </c>
    </row>
    <row r="78" spans="1:22" s="49" customFormat="1">
      <c r="A78" s="150"/>
      <c r="B78" s="151"/>
      <c r="C78" s="151"/>
      <c r="D78" s="151"/>
      <c r="E78" s="151"/>
      <c r="F78" s="151"/>
      <c r="G78" s="152"/>
      <c r="H78" s="137" t="s">
        <v>2955</v>
      </c>
      <c r="I78" s="139" t="s">
        <v>2099</v>
      </c>
      <c r="J78" s="139"/>
      <c r="K78" s="139"/>
      <c r="L78" s="138" t="s">
        <v>2098</v>
      </c>
      <c r="M78" s="138"/>
      <c r="N78" s="138" t="s">
        <v>2094</v>
      </c>
      <c r="O78" s="140" t="s">
        <v>2101</v>
      </c>
      <c r="P78" s="141" t="s">
        <v>2102</v>
      </c>
      <c r="Q78" s="18" t="str">
        <f t="shared" si="4"/>
        <v/>
      </c>
      <c r="R78" s="49" t="s">
        <v>3119</v>
      </c>
      <c r="S78" s="49">
        <f>IF(R78="#",0,Q78*R78)</f>
        <v>0</v>
      </c>
      <c r="T78" s="49">
        <f>SUM(S78:S95)</f>
        <v>2322</v>
      </c>
      <c r="U78" s="49">
        <f t="shared" si="6"/>
        <v>0</v>
      </c>
      <c r="V78" s="49">
        <f t="shared" si="7"/>
        <v>0</v>
      </c>
    </row>
    <row r="79" spans="1:22" s="49" customFormat="1">
      <c r="A79" s="56" t="s">
        <v>2795</v>
      </c>
      <c r="B79" s="55">
        <v>1</v>
      </c>
      <c r="C79" s="55" t="s">
        <v>2812</v>
      </c>
      <c r="D79" s="55" t="s">
        <v>2812</v>
      </c>
      <c r="E79" s="55" t="s">
        <v>2800</v>
      </c>
      <c r="F79" s="55" t="s">
        <v>2800</v>
      </c>
      <c r="G79" s="55" t="s">
        <v>2800</v>
      </c>
      <c r="H79" s="55" t="s">
        <v>2085</v>
      </c>
      <c r="I79" s="103" t="s">
        <v>981</v>
      </c>
      <c r="J79" s="103">
        <v>4</v>
      </c>
      <c r="K79" s="103">
        <v>1</v>
      </c>
      <c r="L79" s="55" t="s">
        <v>279</v>
      </c>
      <c r="M79" s="55">
        <v>55</v>
      </c>
      <c r="N79" s="55" t="s">
        <v>1493</v>
      </c>
      <c r="O79" s="85"/>
      <c r="P79" s="57" t="s">
        <v>2149</v>
      </c>
      <c r="Q79" s="18">
        <f t="shared" si="4"/>
        <v>3</v>
      </c>
      <c r="R79" s="49">
        <v>10</v>
      </c>
      <c r="S79" s="49">
        <f t="shared" si="5"/>
        <v>30</v>
      </c>
      <c r="U79" s="49">
        <f t="shared" si="6"/>
        <v>30</v>
      </c>
      <c r="V79" s="49">
        <f t="shared" si="7"/>
        <v>0</v>
      </c>
    </row>
    <row r="80" spans="1:22" s="49" customFormat="1">
      <c r="A80" s="56" t="s">
        <v>2913</v>
      </c>
      <c r="B80" s="55">
        <v>1</v>
      </c>
      <c r="C80" s="55"/>
      <c r="D80" s="55"/>
      <c r="E80" s="55"/>
      <c r="F80" s="55"/>
      <c r="G80" s="55"/>
      <c r="H80" s="55" t="s">
        <v>2840</v>
      </c>
      <c r="I80" s="55" t="s">
        <v>1014</v>
      </c>
      <c r="J80" s="55">
        <v>3</v>
      </c>
      <c r="K80" s="103">
        <v>4</v>
      </c>
      <c r="L80" s="55" t="s">
        <v>279</v>
      </c>
      <c r="M80" s="55">
        <v>55</v>
      </c>
      <c r="N80" s="103" t="s">
        <v>1493</v>
      </c>
      <c r="O80" s="85"/>
      <c r="P80" s="57" t="s">
        <v>2843</v>
      </c>
      <c r="Q80" s="18">
        <f t="shared" si="4"/>
        <v>5</v>
      </c>
      <c r="R80" s="49">
        <v>10</v>
      </c>
      <c r="S80" s="49">
        <f t="shared" si="5"/>
        <v>50</v>
      </c>
      <c r="U80" s="49">
        <f t="shared" si="6"/>
        <v>50</v>
      </c>
      <c r="V80" s="49">
        <f t="shared" si="7"/>
        <v>0</v>
      </c>
    </row>
    <row r="81" spans="1:22" s="49" customFormat="1">
      <c r="A81" s="56" t="s">
        <v>2798</v>
      </c>
      <c r="B81" s="55">
        <v>3</v>
      </c>
      <c r="C81" s="55" t="s">
        <v>2812</v>
      </c>
      <c r="D81" s="55" t="s">
        <v>2800</v>
      </c>
      <c r="E81" s="55" t="s">
        <v>2801</v>
      </c>
      <c r="F81" s="55" t="s">
        <v>2801</v>
      </c>
      <c r="G81" s="55" t="s">
        <v>2801</v>
      </c>
      <c r="H81" s="55" t="s">
        <v>3131</v>
      </c>
      <c r="I81" s="103" t="s">
        <v>1028</v>
      </c>
      <c r="J81" s="103">
        <v>5</v>
      </c>
      <c r="K81" s="103">
        <v>5</v>
      </c>
      <c r="L81" s="55" t="s">
        <v>279</v>
      </c>
      <c r="M81" s="55">
        <v>55</v>
      </c>
      <c r="N81" s="55" t="s">
        <v>923</v>
      </c>
      <c r="O81" s="85" t="s">
        <v>1716</v>
      </c>
      <c r="P81" s="57" t="s">
        <v>2393</v>
      </c>
      <c r="Q81" s="18">
        <f t="shared" si="4"/>
        <v>1</v>
      </c>
      <c r="R81" s="49">
        <v>1152</v>
      </c>
      <c r="S81" s="49">
        <f t="shared" si="5"/>
        <v>1152</v>
      </c>
      <c r="U81" s="49">
        <f t="shared" si="6"/>
        <v>0</v>
      </c>
      <c r="V81" s="49">
        <f t="shared" si="7"/>
        <v>1152</v>
      </c>
    </row>
    <row r="82" spans="1:22" s="49" customFormat="1">
      <c r="A82" s="56" t="s">
        <v>2795</v>
      </c>
      <c r="B82" s="55">
        <v>1</v>
      </c>
      <c r="C82" s="55" t="s">
        <v>2812</v>
      </c>
      <c r="D82" s="55" t="s">
        <v>2812</v>
      </c>
      <c r="E82" s="55" t="s">
        <v>2812</v>
      </c>
      <c r="F82" s="55" t="s">
        <v>2812</v>
      </c>
      <c r="G82" s="55" t="s">
        <v>2812</v>
      </c>
      <c r="H82" s="55" t="s">
        <v>1606</v>
      </c>
      <c r="I82" s="103" t="s">
        <v>1607</v>
      </c>
      <c r="J82" s="103">
        <v>3</v>
      </c>
      <c r="K82" s="103">
        <v>17</v>
      </c>
      <c r="L82" s="55" t="s">
        <v>279</v>
      </c>
      <c r="M82" s="55">
        <v>55</v>
      </c>
      <c r="N82" s="55" t="s">
        <v>923</v>
      </c>
      <c r="O82" s="85" t="s">
        <v>1609</v>
      </c>
      <c r="P82" s="57" t="s">
        <v>1610</v>
      </c>
      <c r="Q82" s="18">
        <f t="shared" si="4"/>
        <v>0</v>
      </c>
      <c r="R82" s="49">
        <v>10</v>
      </c>
      <c r="S82" s="49">
        <f t="shared" si="5"/>
        <v>0</v>
      </c>
      <c r="U82" s="49">
        <f t="shared" si="6"/>
        <v>0</v>
      </c>
      <c r="V82" s="49">
        <f t="shared" si="7"/>
        <v>0</v>
      </c>
    </row>
    <row r="83" spans="1:22" s="49" customFormat="1">
      <c r="A83" s="56" t="s">
        <v>2913</v>
      </c>
      <c r="B83" s="55">
        <v>1</v>
      </c>
      <c r="C83" s="55" t="s">
        <v>2812</v>
      </c>
      <c r="D83" s="55"/>
      <c r="E83" s="55"/>
      <c r="F83" s="55"/>
      <c r="G83" s="55"/>
      <c r="H83" s="55" t="s">
        <v>2960</v>
      </c>
      <c r="I83" s="55" t="s">
        <v>1630</v>
      </c>
      <c r="J83" s="55">
        <v>4</v>
      </c>
      <c r="K83" s="103">
        <v>17</v>
      </c>
      <c r="L83" s="55" t="s">
        <v>279</v>
      </c>
      <c r="M83" s="55">
        <v>55</v>
      </c>
      <c r="N83" s="103" t="s">
        <v>1490</v>
      </c>
      <c r="O83" s="85"/>
      <c r="P83" s="57" t="s">
        <v>1631</v>
      </c>
      <c r="Q83" s="18">
        <f t="shared" si="4"/>
        <v>4</v>
      </c>
      <c r="R83" s="49">
        <v>10</v>
      </c>
      <c r="S83" s="49">
        <f t="shared" si="5"/>
        <v>40</v>
      </c>
      <c r="U83" s="49">
        <f t="shared" si="6"/>
        <v>40</v>
      </c>
      <c r="V83" s="49">
        <f t="shared" si="7"/>
        <v>0</v>
      </c>
    </row>
    <row r="84" spans="1:22" s="49" customFormat="1" ht="14.25" thickBot="1">
      <c r="A84" s="53" t="s">
        <v>2795</v>
      </c>
      <c r="B84" s="54">
        <v>1</v>
      </c>
      <c r="C84" s="54" t="s">
        <v>2812</v>
      </c>
      <c r="D84" s="54" t="s">
        <v>2812</v>
      </c>
      <c r="E84" s="54" t="s">
        <v>2812</v>
      </c>
      <c r="F84" s="54" t="s">
        <v>2812</v>
      </c>
      <c r="G84" s="54" t="s">
        <v>2812</v>
      </c>
      <c r="H84" s="54" t="s">
        <v>2961</v>
      </c>
      <c r="I84" s="126" t="s">
        <v>1645</v>
      </c>
      <c r="J84" s="126">
        <v>1</v>
      </c>
      <c r="K84" s="126">
        <v>18</v>
      </c>
      <c r="L84" s="54" t="s">
        <v>279</v>
      </c>
      <c r="M84" s="54">
        <v>55</v>
      </c>
      <c r="N84" s="54" t="s">
        <v>923</v>
      </c>
      <c r="O84" s="93" t="s">
        <v>1473</v>
      </c>
      <c r="P84" s="11" t="s">
        <v>1650</v>
      </c>
      <c r="Q84" s="18">
        <f t="shared" si="4"/>
        <v>0</v>
      </c>
      <c r="R84" s="49">
        <v>10</v>
      </c>
      <c r="S84" s="49">
        <f t="shared" si="5"/>
        <v>0</v>
      </c>
      <c r="U84" s="49">
        <f t="shared" si="6"/>
        <v>0</v>
      </c>
      <c r="V84" s="49">
        <f t="shared" si="7"/>
        <v>0</v>
      </c>
    </row>
    <row r="85" spans="1:22" s="49" customFormat="1">
      <c r="A85" s="50" t="s">
        <v>2798</v>
      </c>
      <c r="B85" s="51">
        <v>3</v>
      </c>
      <c r="C85" s="51"/>
      <c r="D85" s="51" t="s">
        <v>2800</v>
      </c>
      <c r="E85" s="51" t="s">
        <v>2801</v>
      </c>
      <c r="F85" s="51" t="s">
        <v>2801</v>
      </c>
      <c r="G85" s="51" t="s">
        <v>2801</v>
      </c>
      <c r="H85" s="51" t="s">
        <v>3132</v>
      </c>
      <c r="I85" s="129" t="s">
        <v>1009</v>
      </c>
      <c r="J85" s="129">
        <v>4</v>
      </c>
      <c r="K85" s="129">
        <v>3</v>
      </c>
      <c r="L85" s="51" t="s">
        <v>349</v>
      </c>
      <c r="M85" s="51">
        <v>56</v>
      </c>
      <c r="N85" s="51" t="s">
        <v>1490</v>
      </c>
      <c r="O85" s="92"/>
      <c r="P85" s="52" t="s">
        <v>2503</v>
      </c>
      <c r="Q85" s="18">
        <f t="shared" si="4"/>
        <v>2</v>
      </c>
      <c r="R85" s="49">
        <v>54</v>
      </c>
      <c r="S85" s="49">
        <f t="shared" si="5"/>
        <v>108</v>
      </c>
      <c r="U85" s="49">
        <f t="shared" si="6"/>
        <v>0</v>
      </c>
      <c r="V85" s="49">
        <f t="shared" si="7"/>
        <v>108</v>
      </c>
    </row>
    <row r="86" spans="1:22" s="49" customFormat="1">
      <c r="A86" s="56" t="s">
        <v>2913</v>
      </c>
      <c r="B86" s="55">
        <v>1</v>
      </c>
      <c r="C86" s="55" t="s">
        <v>2812</v>
      </c>
      <c r="D86" s="55" t="s">
        <v>2812</v>
      </c>
      <c r="E86" s="55" t="s">
        <v>2812</v>
      </c>
      <c r="F86" s="55" t="s">
        <v>2812</v>
      </c>
      <c r="G86" s="55"/>
      <c r="H86" s="55" t="s">
        <v>1500</v>
      </c>
      <c r="I86" s="55" t="s">
        <v>33</v>
      </c>
      <c r="J86" s="55">
        <v>2</v>
      </c>
      <c r="K86" s="103">
        <v>15</v>
      </c>
      <c r="L86" s="55" t="s">
        <v>349</v>
      </c>
      <c r="M86" s="55">
        <v>56</v>
      </c>
      <c r="N86" s="103" t="s">
        <v>1501</v>
      </c>
      <c r="O86" s="85"/>
      <c r="P86" s="57" t="s">
        <v>1502</v>
      </c>
      <c r="Q86" s="18">
        <f t="shared" si="4"/>
        <v>1</v>
      </c>
      <c r="R86" s="49">
        <v>10</v>
      </c>
      <c r="S86" s="49">
        <f t="shared" si="5"/>
        <v>10</v>
      </c>
      <c r="U86" s="49">
        <f t="shared" si="6"/>
        <v>10</v>
      </c>
      <c r="V86" s="49">
        <f t="shared" si="7"/>
        <v>0</v>
      </c>
    </row>
    <row r="87" spans="1:22" s="49" customFormat="1">
      <c r="A87" s="56" t="s">
        <v>2795</v>
      </c>
      <c r="B87" s="55">
        <v>1</v>
      </c>
      <c r="C87" s="55" t="s">
        <v>2812</v>
      </c>
      <c r="D87" s="55" t="s">
        <v>2812</v>
      </c>
      <c r="E87" s="55" t="s">
        <v>2812</v>
      </c>
      <c r="F87" s="55" t="s">
        <v>2812</v>
      </c>
      <c r="G87" s="55" t="s">
        <v>2800</v>
      </c>
      <c r="H87" s="55" t="s">
        <v>1527</v>
      </c>
      <c r="I87" s="103" t="s">
        <v>1515</v>
      </c>
      <c r="J87" s="103">
        <v>3</v>
      </c>
      <c r="K87" s="103">
        <v>15</v>
      </c>
      <c r="L87" s="55" t="s">
        <v>349</v>
      </c>
      <c r="M87" s="55">
        <v>56</v>
      </c>
      <c r="N87" s="55" t="s">
        <v>1493</v>
      </c>
      <c r="O87" s="85"/>
      <c r="P87" s="57" t="s">
        <v>1528</v>
      </c>
      <c r="Q87" s="18">
        <f t="shared" si="4"/>
        <v>1</v>
      </c>
      <c r="R87" s="49">
        <v>10</v>
      </c>
      <c r="S87" s="49">
        <f t="shared" si="5"/>
        <v>10</v>
      </c>
      <c r="U87" s="49">
        <f t="shared" si="6"/>
        <v>10</v>
      </c>
      <c r="V87" s="49">
        <f t="shared" si="7"/>
        <v>0</v>
      </c>
    </row>
    <row r="88" spans="1:22" s="49" customFormat="1">
      <c r="A88" s="56" t="s">
        <v>787</v>
      </c>
      <c r="B88" s="55">
        <v>2</v>
      </c>
      <c r="C88" s="55" t="s">
        <v>2812</v>
      </c>
      <c r="D88" s="55" t="s">
        <v>2812</v>
      </c>
      <c r="E88" s="55" t="s">
        <v>2812</v>
      </c>
      <c r="F88" s="55" t="s">
        <v>2812</v>
      </c>
      <c r="G88" s="55" t="s">
        <v>2801</v>
      </c>
      <c r="H88" s="55" t="s">
        <v>2962</v>
      </c>
      <c r="I88" s="103" t="s">
        <v>1044</v>
      </c>
      <c r="J88" s="103">
        <v>3</v>
      </c>
      <c r="K88" s="103">
        <v>15</v>
      </c>
      <c r="L88" s="55" t="s">
        <v>349</v>
      </c>
      <c r="M88" s="55">
        <v>56</v>
      </c>
      <c r="N88" s="55" t="s">
        <v>1490</v>
      </c>
      <c r="O88" s="55"/>
      <c r="P88" s="57" t="s">
        <v>2901</v>
      </c>
      <c r="Q88" s="18">
        <f t="shared" si="4"/>
        <v>0</v>
      </c>
      <c r="R88" s="49">
        <v>30</v>
      </c>
      <c r="S88" s="49">
        <f t="shared" si="5"/>
        <v>0</v>
      </c>
      <c r="U88" s="49">
        <f t="shared" si="6"/>
        <v>0</v>
      </c>
      <c r="V88" s="49">
        <f t="shared" si="7"/>
        <v>0</v>
      </c>
    </row>
    <row r="89" spans="1:22" s="49" customFormat="1">
      <c r="A89" s="56" t="s">
        <v>2798</v>
      </c>
      <c r="B89" s="55">
        <v>3</v>
      </c>
      <c r="C89" s="55"/>
      <c r="D89" s="55" t="s">
        <v>2800</v>
      </c>
      <c r="E89" s="55" t="s">
        <v>2801</v>
      </c>
      <c r="F89" s="55" t="s">
        <v>2801</v>
      </c>
      <c r="G89" s="55" t="s">
        <v>2801</v>
      </c>
      <c r="H89" s="55" t="s">
        <v>3133</v>
      </c>
      <c r="I89" s="103" t="s">
        <v>1044</v>
      </c>
      <c r="J89" s="103">
        <v>3</v>
      </c>
      <c r="K89" s="103">
        <v>15</v>
      </c>
      <c r="L89" s="55" t="s">
        <v>349</v>
      </c>
      <c r="M89" s="55">
        <v>56</v>
      </c>
      <c r="N89" s="55" t="s">
        <v>923</v>
      </c>
      <c r="O89" s="85" t="s">
        <v>1480</v>
      </c>
      <c r="P89" s="57" t="s">
        <v>2507</v>
      </c>
      <c r="Q89" s="18">
        <f t="shared" si="4"/>
        <v>2</v>
      </c>
      <c r="R89" s="49">
        <v>376</v>
      </c>
      <c r="S89" s="49">
        <f t="shared" si="5"/>
        <v>752</v>
      </c>
      <c r="U89" s="49">
        <f t="shared" si="6"/>
        <v>0</v>
      </c>
      <c r="V89" s="49">
        <f t="shared" si="7"/>
        <v>752</v>
      </c>
    </row>
    <row r="90" spans="1:22" s="49" customFormat="1">
      <c r="A90" s="56" t="s">
        <v>2795</v>
      </c>
      <c r="B90" s="55">
        <v>1</v>
      </c>
      <c r="C90" s="55" t="s">
        <v>2812</v>
      </c>
      <c r="D90" s="55" t="s">
        <v>2812</v>
      </c>
      <c r="E90" s="55" t="s">
        <v>2812</v>
      </c>
      <c r="F90" s="55" t="s">
        <v>2812</v>
      </c>
      <c r="G90" s="55" t="s">
        <v>2800</v>
      </c>
      <c r="H90" s="55" t="s">
        <v>1533</v>
      </c>
      <c r="I90" s="103" t="s">
        <v>1534</v>
      </c>
      <c r="J90" s="103">
        <v>4</v>
      </c>
      <c r="K90" s="103">
        <v>15</v>
      </c>
      <c r="L90" s="55" t="s">
        <v>349</v>
      </c>
      <c r="M90" s="55">
        <v>56</v>
      </c>
      <c r="N90" s="55" t="s">
        <v>923</v>
      </c>
      <c r="O90" s="85" t="s">
        <v>1475</v>
      </c>
      <c r="P90" s="57" t="s">
        <v>1536</v>
      </c>
      <c r="Q90" s="18">
        <f t="shared" si="4"/>
        <v>1</v>
      </c>
      <c r="R90" s="49">
        <v>10</v>
      </c>
      <c r="S90" s="49">
        <f t="shared" si="5"/>
        <v>10</v>
      </c>
      <c r="U90" s="49">
        <f t="shared" si="6"/>
        <v>10</v>
      </c>
      <c r="V90" s="49">
        <f t="shared" si="7"/>
        <v>0</v>
      </c>
    </row>
    <row r="91" spans="1:22" s="49" customFormat="1" ht="14.25" thickBot="1">
      <c r="A91" s="53" t="s">
        <v>2913</v>
      </c>
      <c r="B91" s="54">
        <v>1</v>
      </c>
      <c r="C91" s="54" t="s">
        <v>2812</v>
      </c>
      <c r="D91" s="54"/>
      <c r="E91" s="54"/>
      <c r="F91" s="54"/>
      <c r="G91" s="54"/>
      <c r="H91" s="54" t="s">
        <v>2963</v>
      </c>
      <c r="I91" s="54" t="s">
        <v>1586</v>
      </c>
      <c r="J91" s="54">
        <v>5</v>
      </c>
      <c r="K91" s="126">
        <v>16</v>
      </c>
      <c r="L91" s="54" t="s">
        <v>349</v>
      </c>
      <c r="M91" s="54">
        <v>56</v>
      </c>
      <c r="N91" s="126" t="s">
        <v>923</v>
      </c>
      <c r="O91" s="93" t="s">
        <v>1475</v>
      </c>
      <c r="P91" s="11" t="s">
        <v>1587</v>
      </c>
      <c r="Q91" s="18">
        <f t="shared" si="4"/>
        <v>4</v>
      </c>
      <c r="R91" s="49">
        <v>10</v>
      </c>
      <c r="S91" s="49">
        <f t="shared" si="5"/>
        <v>40</v>
      </c>
      <c r="U91" s="49">
        <f t="shared" si="6"/>
        <v>40</v>
      </c>
      <c r="V91" s="49">
        <f t="shared" si="7"/>
        <v>0</v>
      </c>
    </row>
    <row r="92" spans="1:22" s="49" customFormat="1">
      <c r="A92" s="99" t="s">
        <v>2794</v>
      </c>
      <c r="B92" s="60">
        <v>2</v>
      </c>
      <c r="C92" s="60" t="s">
        <v>2812</v>
      </c>
      <c r="D92" s="60" t="s">
        <v>2812</v>
      </c>
      <c r="E92" s="60" t="s">
        <v>2812</v>
      </c>
      <c r="F92" s="60" t="s">
        <v>2812</v>
      </c>
      <c r="G92" s="60" t="s">
        <v>2801</v>
      </c>
      <c r="H92" s="60" t="s">
        <v>2280</v>
      </c>
      <c r="I92" s="128" t="s">
        <v>5</v>
      </c>
      <c r="J92" s="128">
        <v>1</v>
      </c>
      <c r="K92" s="128">
        <v>1</v>
      </c>
      <c r="L92" s="60" t="s">
        <v>350</v>
      </c>
      <c r="M92" s="60">
        <v>57</v>
      </c>
      <c r="N92" s="60" t="s">
        <v>1490</v>
      </c>
      <c r="O92" s="87"/>
      <c r="P92" s="100" t="s">
        <v>2281</v>
      </c>
      <c r="Q92" s="18">
        <f t="shared" si="4"/>
        <v>0</v>
      </c>
      <c r="R92" s="49">
        <v>30</v>
      </c>
      <c r="S92" s="49">
        <f t="shared" si="5"/>
        <v>0</v>
      </c>
      <c r="U92" s="49">
        <f t="shared" si="6"/>
        <v>0</v>
      </c>
      <c r="V92" s="49">
        <f t="shared" si="7"/>
        <v>0</v>
      </c>
    </row>
    <row r="93" spans="1:22" s="49" customFormat="1">
      <c r="A93" s="56" t="s">
        <v>2795</v>
      </c>
      <c r="B93" s="55">
        <v>1</v>
      </c>
      <c r="C93" s="55" t="s">
        <v>2812</v>
      </c>
      <c r="D93" s="55" t="s">
        <v>2800</v>
      </c>
      <c r="E93" s="55" t="s">
        <v>2800</v>
      </c>
      <c r="F93" s="55" t="s">
        <v>2800</v>
      </c>
      <c r="G93" s="55" t="s">
        <v>2800</v>
      </c>
      <c r="H93" s="55" t="s">
        <v>2964</v>
      </c>
      <c r="I93" s="103" t="s">
        <v>1002</v>
      </c>
      <c r="J93" s="103">
        <v>5</v>
      </c>
      <c r="K93" s="103">
        <v>2</v>
      </c>
      <c r="L93" s="55" t="s">
        <v>350</v>
      </c>
      <c r="M93" s="55">
        <v>57</v>
      </c>
      <c r="N93" s="55" t="s">
        <v>923</v>
      </c>
      <c r="O93" s="85" t="s">
        <v>1716</v>
      </c>
      <c r="P93" s="57" t="s">
        <v>2178</v>
      </c>
      <c r="Q93" s="18">
        <f t="shared" si="4"/>
        <v>4</v>
      </c>
      <c r="R93" s="49">
        <v>10</v>
      </c>
      <c r="S93" s="49">
        <f t="shared" si="5"/>
        <v>40</v>
      </c>
      <c r="U93" s="49">
        <f t="shared" si="6"/>
        <v>40</v>
      </c>
      <c r="V93" s="49">
        <f t="shared" si="7"/>
        <v>0</v>
      </c>
    </row>
    <row r="94" spans="1:22" s="49" customFormat="1">
      <c r="A94" s="56" t="s">
        <v>2913</v>
      </c>
      <c r="B94" s="55">
        <v>1</v>
      </c>
      <c r="C94" s="55" t="s">
        <v>2812</v>
      </c>
      <c r="D94" s="55" t="s">
        <v>2812</v>
      </c>
      <c r="E94" s="55"/>
      <c r="F94" s="55"/>
      <c r="G94" s="55"/>
      <c r="H94" s="55" t="s">
        <v>1705</v>
      </c>
      <c r="I94" s="55" t="s">
        <v>37</v>
      </c>
      <c r="J94" s="55">
        <v>2</v>
      </c>
      <c r="K94" s="103">
        <v>19</v>
      </c>
      <c r="L94" s="55" t="s">
        <v>350</v>
      </c>
      <c r="M94" s="55">
        <v>57</v>
      </c>
      <c r="N94" s="103" t="s">
        <v>923</v>
      </c>
      <c r="O94" s="85" t="s">
        <v>1473</v>
      </c>
      <c r="P94" s="57" t="s">
        <v>1708</v>
      </c>
      <c r="Q94" s="18">
        <f t="shared" si="4"/>
        <v>3</v>
      </c>
      <c r="R94" s="49">
        <v>10</v>
      </c>
      <c r="S94" s="49">
        <f t="shared" si="5"/>
        <v>30</v>
      </c>
      <c r="U94" s="49">
        <f t="shared" si="6"/>
        <v>30</v>
      </c>
      <c r="V94" s="49">
        <f t="shared" si="7"/>
        <v>0</v>
      </c>
    </row>
    <row r="95" spans="1:22" s="49" customFormat="1" ht="14.25" thickBot="1">
      <c r="A95" s="39" t="s">
        <v>2795</v>
      </c>
      <c r="B95" s="40">
        <v>1</v>
      </c>
      <c r="C95" s="40"/>
      <c r="D95" s="40" t="s">
        <v>2800</v>
      </c>
      <c r="E95" s="40" t="s">
        <v>2800</v>
      </c>
      <c r="F95" s="40" t="s">
        <v>2800</v>
      </c>
      <c r="G95" s="40" t="s">
        <v>2800</v>
      </c>
      <c r="H95" s="40" t="s">
        <v>2965</v>
      </c>
      <c r="I95" s="127" t="s">
        <v>1710</v>
      </c>
      <c r="J95" s="127">
        <v>3</v>
      </c>
      <c r="K95" s="127">
        <v>19</v>
      </c>
      <c r="L95" s="40" t="s">
        <v>350</v>
      </c>
      <c r="M95" s="40">
        <v>57</v>
      </c>
      <c r="N95" s="40" t="s">
        <v>923</v>
      </c>
      <c r="O95" s="116" t="s">
        <v>1716</v>
      </c>
      <c r="P95" s="124" t="s">
        <v>1717</v>
      </c>
      <c r="Q95" s="18">
        <f t="shared" si="4"/>
        <v>5</v>
      </c>
      <c r="R95" s="49">
        <v>10</v>
      </c>
      <c r="S95" s="49">
        <f t="shared" si="5"/>
        <v>50</v>
      </c>
      <c r="U95" s="49">
        <f t="shared" si="6"/>
        <v>50</v>
      </c>
      <c r="V95" s="49">
        <f t="shared" si="7"/>
        <v>0</v>
      </c>
    </row>
    <row r="96" spans="1:22" s="49" customFormat="1">
      <c r="A96" s="150"/>
      <c r="B96" s="151"/>
      <c r="C96" s="151"/>
      <c r="D96" s="151"/>
      <c r="E96" s="151"/>
      <c r="F96" s="151"/>
      <c r="G96" s="152"/>
      <c r="H96" s="137" t="s">
        <v>2955</v>
      </c>
      <c r="I96" s="139" t="s">
        <v>2099</v>
      </c>
      <c r="J96" s="139"/>
      <c r="K96" s="139"/>
      <c r="L96" s="138" t="s">
        <v>2098</v>
      </c>
      <c r="M96" s="138"/>
      <c r="N96" s="138" t="s">
        <v>2094</v>
      </c>
      <c r="O96" s="140" t="s">
        <v>2101</v>
      </c>
      <c r="P96" s="141" t="s">
        <v>2102</v>
      </c>
      <c r="Q96" s="18" t="str">
        <f t="shared" si="4"/>
        <v/>
      </c>
      <c r="R96" s="49" t="s">
        <v>3119</v>
      </c>
      <c r="S96" s="49">
        <f t="shared" si="5"/>
        <v>0</v>
      </c>
      <c r="T96" s="49">
        <f>SUM(S96:S97)</f>
        <v>50</v>
      </c>
      <c r="U96" s="49">
        <f t="shared" si="6"/>
        <v>0</v>
      </c>
      <c r="V96" s="49">
        <f t="shared" si="7"/>
        <v>0</v>
      </c>
    </row>
    <row r="97" spans="1:22" s="49" customFormat="1" ht="14.25" thickBot="1">
      <c r="A97" s="53" t="s">
        <v>2795</v>
      </c>
      <c r="B97" s="54">
        <v>1</v>
      </c>
      <c r="C97" s="54"/>
      <c r="D97" s="54" t="s">
        <v>2800</v>
      </c>
      <c r="E97" s="54" t="s">
        <v>2800</v>
      </c>
      <c r="F97" s="54" t="s">
        <v>2800</v>
      </c>
      <c r="G97" s="54" t="s">
        <v>2800</v>
      </c>
      <c r="H97" s="54" t="s">
        <v>2090</v>
      </c>
      <c r="I97" s="126" t="s">
        <v>977</v>
      </c>
      <c r="J97" s="126">
        <v>2</v>
      </c>
      <c r="K97" s="126">
        <v>1</v>
      </c>
      <c r="L97" s="54" t="s">
        <v>382</v>
      </c>
      <c r="M97" s="54">
        <v>58</v>
      </c>
      <c r="N97" s="54" t="s">
        <v>923</v>
      </c>
      <c r="O97" s="93" t="s">
        <v>1473</v>
      </c>
      <c r="P97" s="11" t="s">
        <v>2134</v>
      </c>
      <c r="Q97" s="18">
        <f t="shared" si="4"/>
        <v>5</v>
      </c>
      <c r="R97" s="49">
        <v>10</v>
      </c>
      <c r="S97" s="49">
        <f t="shared" si="5"/>
        <v>50</v>
      </c>
      <c r="U97" s="49">
        <f t="shared" si="6"/>
        <v>50</v>
      </c>
      <c r="V97" s="49">
        <f t="shared" si="7"/>
        <v>0</v>
      </c>
    </row>
    <row r="98" spans="1:22" s="49" customFormat="1">
      <c r="A98" s="150"/>
      <c r="B98" s="151"/>
      <c r="C98" s="151"/>
      <c r="D98" s="151"/>
      <c r="E98" s="151"/>
      <c r="F98" s="151"/>
      <c r="G98" s="152"/>
      <c r="H98" s="137" t="s">
        <v>2955</v>
      </c>
      <c r="I98" s="139" t="s">
        <v>2099</v>
      </c>
      <c r="J98" s="139"/>
      <c r="K98" s="139"/>
      <c r="L98" s="138" t="s">
        <v>2098</v>
      </c>
      <c r="M98" s="138"/>
      <c r="N98" s="138" t="s">
        <v>2094</v>
      </c>
      <c r="O98" s="140" t="s">
        <v>2101</v>
      </c>
      <c r="P98" s="141" t="s">
        <v>2102</v>
      </c>
      <c r="Q98" s="18" t="str">
        <f t="shared" si="4"/>
        <v/>
      </c>
      <c r="R98" s="49" t="s">
        <v>3119</v>
      </c>
      <c r="S98" s="49">
        <f t="shared" si="5"/>
        <v>0</v>
      </c>
      <c r="T98" s="49">
        <f>SUM(S98:S148)</f>
        <v>15507</v>
      </c>
      <c r="U98" s="49">
        <f t="shared" si="6"/>
        <v>0</v>
      </c>
      <c r="V98" s="49">
        <f t="shared" si="7"/>
        <v>0</v>
      </c>
    </row>
    <row r="99" spans="1:22" s="49" customFormat="1">
      <c r="A99" s="56" t="s">
        <v>2795</v>
      </c>
      <c r="B99" s="55">
        <v>1</v>
      </c>
      <c r="C99" s="55"/>
      <c r="D99" s="55" t="s">
        <v>2800</v>
      </c>
      <c r="E99" s="55" t="s">
        <v>2800</v>
      </c>
      <c r="F99" s="55" t="s">
        <v>2800</v>
      </c>
      <c r="G99" s="55" t="s">
        <v>2800</v>
      </c>
      <c r="H99" s="55" t="s">
        <v>3029</v>
      </c>
      <c r="I99" s="103" t="s">
        <v>5</v>
      </c>
      <c r="J99" s="103">
        <v>1</v>
      </c>
      <c r="K99" s="103">
        <v>1</v>
      </c>
      <c r="L99" s="55" t="s">
        <v>352</v>
      </c>
      <c r="M99" s="55">
        <v>59</v>
      </c>
      <c r="N99" s="55" t="s">
        <v>923</v>
      </c>
      <c r="O99" s="85" t="s">
        <v>1473</v>
      </c>
      <c r="P99" s="57" t="s">
        <v>2133</v>
      </c>
      <c r="Q99" s="18">
        <f t="shared" si="4"/>
        <v>5</v>
      </c>
      <c r="R99" s="49">
        <v>10</v>
      </c>
      <c r="S99" s="49">
        <f t="shared" si="5"/>
        <v>50</v>
      </c>
      <c r="U99" s="49">
        <f t="shared" si="6"/>
        <v>50</v>
      </c>
      <c r="V99" s="49">
        <f t="shared" si="7"/>
        <v>0</v>
      </c>
    </row>
    <row r="100" spans="1:22" s="49" customFormat="1">
      <c r="A100" s="56" t="s">
        <v>2798</v>
      </c>
      <c r="B100" s="55">
        <v>3</v>
      </c>
      <c r="C100" s="55"/>
      <c r="D100" s="55" t="s">
        <v>2800</v>
      </c>
      <c r="E100" s="55" t="s">
        <v>2801</v>
      </c>
      <c r="F100" s="55" t="s">
        <v>2801</v>
      </c>
      <c r="G100" s="55" t="s">
        <v>2801</v>
      </c>
      <c r="H100" s="55" t="s">
        <v>3134</v>
      </c>
      <c r="I100" s="103" t="s">
        <v>5</v>
      </c>
      <c r="J100" s="103">
        <v>1</v>
      </c>
      <c r="K100" s="103">
        <v>1</v>
      </c>
      <c r="L100" s="55" t="s">
        <v>2802</v>
      </c>
      <c r="M100" s="55">
        <v>59</v>
      </c>
      <c r="N100" s="55" t="s">
        <v>1490</v>
      </c>
      <c r="O100" s="85"/>
      <c r="P100" s="57" t="s">
        <v>2659</v>
      </c>
      <c r="Q100" s="18">
        <f t="shared" si="4"/>
        <v>2</v>
      </c>
      <c r="R100" s="49">
        <v>786</v>
      </c>
      <c r="S100" s="49">
        <f t="shared" si="5"/>
        <v>1572</v>
      </c>
      <c r="U100" s="49">
        <f t="shared" si="6"/>
        <v>0</v>
      </c>
      <c r="V100" s="49">
        <f t="shared" si="7"/>
        <v>1572</v>
      </c>
    </row>
    <row r="101" spans="1:22" s="49" customFormat="1">
      <c r="A101" s="56" t="s">
        <v>2794</v>
      </c>
      <c r="B101" s="55">
        <v>2</v>
      </c>
      <c r="C101" s="55"/>
      <c r="D101" s="55" t="s">
        <v>2800</v>
      </c>
      <c r="E101" s="55" t="s">
        <v>2800</v>
      </c>
      <c r="F101" s="55" t="s">
        <v>2800</v>
      </c>
      <c r="G101" s="55" t="s">
        <v>2801</v>
      </c>
      <c r="H101" s="55" t="s">
        <v>3030</v>
      </c>
      <c r="I101" s="103" t="s">
        <v>977</v>
      </c>
      <c r="J101" s="103">
        <v>2</v>
      </c>
      <c r="K101" s="103">
        <v>1</v>
      </c>
      <c r="L101" s="55" t="s">
        <v>352</v>
      </c>
      <c r="M101" s="55">
        <v>59</v>
      </c>
      <c r="N101" s="55" t="s">
        <v>923</v>
      </c>
      <c r="O101" s="85" t="s">
        <v>1473</v>
      </c>
      <c r="P101" s="57" t="s">
        <v>2283</v>
      </c>
      <c r="Q101" s="18">
        <f t="shared" si="4"/>
        <v>4</v>
      </c>
      <c r="R101" s="49">
        <v>30</v>
      </c>
      <c r="S101" s="49">
        <f t="shared" si="5"/>
        <v>120</v>
      </c>
      <c r="U101" s="49">
        <f t="shared" si="6"/>
        <v>120</v>
      </c>
      <c r="V101" s="49">
        <f t="shared" si="7"/>
        <v>0</v>
      </c>
    </row>
    <row r="102" spans="1:22" s="49" customFormat="1">
      <c r="A102" s="56" t="s">
        <v>2798</v>
      </c>
      <c r="B102" s="55">
        <v>3</v>
      </c>
      <c r="C102" s="55"/>
      <c r="D102" s="55" t="s">
        <v>2800</v>
      </c>
      <c r="E102" s="55" t="s">
        <v>2801</v>
      </c>
      <c r="F102" s="55" t="s">
        <v>2801</v>
      </c>
      <c r="G102" s="55" t="s">
        <v>2801</v>
      </c>
      <c r="H102" s="55" t="s">
        <v>3135</v>
      </c>
      <c r="I102" s="103" t="s">
        <v>983</v>
      </c>
      <c r="J102" s="103">
        <v>5</v>
      </c>
      <c r="K102" s="103">
        <v>1</v>
      </c>
      <c r="L102" s="55" t="s">
        <v>352</v>
      </c>
      <c r="M102" s="55">
        <v>59</v>
      </c>
      <c r="N102" s="55" t="s">
        <v>923</v>
      </c>
      <c r="O102" s="85" t="s">
        <v>1479</v>
      </c>
      <c r="P102" s="57" t="s">
        <v>2381</v>
      </c>
      <c r="Q102" s="18">
        <f t="shared" si="4"/>
        <v>2</v>
      </c>
      <c r="R102" s="49">
        <v>226</v>
      </c>
      <c r="S102" s="49">
        <f t="shared" si="5"/>
        <v>452</v>
      </c>
      <c r="U102" s="49">
        <f t="shared" si="6"/>
        <v>0</v>
      </c>
      <c r="V102" s="49">
        <f t="shared" si="7"/>
        <v>452</v>
      </c>
    </row>
    <row r="103" spans="1:22" s="49" customFormat="1">
      <c r="A103" s="56" t="s">
        <v>2795</v>
      </c>
      <c r="B103" s="55">
        <v>1</v>
      </c>
      <c r="C103" s="55"/>
      <c r="D103" s="55" t="s">
        <v>2800</v>
      </c>
      <c r="E103" s="55" t="s">
        <v>2800</v>
      </c>
      <c r="F103" s="55" t="s">
        <v>2800</v>
      </c>
      <c r="G103" s="55" t="s">
        <v>2800</v>
      </c>
      <c r="H103" s="55" t="s">
        <v>3031</v>
      </c>
      <c r="I103" s="103" t="s">
        <v>996</v>
      </c>
      <c r="J103" s="103">
        <v>3</v>
      </c>
      <c r="K103" s="103">
        <v>2</v>
      </c>
      <c r="L103" s="55" t="s">
        <v>352</v>
      </c>
      <c r="M103" s="55">
        <v>59</v>
      </c>
      <c r="N103" s="55" t="s">
        <v>923</v>
      </c>
      <c r="O103" s="85" t="s">
        <v>1473</v>
      </c>
      <c r="P103" s="57" t="s">
        <v>747</v>
      </c>
      <c r="Q103" s="18">
        <f t="shared" si="4"/>
        <v>5</v>
      </c>
      <c r="R103" s="49">
        <v>10</v>
      </c>
      <c r="S103" s="49">
        <f t="shared" si="5"/>
        <v>50</v>
      </c>
      <c r="U103" s="49">
        <f t="shared" si="6"/>
        <v>50</v>
      </c>
      <c r="V103" s="49">
        <f t="shared" si="7"/>
        <v>0</v>
      </c>
    </row>
    <row r="104" spans="1:22" s="49" customFormat="1">
      <c r="A104" s="56" t="s">
        <v>2794</v>
      </c>
      <c r="B104" s="55">
        <v>2</v>
      </c>
      <c r="C104" s="55"/>
      <c r="D104" s="55" t="s">
        <v>2800</v>
      </c>
      <c r="E104" s="55" t="s">
        <v>2800</v>
      </c>
      <c r="F104" s="55" t="s">
        <v>2800</v>
      </c>
      <c r="G104" s="55" t="s">
        <v>2801</v>
      </c>
      <c r="H104" s="55" t="s">
        <v>2469</v>
      </c>
      <c r="I104" s="103" t="s">
        <v>2169</v>
      </c>
      <c r="J104" s="103">
        <v>3</v>
      </c>
      <c r="K104" s="103">
        <v>2</v>
      </c>
      <c r="L104" s="55" t="s">
        <v>352</v>
      </c>
      <c r="M104" s="55">
        <v>59</v>
      </c>
      <c r="N104" s="55" t="s">
        <v>1490</v>
      </c>
      <c r="O104" s="85"/>
      <c r="P104" s="57" t="s">
        <v>2470</v>
      </c>
      <c r="Q104" s="18">
        <f t="shared" si="4"/>
        <v>4</v>
      </c>
      <c r="R104" s="49">
        <v>30</v>
      </c>
      <c r="S104" s="49">
        <f t="shared" si="5"/>
        <v>120</v>
      </c>
      <c r="U104" s="49">
        <f t="shared" si="6"/>
        <v>120</v>
      </c>
      <c r="V104" s="49">
        <f t="shared" si="7"/>
        <v>0</v>
      </c>
    </row>
    <row r="105" spans="1:22" s="49" customFormat="1">
      <c r="A105" s="56" t="s">
        <v>2794</v>
      </c>
      <c r="B105" s="55">
        <v>2</v>
      </c>
      <c r="C105" s="55"/>
      <c r="D105" s="55" t="s">
        <v>2800</v>
      </c>
      <c r="E105" s="55" t="s">
        <v>2800</v>
      </c>
      <c r="F105" s="55" t="s">
        <v>2800</v>
      </c>
      <c r="G105" s="55" t="s">
        <v>2801</v>
      </c>
      <c r="H105" s="55" t="s">
        <v>3032</v>
      </c>
      <c r="I105" s="103" t="s">
        <v>998</v>
      </c>
      <c r="J105" s="103">
        <v>4</v>
      </c>
      <c r="K105" s="103">
        <v>2</v>
      </c>
      <c r="L105" s="55" t="s">
        <v>352</v>
      </c>
      <c r="M105" s="55">
        <v>59</v>
      </c>
      <c r="N105" s="55" t="s">
        <v>923</v>
      </c>
      <c r="O105" s="85" t="s">
        <v>1475</v>
      </c>
      <c r="P105" s="57" t="s">
        <v>949</v>
      </c>
      <c r="Q105" s="18">
        <f t="shared" si="4"/>
        <v>4</v>
      </c>
      <c r="R105" s="49">
        <v>30</v>
      </c>
      <c r="S105" s="49">
        <f t="shared" si="5"/>
        <v>120</v>
      </c>
      <c r="U105" s="49">
        <f t="shared" si="6"/>
        <v>120</v>
      </c>
      <c r="V105" s="49">
        <f t="shared" si="7"/>
        <v>0</v>
      </c>
    </row>
    <row r="106" spans="1:22" s="49" customFormat="1">
      <c r="A106" s="56" t="s">
        <v>2798</v>
      </c>
      <c r="B106" s="55">
        <v>3</v>
      </c>
      <c r="C106" s="55"/>
      <c r="D106" s="55" t="s">
        <v>2800</v>
      </c>
      <c r="E106" s="55" t="s">
        <v>2801</v>
      </c>
      <c r="F106" s="55" t="s">
        <v>2801</v>
      </c>
      <c r="G106" s="55" t="s">
        <v>2801</v>
      </c>
      <c r="H106" s="55" t="s">
        <v>3136</v>
      </c>
      <c r="I106" s="103" t="s">
        <v>1002</v>
      </c>
      <c r="J106" s="103">
        <v>5</v>
      </c>
      <c r="K106" s="103">
        <v>2</v>
      </c>
      <c r="L106" s="55" t="s">
        <v>352</v>
      </c>
      <c r="M106" s="55">
        <v>59</v>
      </c>
      <c r="N106" s="55" t="s">
        <v>923</v>
      </c>
      <c r="O106" s="85" t="s">
        <v>1475</v>
      </c>
      <c r="P106" s="57" t="s">
        <v>2382</v>
      </c>
      <c r="Q106" s="18">
        <f t="shared" si="4"/>
        <v>2</v>
      </c>
      <c r="R106" s="49">
        <v>210</v>
      </c>
      <c r="S106" s="49">
        <f t="shared" si="5"/>
        <v>420</v>
      </c>
      <c r="U106" s="49">
        <f t="shared" si="6"/>
        <v>0</v>
      </c>
      <c r="V106" s="49">
        <f t="shared" si="7"/>
        <v>420</v>
      </c>
    </row>
    <row r="107" spans="1:22" s="49" customFormat="1">
      <c r="A107" s="56" t="s">
        <v>2795</v>
      </c>
      <c r="B107" s="55">
        <v>1</v>
      </c>
      <c r="C107" s="55"/>
      <c r="D107" s="55" t="s">
        <v>2800</v>
      </c>
      <c r="E107" s="55" t="s">
        <v>2800</v>
      </c>
      <c r="F107" s="55" t="s">
        <v>2800</v>
      </c>
      <c r="G107" s="55" t="s">
        <v>2800</v>
      </c>
      <c r="H107" s="55" t="s">
        <v>3033</v>
      </c>
      <c r="I107" s="103" t="s">
        <v>974</v>
      </c>
      <c r="J107" s="103">
        <v>3</v>
      </c>
      <c r="K107" s="103">
        <v>3</v>
      </c>
      <c r="L107" s="55" t="s">
        <v>352</v>
      </c>
      <c r="M107" s="55">
        <v>59</v>
      </c>
      <c r="N107" s="55" t="s">
        <v>923</v>
      </c>
      <c r="O107" s="85" t="s">
        <v>1475</v>
      </c>
      <c r="P107" s="57" t="s">
        <v>1142</v>
      </c>
      <c r="Q107" s="18">
        <f t="shared" si="4"/>
        <v>5</v>
      </c>
      <c r="R107" s="49">
        <v>10</v>
      </c>
      <c r="S107" s="49">
        <f t="shared" si="5"/>
        <v>50</v>
      </c>
      <c r="U107" s="49">
        <f t="shared" si="6"/>
        <v>50</v>
      </c>
      <c r="V107" s="49">
        <f t="shared" si="7"/>
        <v>0</v>
      </c>
    </row>
    <row r="108" spans="1:22" s="49" customFormat="1">
      <c r="A108" s="56" t="s">
        <v>2794</v>
      </c>
      <c r="B108" s="55">
        <v>2</v>
      </c>
      <c r="C108" s="55" t="s">
        <v>2812</v>
      </c>
      <c r="D108" s="55" t="s">
        <v>2800</v>
      </c>
      <c r="E108" s="55" t="s">
        <v>2800</v>
      </c>
      <c r="F108" s="55" t="s">
        <v>2800</v>
      </c>
      <c r="G108" s="55" t="s">
        <v>2801</v>
      </c>
      <c r="H108" s="55" t="s">
        <v>790</v>
      </c>
      <c r="I108" s="103" t="s">
        <v>1009</v>
      </c>
      <c r="J108" s="103">
        <v>4</v>
      </c>
      <c r="K108" s="103">
        <v>3</v>
      </c>
      <c r="L108" s="55" t="s">
        <v>352</v>
      </c>
      <c r="M108" s="55">
        <v>59</v>
      </c>
      <c r="N108" s="55" t="s">
        <v>1501</v>
      </c>
      <c r="O108" s="85"/>
      <c r="P108" s="57" t="s">
        <v>2303</v>
      </c>
      <c r="Q108" s="18">
        <f t="shared" si="4"/>
        <v>3</v>
      </c>
      <c r="R108" s="49">
        <v>30</v>
      </c>
      <c r="S108" s="49">
        <f t="shared" si="5"/>
        <v>90</v>
      </c>
      <c r="U108" s="49">
        <f t="shared" si="6"/>
        <v>90</v>
      </c>
      <c r="V108" s="49">
        <f t="shared" si="7"/>
        <v>0</v>
      </c>
    </row>
    <row r="109" spans="1:22" s="49" customFormat="1">
      <c r="A109" s="56" t="s">
        <v>2794</v>
      </c>
      <c r="B109" s="55">
        <v>2</v>
      </c>
      <c r="C109" s="55"/>
      <c r="D109" s="55" t="s">
        <v>2800</v>
      </c>
      <c r="E109" s="55" t="s">
        <v>2800</v>
      </c>
      <c r="F109" s="55" t="s">
        <v>2800</v>
      </c>
      <c r="G109" s="55" t="s">
        <v>2801</v>
      </c>
      <c r="H109" s="55" t="s">
        <v>3034</v>
      </c>
      <c r="I109" s="103" t="s">
        <v>1008</v>
      </c>
      <c r="J109" s="103">
        <v>4</v>
      </c>
      <c r="K109" s="103">
        <v>3</v>
      </c>
      <c r="L109" s="55" t="s">
        <v>352</v>
      </c>
      <c r="M109" s="55">
        <v>59</v>
      </c>
      <c r="N109" s="55" t="s">
        <v>923</v>
      </c>
      <c r="O109" s="85" t="s">
        <v>1479</v>
      </c>
      <c r="P109" s="57" t="s">
        <v>2300</v>
      </c>
      <c r="Q109" s="18">
        <f t="shared" si="4"/>
        <v>4</v>
      </c>
      <c r="R109" s="49">
        <v>30</v>
      </c>
      <c r="S109" s="49">
        <f t="shared" si="5"/>
        <v>120</v>
      </c>
      <c r="U109" s="49">
        <f t="shared" si="6"/>
        <v>120</v>
      </c>
      <c r="V109" s="49">
        <f t="shared" si="7"/>
        <v>0</v>
      </c>
    </row>
    <row r="110" spans="1:22" s="49" customFormat="1">
      <c r="A110" s="56" t="s">
        <v>2798</v>
      </c>
      <c r="B110" s="55">
        <v>3</v>
      </c>
      <c r="C110" s="55" t="s">
        <v>2812</v>
      </c>
      <c r="D110" s="55" t="s">
        <v>2800</v>
      </c>
      <c r="E110" s="55" t="s">
        <v>2801</v>
      </c>
      <c r="F110" s="55" t="s">
        <v>2801</v>
      </c>
      <c r="G110" s="55" t="s">
        <v>2801</v>
      </c>
      <c r="H110" s="55" t="s">
        <v>3035</v>
      </c>
      <c r="I110" s="103" t="s">
        <v>1009</v>
      </c>
      <c r="J110" s="103">
        <v>4</v>
      </c>
      <c r="K110" s="103">
        <v>3</v>
      </c>
      <c r="L110" s="55" t="s">
        <v>352</v>
      </c>
      <c r="M110" s="55">
        <v>59</v>
      </c>
      <c r="N110" s="55" t="s">
        <v>923</v>
      </c>
      <c r="O110" s="85" t="s">
        <v>2244</v>
      </c>
      <c r="P110" s="57" t="s">
        <v>954</v>
      </c>
      <c r="Q110" s="18">
        <f t="shared" si="4"/>
        <v>1</v>
      </c>
      <c r="R110" s="49">
        <v>67</v>
      </c>
      <c r="S110" s="49">
        <f t="shared" si="5"/>
        <v>67</v>
      </c>
      <c r="U110" s="49">
        <f t="shared" si="6"/>
        <v>0</v>
      </c>
      <c r="V110" s="49">
        <f t="shared" si="7"/>
        <v>67</v>
      </c>
    </row>
    <row r="111" spans="1:22" s="49" customFormat="1">
      <c r="A111" s="56" t="s">
        <v>2795</v>
      </c>
      <c r="B111" s="55">
        <v>1</v>
      </c>
      <c r="C111" s="55"/>
      <c r="D111" s="55" t="s">
        <v>2800</v>
      </c>
      <c r="E111" s="55" t="s">
        <v>2800</v>
      </c>
      <c r="F111" s="55" t="s">
        <v>2800</v>
      </c>
      <c r="G111" s="55" t="s">
        <v>2800</v>
      </c>
      <c r="H111" s="55" t="s">
        <v>3036</v>
      </c>
      <c r="I111" s="103" t="s">
        <v>1012</v>
      </c>
      <c r="J111" s="103">
        <v>2</v>
      </c>
      <c r="K111" s="103">
        <v>4</v>
      </c>
      <c r="L111" s="55" t="s">
        <v>352</v>
      </c>
      <c r="M111" s="55">
        <v>59</v>
      </c>
      <c r="N111" s="55" t="s">
        <v>923</v>
      </c>
      <c r="O111" s="85" t="s">
        <v>1473</v>
      </c>
      <c r="P111" s="57" t="s">
        <v>2205</v>
      </c>
      <c r="Q111" s="18">
        <f t="shared" si="4"/>
        <v>5</v>
      </c>
      <c r="R111" s="49">
        <v>10</v>
      </c>
      <c r="S111" s="49">
        <f t="shared" si="5"/>
        <v>50</v>
      </c>
      <c r="U111" s="49">
        <f t="shared" si="6"/>
        <v>50</v>
      </c>
      <c r="V111" s="49">
        <f t="shared" si="7"/>
        <v>0</v>
      </c>
    </row>
    <row r="112" spans="1:22" s="49" customFormat="1">
      <c r="A112" s="56" t="s">
        <v>2798</v>
      </c>
      <c r="B112" s="55">
        <v>3</v>
      </c>
      <c r="C112" s="55"/>
      <c r="D112" s="55" t="s">
        <v>2800</v>
      </c>
      <c r="E112" s="55" t="s">
        <v>2801</v>
      </c>
      <c r="F112" s="55" t="s">
        <v>2801</v>
      </c>
      <c r="G112" s="55" t="s">
        <v>2801</v>
      </c>
      <c r="H112" s="55" t="s">
        <v>3038</v>
      </c>
      <c r="I112" s="103" t="s">
        <v>1014</v>
      </c>
      <c r="J112" s="103">
        <v>3</v>
      </c>
      <c r="K112" s="103">
        <v>4</v>
      </c>
      <c r="L112" s="55" t="s">
        <v>352</v>
      </c>
      <c r="M112" s="55">
        <v>59</v>
      </c>
      <c r="N112" s="55" t="s">
        <v>923</v>
      </c>
      <c r="O112" s="85" t="s">
        <v>1475</v>
      </c>
      <c r="P112" s="57" t="s">
        <v>2389</v>
      </c>
      <c r="Q112" s="18">
        <f t="shared" si="4"/>
        <v>2</v>
      </c>
      <c r="R112" s="49">
        <v>1170</v>
      </c>
      <c r="S112" s="49">
        <f t="shared" si="5"/>
        <v>2340</v>
      </c>
      <c r="U112" s="49">
        <f t="shared" si="6"/>
        <v>0</v>
      </c>
      <c r="V112" s="49">
        <f t="shared" si="7"/>
        <v>2340</v>
      </c>
    </row>
    <row r="113" spans="1:22" s="49" customFormat="1">
      <c r="A113" s="56" t="s">
        <v>2794</v>
      </c>
      <c r="B113" s="55">
        <v>2</v>
      </c>
      <c r="C113" s="55"/>
      <c r="D113" s="55" t="s">
        <v>2800</v>
      </c>
      <c r="E113" s="55" t="s">
        <v>2800</v>
      </c>
      <c r="F113" s="55" t="s">
        <v>2800</v>
      </c>
      <c r="G113" s="55" t="s">
        <v>2801</v>
      </c>
      <c r="H113" s="55" t="s">
        <v>3039</v>
      </c>
      <c r="I113" s="103" t="s">
        <v>1021</v>
      </c>
      <c r="J113" s="103">
        <v>6</v>
      </c>
      <c r="K113" s="103">
        <v>4</v>
      </c>
      <c r="L113" s="55" t="s">
        <v>352</v>
      </c>
      <c r="M113" s="55">
        <v>59</v>
      </c>
      <c r="N113" s="55" t="s">
        <v>923</v>
      </c>
      <c r="O113" s="85" t="s">
        <v>1479</v>
      </c>
      <c r="P113" s="57" t="s">
        <v>2310</v>
      </c>
      <c r="Q113" s="18">
        <f t="shared" si="4"/>
        <v>4</v>
      </c>
      <c r="R113" s="49">
        <v>30</v>
      </c>
      <c r="S113" s="49">
        <f t="shared" si="5"/>
        <v>120</v>
      </c>
      <c r="U113" s="49">
        <f t="shared" si="6"/>
        <v>120</v>
      </c>
      <c r="V113" s="49">
        <f>IF(AND(OR(A113="Re",A113="MR"),Q113&gt;0),S113,0)</f>
        <v>0</v>
      </c>
    </row>
    <row r="114" spans="1:22" s="49" customFormat="1">
      <c r="A114" s="56" t="s">
        <v>2795</v>
      </c>
      <c r="B114" s="55">
        <v>1</v>
      </c>
      <c r="C114" s="55"/>
      <c r="D114" s="55" t="s">
        <v>2800</v>
      </c>
      <c r="E114" s="55" t="s">
        <v>2800</v>
      </c>
      <c r="F114" s="55" t="s">
        <v>2800</v>
      </c>
      <c r="G114" s="55" t="s">
        <v>2800</v>
      </c>
      <c r="H114" s="55" t="s">
        <v>3040</v>
      </c>
      <c r="I114" s="103" t="s">
        <v>1024</v>
      </c>
      <c r="J114" s="103">
        <v>2</v>
      </c>
      <c r="K114" s="103">
        <v>5</v>
      </c>
      <c r="L114" s="55" t="s">
        <v>352</v>
      </c>
      <c r="M114" s="55">
        <v>59</v>
      </c>
      <c r="N114" s="55" t="s">
        <v>923</v>
      </c>
      <c r="O114" s="85" t="s">
        <v>1473</v>
      </c>
      <c r="P114" s="57" t="s">
        <v>960</v>
      </c>
      <c r="Q114" s="18">
        <f t="shared" si="4"/>
        <v>5</v>
      </c>
      <c r="R114" s="49">
        <v>10</v>
      </c>
      <c r="S114" s="49">
        <f t="shared" si="5"/>
        <v>50</v>
      </c>
      <c r="U114" s="49">
        <f t="shared" si="6"/>
        <v>50</v>
      </c>
      <c r="V114" s="49">
        <f t="shared" si="7"/>
        <v>0</v>
      </c>
    </row>
    <row r="115" spans="1:22" s="49" customFormat="1">
      <c r="A115" s="56" t="s">
        <v>2798</v>
      </c>
      <c r="B115" s="55">
        <v>3</v>
      </c>
      <c r="C115" s="55"/>
      <c r="D115" s="55" t="s">
        <v>2800</v>
      </c>
      <c r="E115" s="55" t="s">
        <v>2801</v>
      </c>
      <c r="F115" s="55" t="s">
        <v>2801</v>
      </c>
      <c r="G115" s="55" t="s">
        <v>2801</v>
      </c>
      <c r="H115" s="55" t="s">
        <v>3041</v>
      </c>
      <c r="I115" s="103" t="s">
        <v>1027</v>
      </c>
      <c r="J115" s="103">
        <v>4</v>
      </c>
      <c r="K115" s="103">
        <v>5</v>
      </c>
      <c r="L115" s="55" t="s">
        <v>352</v>
      </c>
      <c r="M115" s="55">
        <v>59</v>
      </c>
      <c r="N115" s="55" t="s">
        <v>923</v>
      </c>
      <c r="O115" s="85" t="s">
        <v>1475</v>
      </c>
      <c r="P115" s="57" t="s">
        <v>2394</v>
      </c>
      <c r="Q115" s="18">
        <f t="shared" si="4"/>
        <v>2</v>
      </c>
      <c r="R115" s="49">
        <v>101</v>
      </c>
      <c r="S115" s="49">
        <f t="shared" si="5"/>
        <v>202</v>
      </c>
      <c r="U115" s="49">
        <f t="shared" si="6"/>
        <v>0</v>
      </c>
      <c r="V115" s="49">
        <f t="shared" si="7"/>
        <v>202</v>
      </c>
    </row>
    <row r="116" spans="1:22" s="49" customFormat="1">
      <c r="A116" s="56" t="s">
        <v>2794</v>
      </c>
      <c r="B116" s="55">
        <v>2</v>
      </c>
      <c r="C116" s="55"/>
      <c r="D116" s="55" t="s">
        <v>2800</v>
      </c>
      <c r="E116" s="55" t="s">
        <v>2800</v>
      </c>
      <c r="F116" s="55" t="s">
        <v>2800</v>
      </c>
      <c r="G116" s="55" t="s">
        <v>2801</v>
      </c>
      <c r="H116" s="55" t="s">
        <v>3042</v>
      </c>
      <c r="I116" s="103" t="s">
        <v>1028</v>
      </c>
      <c r="J116" s="103">
        <v>5</v>
      </c>
      <c r="K116" s="103">
        <v>5</v>
      </c>
      <c r="L116" s="55" t="s">
        <v>352</v>
      </c>
      <c r="M116" s="55">
        <v>59</v>
      </c>
      <c r="N116" s="55" t="s">
        <v>923</v>
      </c>
      <c r="O116" s="85" t="s">
        <v>1475</v>
      </c>
      <c r="P116" s="57" t="s">
        <v>989</v>
      </c>
      <c r="Q116" s="18">
        <f t="shared" si="4"/>
        <v>4</v>
      </c>
      <c r="R116" s="49">
        <v>30</v>
      </c>
      <c r="S116" s="49">
        <f t="shared" si="5"/>
        <v>120</v>
      </c>
      <c r="U116" s="49">
        <f t="shared" si="6"/>
        <v>120</v>
      </c>
      <c r="V116" s="49">
        <f t="shared" si="7"/>
        <v>0</v>
      </c>
    </row>
    <row r="117" spans="1:22" s="49" customFormat="1">
      <c r="A117" s="56" t="s">
        <v>2798</v>
      </c>
      <c r="B117" s="55">
        <v>3</v>
      </c>
      <c r="C117" s="55"/>
      <c r="D117" s="55" t="s">
        <v>2800</v>
      </c>
      <c r="E117" s="55" t="s">
        <v>2801</v>
      </c>
      <c r="F117" s="55" t="s">
        <v>2801</v>
      </c>
      <c r="G117" s="55" t="s">
        <v>2801</v>
      </c>
      <c r="H117" s="55" t="s">
        <v>3137</v>
      </c>
      <c r="I117" s="103">
        <v>2</v>
      </c>
      <c r="J117" s="103">
        <v>2</v>
      </c>
      <c r="K117" s="103">
        <v>6</v>
      </c>
      <c r="L117" s="55" t="s">
        <v>352</v>
      </c>
      <c r="M117" s="55">
        <v>59</v>
      </c>
      <c r="N117" s="55" t="s">
        <v>2237</v>
      </c>
      <c r="O117" s="85"/>
      <c r="P117" s="57" t="s">
        <v>2401</v>
      </c>
      <c r="Q117" s="18">
        <f t="shared" si="4"/>
        <v>2</v>
      </c>
      <c r="R117" s="49">
        <v>86</v>
      </c>
      <c r="S117" s="49">
        <f t="shared" si="5"/>
        <v>172</v>
      </c>
      <c r="U117" s="49">
        <f t="shared" si="6"/>
        <v>0</v>
      </c>
      <c r="V117" s="49">
        <f t="shared" si="7"/>
        <v>172</v>
      </c>
    </row>
    <row r="118" spans="1:22" s="49" customFormat="1">
      <c r="A118" s="56" t="s">
        <v>2794</v>
      </c>
      <c r="B118" s="55">
        <v>2</v>
      </c>
      <c r="C118" s="55"/>
      <c r="D118" s="55" t="s">
        <v>2800</v>
      </c>
      <c r="E118" s="55" t="s">
        <v>2800</v>
      </c>
      <c r="F118" s="55" t="s">
        <v>2800</v>
      </c>
      <c r="G118" s="55" t="s">
        <v>2801</v>
      </c>
      <c r="H118" s="55" t="s">
        <v>3043</v>
      </c>
      <c r="I118" s="103" t="s">
        <v>1032</v>
      </c>
      <c r="J118" s="103">
        <v>3</v>
      </c>
      <c r="K118" s="103">
        <v>10</v>
      </c>
      <c r="L118" s="55" t="s">
        <v>352</v>
      </c>
      <c r="M118" s="55">
        <v>59</v>
      </c>
      <c r="N118" s="55" t="s">
        <v>923</v>
      </c>
      <c r="O118" s="85" t="s">
        <v>1475</v>
      </c>
      <c r="P118" s="57" t="s">
        <v>2333</v>
      </c>
      <c r="Q118" s="18">
        <f t="shared" si="4"/>
        <v>4</v>
      </c>
      <c r="R118" s="49">
        <v>30</v>
      </c>
      <c r="S118" s="49">
        <f t="shared" si="5"/>
        <v>120</v>
      </c>
      <c r="U118" s="49">
        <f t="shared" si="6"/>
        <v>120</v>
      </c>
      <c r="V118" s="49">
        <f t="shared" si="7"/>
        <v>0</v>
      </c>
    </row>
    <row r="119" spans="1:22" s="49" customFormat="1">
      <c r="A119" s="56" t="s">
        <v>2794</v>
      </c>
      <c r="B119" s="55">
        <v>2</v>
      </c>
      <c r="C119" s="55"/>
      <c r="D119" s="55" t="s">
        <v>2800</v>
      </c>
      <c r="E119" s="55" t="s">
        <v>2800</v>
      </c>
      <c r="F119" s="55" t="s">
        <v>2800</v>
      </c>
      <c r="G119" s="55" t="s">
        <v>2801</v>
      </c>
      <c r="H119" s="55" t="s">
        <v>3044</v>
      </c>
      <c r="I119" s="103" t="s">
        <v>1034</v>
      </c>
      <c r="J119" s="103">
        <v>5</v>
      </c>
      <c r="K119" s="103">
        <v>11</v>
      </c>
      <c r="L119" s="55" t="s">
        <v>352</v>
      </c>
      <c r="M119" s="55">
        <v>59</v>
      </c>
      <c r="N119" s="55" t="s">
        <v>923</v>
      </c>
      <c r="O119" s="85" t="s">
        <v>1479</v>
      </c>
      <c r="P119" s="57" t="s">
        <v>967</v>
      </c>
      <c r="Q119" s="18">
        <f t="shared" si="4"/>
        <v>4</v>
      </c>
      <c r="R119" s="49">
        <v>30</v>
      </c>
      <c r="S119" s="49">
        <f t="shared" si="5"/>
        <v>120</v>
      </c>
      <c r="U119" s="49">
        <f t="shared" si="6"/>
        <v>120</v>
      </c>
      <c r="V119" s="49">
        <f t="shared" si="7"/>
        <v>0</v>
      </c>
    </row>
    <row r="120" spans="1:22" s="49" customFormat="1">
      <c r="A120" s="56" t="s">
        <v>2794</v>
      </c>
      <c r="B120" s="55">
        <v>2</v>
      </c>
      <c r="C120" s="55"/>
      <c r="D120" s="55" t="s">
        <v>2800</v>
      </c>
      <c r="E120" s="55" t="s">
        <v>2800</v>
      </c>
      <c r="F120" s="55" t="s">
        <v>2800</v>
      </c>
      <c r="G120" s="55" t="s">
        <v>2801</v>
      </c>
      <c r="H120" s="55" t="s">
        <v>3037</v>
      </c>
      <c r="I120" s="103" t="s">
        <v>8</v>
      </c>
      <c r="J120" s="103">
        <v>2</v>
      </c>
      <c r="K120" s="103">
        <v>4</v>
      </c>
      <c r="L120" s="55" t="s">
        <v>352</v>
      </c>
      <c r="M120" s="55">
        <v>59</v>
      </c>
      <c r="N120" s="55" t="s">
        <v>923</v>
      </c>
      <c r="O120" s="85" t="s">
        <v>1475</v>
      </c>
      <c r="P120" s="57" t="s">
        <v>2336</v>
      </c>
      <c r="Q120" s="18">
        <f t="shared" si="4"/>
        <v>4</v>
      </c>
      <c r="R120" s="49">
        <v>30</v>
      </c>
      <c r="S120" s="49">
        <f t="shared" si="5"/>
        <v>120</v>
      </c>
      <c r="U120" s="49">
        <f t="shared" si="6"/>
        <v>120</v>
      </c>
      <c r="V120" s="49">
        <f t="shared" si="7"/>
        <v>0</v>
      </c>
    </row>
    <row r="121" spans="1:22" s="49" customFormat="1">
      <c r="A121" s="56" t="s">
        <v>2794</v>
      </c>
      <c r="B121" s="55">
        <v>2</v>
      </c>
      <c r="C121" s="55"/>
      <c r="D121" s="55" t="s">
        <v>2800</v>
      </c>
      <c r="E121" s="55" t="s">
        <v>2800</v>
      </c>
      <c r="F121" s="55" t="s">
        <v>2800</v>
      </c>
      <c r="G121" s="55" t="s">
        <v>2801</v>
      </c>
      <c r="H121" s="55" t="s">
        <v>3045</v>
      </c>
      <c r="I121" s="103" t="s">
        <v>1038</v>
      </c>
      <c r="J121" s="103">
        <v>3</v>
      </c>
      <c r="K121" s="103">
        <v>13</v>
      </c>
      <c r="L121" s="55" t="s">
        <v>352</v>
      </c>
      <c r="M121" s="55">
        <v>59</v>
      </c>
      <c r="N121" s="55" t="s">
        <v>923</v>
      </c>
      <c r="O121" s="85" t="s">
        <v>1473</v>
      </c>
      <c r="P121" s="57" t="s">
        <v>2338</v>
      </c>
      <c r="Q121" s="18">
        <f t="shared" si="4"/>
        <v>4</v>
      </c>
      <c r="R121" s="49">
        <v>30</v>
      </c>
      <c r="S121" s="49">
        <f t="shared" si="5"/>
        <v>120</v>
      </c>
      <c r="U121" s="49">
        <f t="shared" si="6"/>
        <v>120</v>
      </c>
      <c r="V121" s="49">
        <f t="shared" si="7"/>
        <v>0</v>
      </c>
    </row>
    <row r="122" spans="1:22" s="49" customFormat="1" ht="14.25" thickBot="1">
      <c r="A122" s="53" t="s">
        <v>2794</v>
      </c>
      <c r="B122" s="54">
        <v>2</v>
      </c>
      <c r="C122" s="54"/>
      <c r="D122" s="54" t="s">
        <v>2800</v>
      </c>
      <c r="E122" s="54" t="s">
        <v>2800</v>
      </c>
      <c r="F122" s="54" t="s">
        <v>2800</v>
      </c>
      <c r="G122" s="54" t="s">
        <v>2801</v>
      </c>
      <c r="H122" s="54" t="s">
        <v>3046</v>
      </c>
      <c r="I122" s="126" t="s">
        <v>1041</v>
      </c>
      <c r="J122" s="126">
        <v>3</v>
      </c>
      <c r="K122" s="126">
        <v>14</v>
      </c>
      <c r="L122" s="54" t="s">
        <v>352</v>
      </c>
      <c r="M122" s="54">
        <v>59</v>
      </c>
      <c r="N122" s="54" t="s">
        <v>923</v>
      </c>
      <c r="O122" s="93" t="s">
        <v>1473</v>
      </c>
      <c r="P122" s="11" t="s">
        <v>2340</v>
      </c>
      <c r="Q122" s="18">
        <f t="shared" si="4"/>
        <v>4</v>
      </c>
      <c r="R122" s="49">
        <v>30</v>
      </c>
      <c r="S122" s="49">
        <f t="shared" si="5"/>
        <v>120</v>
      </c>
      <c r="U122" s="49">
        <f t="shared" si="6"/>
        <v>120</v>
      </c>
      <c r="V122" s="49">
        <f t="shared" si="7"/>
        <v>0</v>
      </c>
    </row>
    <row r="123" spans="1:22" s="49" customFormat="1">
      <c r="A123" s="50" t="s">
        <v>2795</v>
      </c>
      <c r="B123" s="51">
        <v>1</v>
      </c>
      <c r="C123" s="51"/>
      <c r="D123" s="51" t="s">
        <v>2800</v>
      </c>
      <c r="E123" s="51" t="s">
        <v>2800</v>
      </c>
      <c r="F123" s="51" t="s">
        <v>2800</v>
      </c>
      <c r="G123" s="51" t="s">
        <v>2800</v>
      </c>
      <c r="H123" s="51" t="s">
        <v>3047</v>
      </c>
      <c r="I123" s="129" t="s">
        <v>977</v>
      </c>
      <c r="J123" s="129">
        <v>2</v>
      </c>
      <c r="K123" s="129">
        <v>1</v>
      </c>
      <c r="L123" s="51" t="s">
        <v>353</v>
      </c>
      <c r="M123" s="51">
        <v>60</v>
      </c>
      <c r="N123" s="51" t="s">
        <v>923</v>
      </c>
      <c r="O123" s="92" t="s">
        <v>1473</v>
      </c>
      <c r="P123" s="52" t="s">
        <v>939</v>
      </c>
      <c r="Q123" s="18">
        <f t="shared" si="4"/>
        <v>5</v>
      </c>
      <c r="R123" s="49">
        <v>10</v>
      </c>
      <c r="S123" s="49">
        <f t="shared" si="5"/>
        <v>50</v>
      </c>
      <c r="U123" s="49">
        <f t="shared" si="6"/>
        <v>50</v>
      </c>
      <c r="V123" s="49">
        <f t="shared" si="7"/>
        <v>0</v>
      </c>
    </row>
    <row r="124" spans="1:22" s="49" customFormat="1">
      <c r="A124" s="56" t="s">
        <v>2795</v>
      </c>
      <c r="B124" s="55">
        <v>1</v>
      </c>
      <c r="C124" s="55"/>
      <c r="D124" s="55" t="s">
        <v>2800</v>
      </c>
      <c r="E124" s="55" t="s">
        <v>2800</v>
      </c>
      <c r="F124" s="55" t="s">
        <v>2800</v>
      </c>
      <c r="G124" s="55" t="s">
        <v>2800</v>
      </c>
      <c r="H124" s="55" t="s">
        <v>3048</v>
      </c>
      <c r="I124" s="103" t="s">
        <v>1002</v>
      </c>
      <c r="J124" s="103">
        <v>5</v>
      </c>
      <c r="K124" s="103">
        <v>2</v>
      </c>
      <c r="L124" s="55" t="s">
        <v>353</v>
      </c>
      <c r="M124" s="55">
        <v>60</v>
      </c>
      <c r="N124" s="55" t="s">
        <v>923</v>
      </c>
      <c r="O124" s="85" t="s">
        <v>1479</v>
      </c>
      <c r="P124" s="57" t="s">
        <v>2179</v>
      </c>
      <c r="Q124" s="18">
        <f t="shared" si="4"/>
        <v>5</v>
      </c>
      <c r="R124" s="49">
        <v>10</v>
      </c>
      <c r="S124" s="49">
        <f t="shared" si="5"/>
        <v>50</v>
      </c>
      <c r="U124" s="49">
        <f t="shared" si="6"/>
        <v>50</v>
      </c>
      <c r="V124" s="49">
        <f t="shared" si="7"/>
        <v>0</v>
      </c>
    </row>
    <row r="125" spans="1:22" s="49" customFormat="1">
      <c r="A125" s="56" t="s">
        <v>2798</v>
      </c>
      <c r="B125" s="55">
        <v>3</v>
      </c>
      <c r="C125" s="55"/>
      <c r="D125" s="55" t="s">
        <v>2800</v>
      </c>
      <c r="E125" s="55" t="s">
        <v>2801</v>
      </c>
      <c r="F125" s="55" t="s">
        <v>2801</v>
      </c>
      <c r="G125" s="55" t="s">
        <v>2801</v>
      </c>
      <c r="H125" s="55" t="s">
        <v>3138</v>
      </c>
      <c r="I125" s="103" t="s">
        <v>2182</v>
      </c>
      <c r="J125" s="103">
        <v>5</v>
      </c>
      <c r="K125" s="103">
        <v>2</v>
      </c>
      <c r="L125" s="55" t="s">
        <v>353</v>
      </c>
      <c r="M125" s="55">
        <v>60</v>
      </c>
      <c r="N125" s="55" t="s">
        <v>923</v>
      </c>
      <c r="O125" s="85" t="s">
        <v>1469</v>
      </c>
      <c r="P125" s="57" t="s">
        <v>2498</v>
      </c>
      <c r="Q125" s="18">
        <f t="shared" si="4"/>
        <v>2</v>
      </c>
      <c r="R125" s="49">
        <v>53</v>
      </c>
      <c r="S125" s="49">
        <f t="shared" si="5"/>
        <v>106</v>
      </c>
      <c r="U125" s="49">
        <f t="shared" si="6"/>
        <v>0</v>
      </c>
      <c r="V125" s="49">
        <f t="shared" si="7"/>
        <v>106</v>
      </c>
    </row>
    <row r="126" spans="1:22" s="49" customFormat="1">
      <c r="A126" s="56" t="s">
        <v>2795</v>
      </c>
      <c r="B126" s="55">
        <v>1</v>
      </c>
      <c r="C126" s="55"/>
      <c r="D126" s="55" t="s">
        <v>2800</v>
      </c>
      <c r="E126" s="55" t="s">
        <v>2800</v>
      </c>
      <c r="F126" s="55" t="s">
        <v>2800</v>
      </c>
      <c r="G126" s="55" t="s">
        <v>2800</v>
      </c>
      <c r="H126" s="55" t="s">
        <v>3049</v>
      </c>
      <c r="I126" s="103" t="s">
        <v>1011</v>
      </c>
      <c r="J126" s="103">
        <v>5</v>
      </c>
      <c r="K126" s="103">
        <v>3</v>
      </c>
      <c r="L126" s="55" t="s">
        <v>353</v>
      </c>
      <c r="M126" s="55">
        <v>60</v>
      </c>
      <c r="N126" s="55" t="s">
        <v>923</v>
      </c>
      <c r="O126" s="85" t="s">
        <v>1479</v>
      </c>
      <c r="P126" s="57" t="s">
        <v>1650</v>
      </c>
      <c r="Q126" s="18">
        <f t="shared" si="4"/>
        <v>5</v>
      </c>
      <c r="R126" s="49">
        <v>10</v>
      </c>
      <c r="S126" s="49">
        <f t="shared" si="5"/>
        <v>50</v>
      </c>
      <c r="U126" s="49">
        <f t="shared" si="6"/>
        <v>50</v>
      </c>
      <c r="V126" s="49">
        <f t="shared" si="7"/>
        <v>0</v>
      </c>
    </row>
    <row r="127" spans="1:22" s="49" customFormat="1">
      <c r="A127" s="56" t="s">
        <v>2794</v>
      </c>
      <c r="B127" s="55">
        <v>2</v>
      </c>
      <c r="C127" s="55"/>
      <c r="D127" s="55" t="s">
        <v>2800</v>
      </c>
      <c r="E127" s="55" t="s">
        <v>2800</v>
      </c>
      <c r="F127" s="55" t="s">
        <v>2800</v>
      </c>
      <c r="G127" s="55" t="s">
        <v>2801</v>
      </c>
      <c r="H127" s="55" t="s">
        <v>2607</v>
      </c>
      <c r="I127" s="103" t="s">
        <v>1014</v>
      </c>
      <c r="J127" s="103">
        <v>3</v>
      </c>
      <c r="K127" s="103">
        <v>4</v>
      </c>
      <c r="L127" s="55" t="s">
        <v>353</v>
      </c>
      <c r="M127" s="55">
        <v>60</v>
      </c>
      <c r="N127" s="55" t="s">
        <v>923</v>
      </c>
      <c r="O127" s="85" t="s">
        <v>2308</v>
      </c>
      <c r="P127" s="57" t="s">
        <v>2763</v>
      </c>
      <c r="Q127" s="18">
        <f t="shared" si="4"/>
        <v>4</v>
      </c>
      <c r="R127" s="49">
        <v>30</v>
      </c>
      <c r="S127" s="49">
        <f t="shared" si="5"/>
        <v>120</v>
      </c>
      <c r="U127" s="49">
        <f t="shared" si="6"/>
        <v>120</v>
      </c>
      <c r="V127" s="49">
        <f t="shared" si="7"/>
        <v>0</v>
      </c>
    </row>
    <row r="128" spans="1:22" s="49" customFormat="1">
      <c r="A128" s="56" t="s">
        <v>2795</v>
      </c>
      <c r="B128" s="55">
        <v>1</v>
      </c>
      <c r="C128" s="55"/>
      <c r="D128" s="55" t="s">
        <v>2800</v>
      </c>
      <c r="E128" s="55" t="s">
        <v>2800</v>
      </c>
      <c r="F128" s="55" t="s">
        <v>2800</v>
      </c>
      <c r="G128" s="55" t="s">
        <v>2800</v>
      </c>
      <c r="H128" s="55" t="s">
        <v>3050</v>
      </c>
      <c r="I128" s="103" t="s">
        <v>1021</v>
      </c>
      <c r="J128" s="103">
        <v>6</v>
      </c>
      <c r="K128" s="103">
        <v>4</v>
      </c>
      <c r="L128" s="55" t="s">
        <v>353</v>
      </c>
      <c r="M128" s="55">
        <v>60</v>
      </c>
      <c r="N128" s="55" t="s">
        <v>923</v>
      </c>
      <c r="O128" s="85" t="s">
        <v>1482</v>
      </c>
      <c r="P128" s="57" t="s">
        <v>742</v>
      </c>
      <c r="Q128" s="18">
        <f t="shared" si="4"/>
        <v>5</v>
      </c>
      <c r="R128" s="49">
        <v>10</v>
      </c>
      <c r="S128" s="49">
        <f t="shared" si="5"/>
        <v>50</v>
      </c>
      <c r="U128" s="49">
        <f t="shared" si="6"/>
        <v>50</v>
      </c>
      <c r="V128" s="49">
        <f t="shared" si="7"/>
        <v>0</v>
      </c>
    </row>
    <row r="129" spans="1:22" s="49" customFormat="1">
      <c r="A129" s="56" t="s">
        <v>2794</v>
      </c>
      <c r="B129" s="55">
        <v>2</v>
      </c>
      <c r="C129" s="55"/>
      <c r="D129" s="55" t="s">
        <v>2800</v>
      </c>
      <c r="E129" s="55" t="s">
        <v>2800</v>
      </c>
      <c r="F129" s="55" t="s">
        <v>2800</v>
      </c>
      <c r="G129" s="55" t="s">
        <v>2801</v>
      </c>
      <c r="H129" s="55" t="s">
        <v>2966</v>
      </c>
      <c r="I129" s="103" t="s">
        <v>1026</v>
      </c>
      <c r="J129" s="103">
        <v>3</v>
      </c>
      <c r="K129" s="103">
        <v>5</v>
      </c>
      <c r="L129" s="55" t="s">
        <v>353</v>
      </c>
      <c r="M129" s="55">
        <v>60</v>
      </c>
      <c r="N129" s="55" t="s">
        <v>923</v>
      </c>
      <c r="O129" s="85" t="s">
        <v>1475</v>
      </c>
      <c r="P129" s="57" t="s">
        <v>2489</v>
      </c>
      <c r="Q129" s="18">
        <f t="shared" si="4"/>
        <v>4</v>
      </c>
      <c r="R129" s="49">
        <v>30</v>
      </c>
      <c r="S129" s="49">
        <f t="shared" si="5"/>
        <v>120</v>
      </c>
      <c r="U129" s="49">
        <f t="shared" si="6"/>
        <v>120</v>
      </c>
      <c r="V129" s="49">
        <f t="shared" si="7"/>
        <v>0</v>
      </c>
    </row>
    <row r="130" spans="1:22" s="49" customFormat="1">
      <c r="A130" s="56" t="s">
        <v>2795</v>
      </c>
      <c r="B130" s="55">
        <v>1</v>
      </c>
      <c r="C130" s="55"/>
      <c r="D130" s="55" t="s">
        <v>2800</v>
      </c>
      <c r="E130" s="55" t="s">
        <v>2800</v>
      </c>
      <c r="F130" s="55" t="s">
        <v>2800</v>
      </c>
      <c r="G130" s="55" t="s">
        <v>2800</v>
      </c>
      <c r="H130" s="55" t="s">
        <v>3051</v>
      </c>
      <c r="I130" s="103" t="s">
        <v>1027</v>
      </c>
      <c r="J130" s="103">
        <v>4</v>
      </c>
      <c r="K130" s="103">
        <v>5</v>
      </c>
      <c r="L130" s="55" t="s">
        <v>353</v>
      </c>
      <c r="M130" s="55">
        <v>60</v>
      </c>
      <c r="N130" s="55" t="s">
        <v>923</v>
      </c>
      <c r="O130" s="85" t="s">
        <v>1475</v>
      </c>
      <c r="P130" s="57" t="s">
        <v>2197</v>
      </c>
      <c r="Q130" s="18">
        <f t="shared" si="4"/>
        <v>5</v>
      </c>
      <c r="R130" s="49">
        <v>10</v>
      </c>
      <c r="S130" s="49">
        <f t="shared" si="5"/>
        <v>50</v>
      </c>
      <c r="U130" s="49">
        <f t="shared" si="6"/>
        <v>50</v>
      </c>
      <c r="V130" s="49">
        <f t="shared" si="7"/>
        <v>0</v>
      </c>
    </row>
    <row r="131" spans="1:22" s="49" customFormat="1">
      <c r="A131" s="56" t="s">
        <v>2794</v>
      </c>
      <c r="B131" s="55">
        <v>2</v>
      </c>
      <c r="C131" s="55"/>
      <c r="D131" s="55" t="s">
        <v>2800</v>
      </c>
      <c r="E131" s="55" t="s">
        <v>2800</v>
      </c>
      <c r="F131" s="55" t="s">
        <v>2800</v>
      </c>
      <c r="G131" s="55" t="s">
        <v>2801</v>
      </c>
      <c r="H131" s="55" t="s">
        <v>3052</v>
      </c>
      <c r="I131" s="103" t="s">
        <v>1044</v>
      </c>
      <c r="J131" s="103">
        <v>3</v>
      </c>
      <c r="K131" s="103">
        <v>15</v>
      </c>
      <c r="L131" s="55" t="s">
        <v>353</v>
      </c>
      <c r="M131" s="55">
        <v>60</v>
      </c>
      <c r="N131" s="55" t="s">
        <v>923</v>
      </c>
      <c r="O131" s="85" t="s">
        <v>1475</v>
      </c>
      <c r="P131" s="57" t="s">
        <v>2341</v>
      </c>
      <c r="Q131" s="18">
        <f t="shared" ref="Q131:Q194" si="8">IF(ISBLANK(A131),"",COUNTBLANK(C131:G131))</f>
        <v>4</v>
      </c>
      <c r="R131" s="49">
        <v>30</v>
      </c>
      <c r="S131" s="49">
        <f t="shared" ref="S131:S194" si="9">IF(R131="#",0,Q131*R131)</f>
        <v>120</v>
      </c>
      <c r="U131" s="49">
        <f t="shared" ref="U131:U194" si="10">IF(AND(OR(A131="Co",A131="UC"),Q131&gt;0),S131,0)</f>
        <v>120</v>
      </c>
      <c r="V131" s="49">
        <f t="shared" ref="V131:V194" si="11">IF(AND(OR(A131="Re",A131="MR"),Q131&gt;0),S131,0)</f>
        <v>0</v>
      </c>
    </row>
    <row r="132" spans="1:22" s="49" customFormat="1">
      <c r="A132" s="56" t="s">
        <v>2794</v>
      </c>
      <c r="B132" s="55">
        <v>2</v>
      </c>
      <c r="C132" s="55" t="s">
        <v>2812</v>
      </c>
      <c r="D132" s="55" t="s">
        <v>2800</v>
      </c>
      <c r="E132" s="55" t="s">
        <v>2800</v>
      </c>
      <c r="F132" s="55" t="s">
        <v>2800</v>
      </c>
      <c r="G132" s="55" t="s">
        <v>2801</v>
      </c>
      <c r="H132" s="55" t="s">
        <v>3053</v>
      </c>
      <c r="I132" s="103" t="s">
        <v>1048</v>
      </c>
      <c r="J132" s="103">
        <v>3</v>
      </c>
      <c r="K132" s="103">
        <v>16</v>
      </c>
      <c r="L132" s="55" t="s">
        <v>353</v>
      </c>
      <c r="M132" s="55">
        <v>60</v>
      </c>
      <c r="N132" s="55" t="s">
        <v>923</v>
      </c>
      <c r="O132" s="85" t="s">
        <v>1475</v>
      </c>
      <c r="P132" s="57" t="s">
        <v>991</v>
      </c>
      <c r="Q132" s="18">
        <f t="shared" si="8"/>
        <v>3</v>
      </c>
      <c r="R132" s="49">
        <v>30</v>
      </c>
      <c r="S132" s="49">
        <f t="shared" si="9"/>
        <v>90</v>
      </c>
      <c r="U132" s="49">
        <f t="shared" si="10"/>
        <v>90</v>
      </c>
      <c r="V132" s="49">
        <f t="shared" si="11"/>
        <v>0</v>
      </c>
    </row>
    <row r="133" spans="1:22" s="49" customFormat="1">
      <c r="A133" s="56" t="s">
        <v>2794</v>
      </c>
      <c r="B133" s="55">
        <v>2</v>
      </c>
      <c r="C133" s="55"/>
      <c r="D133" s="55" t="s">
        <v>2800</v>
      </c>
      <c r="E133" s="55" t="s">
        <v>2800</v>
      </c>
      <c r="F133" s="55" t="s">
        <v>2800</v>
      </c>
      <c r="G133" s="55" t="s">
        <v>2801</v>
      </c>
      <c r="H133" s="55" t="s">
        <v>3054</v>
      </c>
      <c r="I133" s="103" t="s">
        <v>35</v>
      </c>
      <c r="J133" s="103">
        <v>2</v>
      </c>
      <c r="K133" s="103">
        <v>17</v>
      </c>
      <c r="L133" s="55" t="s">
        <v>353</v>
      </c>
      <c r="M133" s="55">
        <v>60</v>
      </c>
      <c r="N133" s="55" t="s">
        <v>923</v>
      </c>
      <c r="O133" s="85" t="s">
        <v>1475</v>
      </c>
      <c r="P133" s="57" t="s">
        <v>992</v>
      </c>
      <c r="Q133" s="18">
        <f t="shared" si="8"/>
        <v>4</v>
      </c>
      <c r="R133" s="49">
        <v>30</v>
      </c>
      <c r="S133" s="49">
        <f t="shared" si="9"/>
        <v>120</v>
      </c>
      <c r="U133" s="49">
        <f t="shared" si="10"/>
        <v>120</v>
      </c>
      <c r="V133" s="49">
        <f t="shared" si="11"/>
        <v>0</v>
      </c>
    </row>
    <row r="134" spans="1:22" s="49" customFormat="1">
      <c r="A134" s="56" t="s">
        <v>2794</v>
      </c>
      <c r="B134" s="55">
        <v>2</v>
      </c>
      <c r="C134" s="55"/>
      <c r="D134" s="55" t="s">
        <v>2800</v>
      </c>
      <c r="E134" s="55" t="s">
        <v>2800</v>
      </c>
      <c r="F134" s="55" t="s">
        <v>2800</v>
      </c>
      <c r="G134" s="55" t="s">
        <v>2801</v>
      </c>
      <c r="H134" s="55" t="s">
        <v>3055</v>
      </c>
      <c r="I134" s="103" t="s">
        <v>36</v>
      </c>
      <c r="J134" s="103">
        <v>2</v>
      </c>
      <c r="K134" s="103">
        <v>18</v>
      </c>
      <c r="L134" s="55" t="s">
        <v>353</v>
      </c>
      <c r="M134" s="55">
        <v>60</v>
      </c>
      <c r="N134" s="55" t="s">
        <v>923</v>
      </c>
      <c r="O134" s="85" t="s">
        <v>1475</v>
      </c>
      <c r="P134" s="57" t="s">
        <v>2355</v>
      </c>
      <c r="Q134" s="18">
        <f t="shared" si="8"/>
        <v>4</v>
      </c>
      <c r="R134" s="49">
        <v>30</v>
      </c>
      <c r="S134" s="49">
        <f t="shared" si="9"/>
        <v>120</v>
      </c>
      <c r="U134" s="49">
        <f t="shared" si="10"/>
        <v>120</v>
      </c>
      <c r="V134" s="49">
        <f t="shared" si="11"/>
        <v>0</v>
      </c>
    </row>
    <row r="135" spans="1:22" s="49" customFormat="1">
      <c r="A135" s="56" t="s">
        <v>2794</v>
      </c>
      <c r="B135" s="55">
        <v>2</v>
      </c>
      <c r="C135" s="55"/>
      <c r="D135" s="55" t="s">
        <v>2800</v>
      </c>
      <c r="E135" s="55" t="s">
        <v>2800</v>
      </c>
      <c r="F135" s="55" t="s">
        <v>2800</v>
      </c>
      <c r="G135" s="55" t="s">
        <v>2801</v>
      </c>
      <c r="H135" s="55" t="s">
        <v>3056</v>
      </c>
      <c r="I135" s="103" t="s">
        <v>37</v>
      </c>
      <c r="J135" s="103">
        <v>2</v>
      </c>
      <c r="K135" s="103">
        <v>19</v>
      </c>
      <c r="L135" s="55" t="s">
        <v>353</v>
      </c>
      <c r="M135" s="55">
        <v>60</v>
      </c>
      <c r="N135" s="55" t="s">
        <v>923</v>
      </c>
      <c r="O135" s="85" t="s">
        <v>1475</v>
      </c>
      <c r="P135" s="57" t="s">
        <v>2361</v>
      </c>
      <c r="Q135" s="18">
        <f t="shared" si="8"/>
        <v>4</v>
      </c>
      <c r="R135" s="49">
        <v>30</v>
      </c>
      <c r="S135" s="49">
        <f t="shared" si="9"/>
        <v>120</v>
      </c>
      <c r="U135" s="49">
        <f t="shared" si="10"/>
        <v>120</v>
      </c>
      <c r="V135" s="49">
        <f t="shared" si="11"/>
        <v>0</v>
      </c>
    </row>
    <row r="136" spans="1:22" s="49" customFormat="1">
      <c r="A136" s="56" t="s">
        <v>2798</v>
      </c>
      <c r="B136" s="55">
        <v>3</v>
      </c>
      <c r="C136" s="55" t="s">
        <v>2812</v>
      </c>
      <c r="D136" s="55" t="s">
        <v>2800</v>
      </c>
      <c r="E136" s="55" t="s">
        <v>2801</v>
      </c>
      <c r="F136" s="55" t="s">
        <v>2801</v>
      </c>
      <c r="G136" s="55" t="s">
        <v>2801</v>
      </c>
      <c r="H136" s="55" t="s">
        <v>3139</v>
      </c>
      <c r="I136" s="103" t="s">
        <v>2522</v>
      </c>
      <c r="J136" s="103">
        <v>6</v>
      </c>
      <c r="K136" s="103">
        <v>20</v>
      </c>
      <c r="L136" s="55" t="s">
        <v>353</v>
      </c>
      <c r="M136" s="55">
        <v>60</v>
      </c>
      <c r="N136" s="55" t="s">
        <v>923</v>
      </c>
      <c r="O136" s="85" t="s">
        <v>1485</v>
      </c>
      <c r="P136" s="57" t="s">
        <v>2655</v>
      </c>
      <c r="Q136" s="18">
        <f t="shared" si="8"/>
        <v>1</v>
      </c>
      <c r="R136" s="49">
        <v>122</v>
      </c>
      <c r="S136" s="49">
        <f t="shared" si="9"/>
        <v>122</v>
      </c>
      <c r="U136" s="49">
        <f t="shared" si="10"/>
        <v>0</v>
      </c>
      <c r="V136" s="49">
        <f t="shared" si="11"/>
        <v>122</v>
      </c>
    </row>
    <row r="137" spans="1:22" s="49" customFormat="1">
      <c r="A137" s="56" t="s">
        <v>2798</v>
      </c>
      <c r="B137" s="55">
        <v>3</v>
      </c>
      <c r="C137" s="55" t="s">
        <v>2812</v>
      </c>
      <c r="D137" s="55" t="s">
        <v>2800</v>
      </c>
      <c r="E137" s="55" t="s">
        <v>2801</v>
      </c>
      <c r="F137" s="55" t="s">
        <v>2801</v>
      </c>
      <c r="G137" s="55" t="s">
        <v>2801</v>
      </c>
      <c r="H137" s="55" t="s">
        <v>3140</v>
      </c>
      <c r="I137" s="103" t="s">
        <v>2518</v>
      </c>
      <c r="J137" s="103">
        <v>6</v>
      </c>
      <c r="K137" s="103">
        <v>21</v>
      </c>
      <c r="L137" s="55" t="s">
        <v>353</v>
      </c>
      <c r="M137" s="55">
        <v>60</v>
      </c>
      <c r="N137" s="55" t="s">
        <v>923</v>
      </c>
      <c r="O137" s="85" t="s">
        <v>1485</v>
      </c>
      <c r="P137" s="57" t="s">
        <v>2655</v>
      </c>
      <c r="Q137" s="18">
        <f t="shared" si="8"/>
        <v>1</v>
      </c>
      <c r="R137" s="49">
        <v>109</v>
      </c>
      <c r="S137" s="49">
        <f t="shared" si="9"/>
        <v>109</v>
      </c>
      <c r="U137" s="49">
        <f t="shared" si="10"/>
        <v>0</v>
      </c>
      <c r="V137" s="49">
        <f t="shared" si="11"/>
        <v>109</v>
      </c>
    </row>
    <row r="138" spans="1:22" s="49" customFormat="1">
      <c r="A138" s="56" t="s">
        <v>2798</v>
      </c>
      <c r="B138" s="55">
        <v>3</v>
      </c>
      <c r="C138" s="55" t="s">
        <v>2812</v>
      </c>
      <c r="D138" s="55" t="s">
        <v>2800</v>
      </c>
      <c r="E138" s="55" t="s">
        <v>2801</v>
      </c>
      <c r="F138" s="55" t="s">
        <v>2801</v>
      </c>
      <c r="G138" s="55" t="s">
        <v>2801</v>
      </c>
      <c r="H138" s="55" t="s">
        <v>2967</v>
      </c>
      <c r="I138" s="103" t="s">
        <v>2519</v>
      </c>
      <c r="J138" s="103">
        <v>6</v>
      </c>
      <c r="K138" s="103">
        <v>22</v>
      </c>
      <c r="L138" s="55" t="s">
        <v>353</v>
      </c>
      <c r="M138" s="55">
        <v>60</v>
      </c>
      <c r="N138" s="55" t="s">
        <v>923</v>
      </c>
      <c r="O138" s="85" t="s">
        <v>1485</v>
      </c>
      <c r="P138" s="57" t="s">
        <v>2655</v>
      </c>
      <c r="Q138" s="18">
        <f t="shared" si="8"/>
        <v>1</v>
      </c>
      <c r="R138" s="49">
        <v>101</v>
      </c>
      <c r="S138" s="49">
        <f t="shared" si="9"/>
        <v>101</v>
      </c>
      <c r="U138" s="49">
        <f t="shared" si="10"/>
        <v>0</v>
      </c>
      <c r="V138" s="49">
        <f t="shared" si="11"/>
        <v>101</v>
      </c>
    </row>
    <row r="139" spans="1:22" s="49" customFormat="1">
      <c r="A139" s="56" t="s">
        <v>2798</v>
      </c>
      <c r="B139" s="55">
        <v>3</v>
      </c>
      <c r="C139" s="55" t="s">
        <v>2812</v>
      </c>
      <c r="D139" s="55" t="s">
        <v>2800</v>
      </c>
      <c r="E139" s="55" t="s">
        <v>2801</v>
      </c>
      <c r="F139" s="55" t="s">
        <v>2801</v>
      </c>
      <c r="G139" s="55" t="s">
        <v>2801</v>
      </c>
      <c r="H139" s="55" t="s">
        <v>2968</v>
      </c>
      <c r="I139" s="103" t="s">
        <v>2520</v>
      </c>
      <c r="J139" s="103">
        <v>6</v>
      </c>
      <c r="K139" s="103">
        <v>23</v>
      </c>
      <c r="L139" s="55" t="s">
        <v>353</v>
      </c>
      <c r="M139" s="55">
        <v>60</v>
      </c>
      <c r="N139" s="55" t="s">
        <v>923</v>
      </c>
      <c r="O139" s="85" t="s">
        <v>1485</v>
      </c>
      <c r="P139" s="57" t="s">
        <v>2655</v>
      </c>
      <c r="Q139" s="18">
        <f t="shared" si="8"/>
        <v>1</v>
      </c>
      <c r="R139" s="49">
        <v>95</v>
      </c>
      <c r="S139" s="49">
        <f t="shared" si="9"/>
        <v>95</v>
      </c>
      <c r="U139" s="49">
        <f t="shared" si="10"/>
        <v>0</v>
      </c>
      <c r="V139" s="49">
        <f t="shared" si="11"/>
        <v>95</v>
      </c>
    </row>
    <row r="140" spans="1:22" s="49" customFormat="1" ht="14.25" thickBot="1">
      <c r="A140" s="53" t="s">
        <v>2798</v>
      </c>
      <c r="B140" s="54">
        <v>3</v>
      </c>
      <c r="C140" s="54" t="s">
        <v>2812</v>
      </c>
      <c r="D140" s="54" t="s">
        <v>2800</v>
      </c>
      <c r="E140" s="54" t="s">
        <v>2801</v>
      </c>
      <c r="F140" s="54" t="s">
        <v>2801</v>
      </c>
      <c r="G140" s="54" t="s">
        <v>2801</v>
      </c>
      <c r="H140" s="54" t="s">
        <v>2969</v>
      </c>
      <c r="I140" s="126" t="s">
        <v>2521</v>
      </c>
      <c r="J140" s="126">
        <v>6</v>
      </c>
      <c r="K140" s="126">
        <v>24</v>
      </c>
      <c r="L140" s="54" t="s">
        <v>353</v>
      </c>
      <c r="M140" s="54">
        <v>60</v>
      </c>
      <c r="N140" s="54" t="s">
        <v>923</v>
      </c>
      <c r="O140" s="93" t="s">
        <v>1485</v>
      </c>
      <c r="P140" s="11" t="s">
        <v>2655</v>
      </c>
      <c r="Q140" s="18">
        <f t="shared" si="8"/>
        <v>1</v>
      </c>
      <c r="R140" s="49">
        <v>51</v>
      </c>
      <c r="S140" s="49">
        <f t="shared" si="9"/>
        <v>51</v>
      </c>
      <c r="U140" s="49">
        <f t="shared" si="10"/>
        <v>0</v>
      </c>
      <c r="V140" s="49">
        <f t="shared" si="11"/>
        <v>51</v>
      </c>
    </row>
    <row r="141" spans="1:22" s="49" customFormat="1">
      <c r="A141" s="99" t="s">
        <v>2795</v>
      </c>
      <c r="B141" s="60">
        <v>1</v>
      </c>
      <c r="C141" s="60"/>
      <c r="D141" s="60" t="s">
        <v>2800</v>
      </c>
      <c r="E141" s="60" t="s">
        <v>2800</v>
      </c>
      <c r="F141" s="60" t="s">
        <v>2800</v>
      </c>
      <c r="G141" s="60" t="s">
        <v>2800</v>
      </c>
      <c r="H141" s="60" t="s">
        <v>3057</v>
      </c>
      <c r="I141" s="128" t="s">
        <v>986</v>
      </c>
      <c r="J141" s="128">
        <v>5</v>
      </c>
      <c r="K141" s="128">
        <v>1</v>
      </c>
      <c r="L141" s="60" t="s">
        <v>354</v>
      </c>
      <c r="M141" s="60">
        <v>61</v>
      </c>
      <c r="N141" s="60" t="s">
        <v>923</v>
      </c>
      <c r="O141" s="87" t="s">
        <v>1479</v>
      </c>
      <c r="P141" s="100" t="s">
        <v>2150</v>
      </c>
      <c r="Q141" s="18">
        <f t="shared" si="8"/>
        <v>5</v>
      </c>
      <c r="R141" s="49">
        <v>10</v>
      </c>
      <c r="S141" s="49">
        <f t="shared" si="9"/>
        <v>50</v>
      </c>
      <c r="U141" s="49">
        <f t="shared" si="10"/>
        <v>50</v>
      </c>
      <c r="V141" s="49">
        <f t="shared" si="11"/>
        <v>0</v>
      </c>
    </row>
    <row r="142" spans="1:22" s="49" customFormat="1">
      <c r="A142" s="56" t="s">
        <v>2795</v>
      </c>
      <c r="B142" s="55">
        <v>1</v>
      </c>
      <c r="C142" s="55"/>
      <c r="D142" s="55" t="s">
        <v>2800</v>
      </c>
      <c r="E142" s="55" t="s">
        <v>2800</v>
      </c>
      <c r="F142" s="55" t="s">
        <v>2800</v>
      </c>
      <c r="G142" s="55" t="s">
        <v>2800</v>
      </c>
      <c r="H142" s="55" t="s">
        <v>3058</v>
      </c>
      <c r="I142" s="103" t="s">
        <v>1000</v>
      </c>
      <c r="J142" s="103">
        <v>4</v>
      </c>
      <c r="K142" s="103">
        <v>2</v>
      </c>
      <c r="L142" s="55" t="s">
        <v>354</v>
      </c>
      <c r="M142" s="55">
        <v>61</v>
      </c>
      <c r="N142" s="55" t="s">
        <v>923</v>
      </c>
      <c r="O142" s="85" t="s">
        <v>1475</v>
      </c>
      <c r="P142" s="57" t="s">
        <v>2172</v>
      </c>
      <c r="Q142" s="18">
        <f t="shared" si="8"/>
        <v>5</v>
      </c>
      <c r="R142" s="49">
        <v>10</v>
      </c>
      <c r="S142" s="49">
        <f t="shared" si="9"/>
        <v>50</v>
      </c>
      <c r="U142" s="49">
        <f t="shared" si="10"/>
        <v>50</v>
      </c>
      <c r="V142" s="49">
        <f t="shared" si="11"/>
        <v>0</v>
      </c>
    </row>
    <row r="143" spans="1:22" s="49" customFormat="1">
      <c r="A143" s="56" t="s">
        <v>2795</v>
      </c>
      <c r="B143" s="55">
        <v>1</v>
      </c>
      <c r="C143" s="55"/>
      <c r="D143" s="55" t="s">
        <v>2800</v>
      </c>
      <c r="E143" s="55" t="s">
        <v>2800</v>
      </c>
      <c r="F143" s="55" t="s">
        <v>2800</v>
      </c>
      <c r="G143" s="55" t="s">
        <v>2800</v>
      </c>
      <c r="H143" s="55" t="s">
        <v>3059</v>
      </c>
      <c r="I143" s="103" t="s">
        <v>1006</v>
      </c>
      <c r="J143" s="103">
        <v>2</v>
      </c>
      <c r="K143" s="103">
        <v>3</v>
      </c>
      <c r="L143" s="55" t="s">
        <v>354</v>
      </c>
      <c r="M143" s="55">
        <v>61</v>
      </c>
      <c r="N143" s="55" t="s">
        <v>923</v>
      </c>
      <c r="O143" s="85" t="s">
        <v>1473</v>
      </c>
      <c r="P143" s="57" t="s">
        <v>2189</v>
      </c>
      <c r="Q143" s="18">
        <f t="shared" si="8"/>
        <v>5</v>
      </c>
      <c r="R143" s="49">
        <v>10</v>
      </c>
      <c r="S143" s="49">
        <f t="shared" si="9"/>
        <v>50</v>
      </c>
      <c r="U143" s="49">
        <f t="shared" si="10"/>
        <v>50</v>
      </c>
      <c r="V143" s="49">
        <f t="shared" si="11"/>
        <v>0</v>
      </c>
    </row>
    <row r="144" spans="1:22" s="49" customFormat="1">
      <c r="A144" s="56" t="s">
        <v>2798</v>
      </c>
      <c r="B144" s="55">
        <v>3</v>
      </c>
      <c r="C144" s="55"/>
      <c r="D144" s="55" t="s">
        <v>2800</v>
      </c>
      <c r="E144" s="55" t="s">
        <v>2801</v>
      </c>
      <c r="F144" s="55" t="s">
        <v>2801</v>
      </c>
      <c r="G144" s="55" t="s">
        <v>2801</v>
      </c>
      <c r="H144" s="55" t="s">
        <v>3141</v>
      </c>
      <c r="I144" s="103" t="s">
        <v>1371</v>
      </c>
      <c r="J144" s="103">
        <v>6</v>
      </c>
      <c r="K144" s="103">
        <v>3</v>
      </c>
      <c r="L144" s="55" t="s">
        <v>354</v>
      </c>
      <c r="M144" s="55">
        <v>61</v>
      </c>
      <c r="N144" s="55" t="s">
        <v>1493</v>
      </c>
      <c r="O144" s="85"/>
      <c r="P144" s="57" t="s">
        <v>2529</v>
      </c>
      <c r="Q144" s="18">
        <f t="shared" si="8"/>
        <v>2</v>
      </c>
      <c r="R144" s="49">
        <v>50</v>
      </c>
      <c r="S144" s="49">
        <f t="shared" si="9"/>
        <v>100</v>
      </c>
      <c r="U144" s="49">
        <f t="shared" si="10"/>
        <v>0</v>
      </c>
      <c r="V144" s="49">
        <f t="shared" si="11"/>
        <v>100</v>
      </c>
    </row>
    <row r="145" spans="1:22" s="49" customFormat="1">
      <c r="A145" s="56" t="s">
        <v>2798</v>
      </c>
      <c r="B145" s="55">
        <v>3</v>
      </c>
      <c r="C145" s="55"/>
      <c r="D145" s="55" t="s">
        <v>2800</v>
      </c>
      <c r="E145" s="55" t="s">
        <v>2801</v>
      </c>
      <c r="F145" s="55" t="s">
        <v>2801</v>
      </c>
      <c r="G145" s="55" t="s">
        <v>2801</v>
      </c>
      <c r="H145" s="55" t="s">
        <v>2499</v>
      </c>
      <c r="I145" s="103" t="s">
        <v>2500</v>
      </c>
      <c r="J145" s="103">
        <v>8</v>
      </c>
      <c r="K145" s="103">
        <v>3</v>
      </c>
      <c r="L145" s="55" t="s">
        <v>354</v>
      </c>
      <c r="M145" s="55">
        <v>61</v>
      </c>
      <c r="N145" s="55" t="s">
        <v>923</v>
      </c>
      <c r="O145" s="85" t="s">
        <v>1485</v>
      </c>
      <c r="P145" s="57" t="s">
        <v>2502</v>
      </c>
      <c r="Q145" s="18">
        <f t="shared" si="8"/>
        <v>2</v>
      </c>
      <c r="R145" s="49">
        <v>436</v>
      </c>
      <c r="S145" s="49">
        <f t="shared" si="9"/>
        <v>872</v>
      </c>
      <c r="U145" s="49">
        <f t="shared" si="10"/>
        <v>0</v>
      </c>
      <c r="V145" s="49">
        <f t="shared" si="11"/>
        <v>872</v>
      </c>
    </row>
    <row r="146" spans="1:22" s="49" customFormat="1">
      <c r="A146" s="56" t="s">
        <v>2795</v>
      </c>
      <c r="B146" s="55">
        <v>1</v>
      </c>
      <c r="C146" s="55"/>
      <c r="D146" s="55" t="s">
        <v>2800</v>
      </c>
      <c r="E146" s="55" t="s">
        <v>2800</v>
      </c>
      <c r="F146" s="55" t="s">
        <v>2800</v>
      </c>
      <c r="G146" s="55" t="s">
        <v>2800</v>
      </c>
      <c r="H146" s="55" t="s">
        <v>3060</v>
      </c>
      <c r="I146" s="103" t="s">
        <v>1014</v>
      </c>
      <c r="J146" s="103">
        <v>3</v>
      </c>
      <c r="K146" s="103">
        <v>4</v>
      </c>
      <c r="L146" s="55" t="s">
        <v>354</v>
      </c>
      <c r="M146" s="55">
        <v>61</v>
      </c>
      <c r="N146" s="55" t="s">
        <v>923</v>
      </c>
      <c r="O146" s="85" t="s">
        <v>1475</v>
      </c>
      <c r="P146" s="57" t="s">
        <v>1143</v>
      </c>
      <c r="Q146" s="18">
        <f t="shared" si="8"/>
        <v>5</v>
      </c>
      <c r="R146" s="49">
        <v>10</v>
      </c>
      <c r="S146" s="49">
        <f t="shared" si="9"/>
        <v>50</v>
      </c>
      <c r="U146" s="49">
        <f t="shared" si="10"/>
        <v>50</v>
      </c>
      <c r="V146" s="49">
        <f t="shared" si="11"/>
        <v>0</v>
      </c>
    </row>
    <row r="147" spans="1:22" s="49" customFormat="1">
      <c r="A147" s="56" t="s">
        <v>2795</v>
      </c>
      <c r="B147" s="55">
        <v>1</v>
      </c>
      <c r="C147" s="55"/>
      <c r="D147" s="55" t="s">
        <v>2800</v>
      </c>
      <c r="E147" s="55" t="s">
        <v>2800</v>
      </c>
      <c r="F147" s="55" t="s">
        <v>2800</v>
      </c>
      <c r="G147" s="55" t="s">
        <v>2800</v>
      </c>
      <c r="H147" s="55" t="s">
        <v>3061</v>
      </c>
      <c r="I147" s="103" t="s">
        <v>28</v>
      </c>
      <c r="J147" s="103">
        <v>1</v>
      </c>
      <c r="K147" s="103">
        <v>5</v>
      </c>
      <c r="L147" s="55" t="s">
        <v>354</v>
      </c>
      <c r="M147" s="55">
        <v>61</v>
      </c>
      <c r="N147" s="55" t="s">
        <v>923</v>
      </c>
      <c r="O147" s="85" t="s">
        <v>1473</v>
      </c>
      <c r="P147" s="57" t="s">
        <v>2218</v>
      </c>
      <c r="Q147" s="18">
        <f t="shared" si="8"/>
        <v>5</v>
      </c>
      <c r="R147" s="49">
        <v>10</v>
      </c>
      <c r="S147" s="49">
        <f t="shared" si="9"/>
        <v>50</v>
      </c>
      <c r="U147" s="49">
        <f t="shared" si="10"/>
        <v>50</v>
      </c>
      <c r="V147" s="49">
        <f t="shared" si="11"/>
        <v>0</v>
      </c>
    </row>
    <row r="148" spans="1:22" s="49" customFormat="1" ht="14.25" thickBot="1">
      <c r="A148" s="53" t="s">
        <v>2798</v>
      </c>
      <c r="B148" s="54">
        <v>3</v>
      </c>
      <c r="C148" s="54"/>
      <c r="D148" s="54" t="s">
        <v>2800</v>
      </c>
      <c r="E148" s="54" t="s">
        <v>2801</v>
      </c>
      <c r="F148" s="54" t="s">
        <v>2801</v>
      </c>
      <c r="G148" s="54" t="s">
        <v>2801</v>
      </c>
      <c r="H148" s="54" t="s">
        <v>3142</v>
      </c>
      <c r="I148" s="126" t="s">
        <v>1029</v>
      </c>
      <c r="J148" s="126">
        <v>5</v>
      </c>
      <c r="K148" s="126">
        <v>30</v>
      </c>
      <c r="L148" s="54" t="s">
        <v>354</v>
      </c>
      <c r="M148" s="54">
        <v>61</v>
      </c>
      <c r="N148" s="54" t="s">
        <v>923</v>
      </c>
      <c r="O148" s="93" t="s">
        <v>2323</v>
      </c>
      <c r="P148" s="11"/>
      <c r="Q148" s="18">
        <f t="shared" si="8"/>
        <v>2</v>
      </c>
      <c r="R148" s="49">
        <v>2878</v>
      </c>
      <c r="S148" s="49">
        <f t="shared" si="9"/>
        <v>5756</v>
      </c>
      <c r="U148" s="49">
        <f t="shared" si="10"/>
        <v>0</v>
      </c>
      <c r="V148" s="49">
        <f t="shared" si="11"/>
        <v>5756</v>
      </c>
    </row>
    <row r="149" spans="1:22" s="49" customFormat="1">
      <c r="A149" s="150"/>
      <c r="B149" s="151"/>
      <c r="C149" s="151"/>
      <c r="D149" s="151"/>
      <c r="E149" s="151"/>
      <c r="F149" s="151"/>
      <c r="G149" s="152"/>
      <c r="H149" s="137" t="s">
        <v>2955</v>
      </c>
      <c r="I149" s="139" t="s">
        <v>2099</v>
      </c>
      <c r="J149" s="139"/>
      <c r="K149" s="139"/>
      <c r="L149" s="138" t="s">
        <v>2098</v>
      </c>
      <c r="M149" s="138"/>
      <c r="N149" s="138" t="s">
        <v>2094</v>
      </c>
      <c r="O149" s="140" t="s">
        <v>2101</v>
      </c>
      <c r="P149" s="141" t="s">
        <v>2102</v>
      </c>
      <c r="Q149" s="18" t="str">
        <f t="shared" si="8"/>
        <v/>
      </c>
      <c r="R149" s="49" t="s">
        <v>3119</v>
      </c>
      <c r="S149" s="49">
        <f t="shared" si="9"/>
        <v>0</v>
      </c>
      <c r="T149" s="49">
        <f>SUM(S149:S183)</f>
        <v>3050</v>
      </c>
      <c r="U149" s="49">
        <f t="shared" si="10"/>
        <v>0</v>
      </c>
      <c r="V149" s="49">
        <f t="shared" si="11"/>
        <v>0</v>
      </c>
    </row>
    <row r="150" spans="1:22" s="49" customFormat="1">
      <c r="A150" s="56" t="s">
        <v>2798</v>
      </c>
      <c r="B150" s="55">
        <v>3</v>
      </c>
      <c r="C150" s="55"/>
      <c r="D150" s="55" t="s">
        <v>2800</v>
      </c>
      <c r="E150" s="55" t="s">
        <v>2801</v>
      </c>
      <c r="F150" s="55" t="s">
        <v>2801</v>
      </c>
      <c r="G150" s="55" t="s">
        <v>2801</v>
      </c>
      <c r="H150" s="55" t="s">
        <v>3143</v>
      </c>
      <c r="I150" s="103" t="s">
        <v>977</v>
      </c>
      <c r="J150" s="103">
        <v>2</v>
      </c>
      <c r="K150" s="103">
        <v>1</v>
      </c>
      <c r="L150" s="55" t="s">
        <v>355</v>
      </c>
      <c r="M150" s="55">
        <v>62</v>
      </c>
      <c r="N150" s="55" t="s">
        <v>1493</v>
      </c>
      <c r="O150" s="85"/>
      <c r="P150" s="57" t="s">
        <v>2377</v>
      </c>
      <c r="Q150" s="18">
        <f t="shared" si="8"/>
        <v>2</v>
      </c>
      <c r="R150" s="49">
        <v>48</v>
      </c>
      <c r="S150" s="49">
        <f t="shared" si="9"/>
        <v>96</v>
      </c>
      <c r="U150" s="49">
        <f t="shared" si="10"/>
        <v>0</v>
      </c>
      <c r="V150" s="49">
        <f t="shared" si="11"/>
        <v>96</v>
      </c>
    </row>
    <row r="151" spans="1:22" s="49" customFormat="1">
      <c r="A151" s="56" t="s">
        <v>2795</v>
      </c>
      <c r="B151" s="55">
        <v>1</v>
      </c>
      <c r="C151" s="55" t="s">
        <v>2812</v>
      </c>
      <c r="D151" s="55" t="s">
        <v>2800</v>
      </c>
      <c r="E151" s="55" t="s">
        <v>2800</v>
      </c>
      <c r="F151" s="55" t="s">
        <v>2800</v>
      </c>
      <c r="G151" s="55" t="s">
        <v>2800</v>
      </c>
      <c r="H151" s="55" t="s">
        <v>2088</v>
      </c>
      <c r="I151" s="103" t="s">
        <v>979</v>
      </c>
      <c r="J151" s="103">
        <v>3</v>
      </c>
      <c r="K151" s="103">
        <v>1</v>
      </c>
      <c r="L151" s="55" t="s">
        <v>355</v>
      </c>
      <c r="M151" s="55">
        <v>62</v>
      </c>
      <c r="N151" s="55" t="s">
        <v>923</v>
      </c>
      <c r="O151" s="85" t="s">
        <v>1573</v>
      </c>
      <c r="P151" s="57" t="s">
        <v>2140</v>
      </c>
      <c r="Q151" s="18">
        <f t="shared" si="8"/>
        <v>4</v>
      </c>
      <c r="R151" s="49">
        <v>10</v>
      </c>
      <c r="S151" s="49">
        <f t="shared" si="9"/>
        <v>40</v>
      </c>
      <c r="U151" s="49">
        <f t="shared" si="10"/>
        <v>40</v>
      </c>
      <c r="V151" s="49">
        <f t="shared" si="11"/>
        <v>0</v>
      </c>
    </row>
    <row r="152" spans="1:22" s="49" customFormat="1">
      <c r="A152" s="56" t="s">
        <v>2799</v>
      </c>
      <c r="B152" s="55">
        <v>4</v>
      </c>
      <c r="C152" s="55"/>
      <c r="D152" s="55" t="s">
        <v>2801</v>
      </c>
      <c r="E152" s="55" t="s">
        <v>2801</v>
      </c>
      <c r="F152" s="55" t="s">
        <v>2801</v>
      </c>
      <c r="G152" s="55" t="s">
        <v>2801</v>
      </c>
      <c r="H152" s="55" t="s">
        <v>3144</v>
      </c>
      <c r="I152" s="103" t="s">
        <v>2945</v>
      </c>
      <c r="J152" s="103">
        <v>4</v>
      </c>
      <c r="K152" s="103">
        <v>1</v>
      </c>
      <c r="L152" s="55" t="s">
        <v>355</v>
      </c>
      <c r="M152" s="55">
        <v>62</v>
      </c>
      <c r="N152" s="55" t="s">
        <v>2567</v>
      </c>
      <c r="O152" s="85"/>
      <c r="P152" s="57"/>
      <c r="Q152" s="18">
        <f t="shared" si="8"/>
        <v>1</v>
      </c>
      <c r="R152" s="49">
        <v>539</v>
      </c>
      <c r="S152" s="49">
        <f t="shared" si="9"/>
        <v>539</v>
      </c>
      <c r="U152" s="49">
        <f t="shared" si="10"/>
        <v>0</v>
      </c>
      <c r="V152" s="49">
        <f t="shared" si="11"/>
        <v>539</v>
      </c>
    </row>
    <row r="153" spans="1:22" s="49" customFormat="1">
      <c r="A153" s="56" t="s">
        <v>2794</v>
      </c>
      <c r="B153" s="55">
        <v>2</v>
      </c>
      <c r="C153" s="55" t="s">
        <v>2812</v>
      </c>
      <c r="D153" s="55" t="s">
        <v>2800</v>
      </c>
      <c r="E153" s="55" t="s">
        <v>2800</v>
      </c>
      <c r="F153" s="55" t="s">
        <v>2800</v>
      </c>
      <c r="G153" s="55" t="s">
        <v>2801</v>
      </c>
      <c r="H153" s="55" t="s">
        <v>2256</v>
      </c>
      <c r="I153" s="103" t="s">
        <v>986</v>
      </c>
      <c r="J153" s="103">
        <v>5</v>
      </c>
      <c r="K153" s="103">
        <v>1</v>
      </c>
      <c r="L153" s="55" t="s">
        <v>355</v>
      </c>
      <c r="M153" s="55">
        <v>62</v>
      </c>
      <c r="N153" s="55" t="s">
        <v>923</v>
      </c>
      <c r="O153" s="85" t="s">
        <v>1482</v>
      </c>
      <c r="P153" s="57" t="s">
        <v>2288</v>
      </c>
      <c r="Q153" s="18">
        <f t="shared" si="8"/>
        <v>3</v>
      </c>
      <c r="R153" s="49">
        <v>30</v>
      </c>
      <c r="S153" s="49">
        <f t="shared" si="9"/>
        <v>90</v>
      </c>
      <c r="U153" s="49">
        <f t="shared" si="10"/>
        <v>90</v>
      </c>
      <c r="V153" s="49">
        <f t="shared" si="11"/>
        <v>0</v>
      </c>
    </row>
    <row r="154" spans="1:22" s="49" customFormat="1">
      <c r="A154" s="56" t="s">
        <v>2794</v>
      </c>
      <c r="B154" s="55">
        <v>2</v>
      </c>
      <c r="C154" s="55"/>
      <c r="D154" s="55" t="s">
        <v>2800</v>
      </c>
      <c r="E154" s="55" t="s">
        <v>2800</v>
      </c>
      <c r="F154" s="55" t="s">
        <v>2800</v>
      </c>
      <c r="G154" s="55" t="s">
        <v>2801</v>
      </c>
      <c r="H154" s="55" t="s">
        <v>2970</v>
      </c>
      <c r="I154" s="103" t="s">
        <v>2154</v>
      </c>
      <c r="J154" s="103">
        <v>2</v>
      </c>
      <c r="K154" s="103">
        <v>2</v>
      </c>
      <c r="L154" s="55" t="s">
        <v>355</v>
      </c>
      <c r="M154" s="55">
        <v>62</v>
      </c>
      <c r="N154" s="55" t="s">
        <v>923</v>
      </c>
      <c r="O154" s="85" t="s">
        <v>1473</v>
      </c>
      <c r="P154" s="57" t="s">
        <v>2292</v>
      </c>
      <c r="Q154" s="18">
        <f t="shared" si="8"/>
        <v>4</v>
      </c>
      <c r="R154" s="49">
        <v>30</v>
      </c>
      <c r="S154" s="49">
        <f t="shared" si="9"/>
        <v>120</v>
      </c>
      <c r="U154" s="49">
        <f t="shared" si="10"/>
        <v>120</v>
      </c>
      <c r="V154" s="49">
        <f t="shared" si="11"/>
        <v>0</v>
      </c>
    </row>
    <row r="155" spans="1:22" s="49" customFormat="1">
      <c r="A155" s="56" t="s">
        <v>2799</v>
      </c>
      <c r="B155" s="55">
        <v>4</v>
      </c>
      <c r="C155" s="55" t="s">
        <v>2812</v>
      </c>
      <c r="D155" s="55" t="s">
        <v>2801</v>
      </c>
      <c r="E155" s="55" t="s">
        <v>2801</v>
      </c>
      <c r="F155" s="55" t="s">
        <v>2801</v>
      </c>
      <c r="G155" s="55" t="s">
        <v>2801</v>
      </c>
      <c r="H155" s="55" t="s">
        <v>2971</v>
      </c>
      <c r="I155" s="103" t="s">
        <v>2169</v>
      </c>
      <c r="J155" s="103">
        <v>3</v>
      </c>
      <c r="K155" s="103">
        <v>2</v>
      </c>
      <c r="L155" s="55" t="s">
        <v>355</v>
      </c>
      <c r="M155" s="55">
        <v>62</v>
      </c>
      <c r="N155" s="55" t="s">
        <v>2567</v>
      </c>
      <c r="O155" s="85"/>
      <c r="P155" s="57"/>
      <c r="Q155" s="18">
        <f t="shared" si="8"/>
        <v>0</v>
      </c>
      <c r="R155" s="49" t="s">
        <v>3119</v>
      </c>
      <c r="S155" s="49">
        <f t="shared" si="9"/>
        <v>0</v>
      </c>
      <c r="U155" s="49">
        <f t="shared" si="10"/>
        <v>0</v>
      </c>
      <c r="V155" s="49">
        <f t="shared" si="11"/>
        <v>0</v>
      </c>
    </row>
    <row r="156" spans="1:22" s="49" customFormat="1">
      <c r="A156" s="56" t="s">
        <v>2795</v>
      </c>
      <c r="B156" s="55">
        <v>1</v>
      </c>
      <c r="C156" s="55" t="s">
        <v>2812</v>
      </c>
      <c r="D156" s="55" t="s">
        <v>2812</v>
      </c>
      <c r="E156" s="55" t="s">
        <v>2812</v>
      </c>
      <c r="F156" s="55" t="s">
        <v>2800</v>
      </c>
      <c r="G156" s="55" t="s">
        <v>2800</v>
      </c>
      <c r="H156" s="55" t="s">
        <v>2176</v>
      </c>
      <c r="I156" s="103" t="s">
        <v>1002</v>
      </c>
      <c r="J156" s="103">
        <v>5</v>
      </c>
      <c r="K156" s="103">
        <v>2</v>
      </c>
      <c r="L156" s="55" t="s">
        <v>355</v>
      </c>
      <c r="M156" s="55">
        <v>62</v>
      </c>
      <c r="N156" s="55" t="s">
        <v>923</v>
      </c>
      <c r="O156" s="85" t="s">
        <v>1475</v>
      </c>
      <c r="P156" s="57" t="s">
        <v>2177</v>
      </c>
      <c r="Q156" s="18">
        <f t="shared" si="8"/>
        <v>2</v>
      </c>
      <c r="R156" s="49">
        <v>10</v>
      </c>
      <c r="S156" s="49">
        <f t="shared" si="9"/>
        <v>20</v>
      </c>
      <c r="U156" s="49">
        <f t="shared" si="10"/>
        <v>20</v>
      </c>
      <c r="V156" s="49">
        <f t="shared" si="11"/>
        <v>0</v>
      </c>
    </row>
    <row r="157" spans="1:22" s="49" customFormat="1">
      <c r="A157" s="56" t="s">
        <v>2794</v>
      </c>
      <c r="B157" s="55">
        <v>2</v>
      </c>
      <c r="C157" s="55" t="s">
        <v>2812</v>
      </c>
      <c r="D157" s="55" t="s">
        <v>2812</v>
      </c>
      <c r="E157" s="55" t="s">
        <v>2800</v>
      </c>
      <c r="F157" s="55" t="s">
        <v>2800</v>
      </c>
      <c r="G157" s="55" t="s">
        <v>2801</v>
      </c>
      <c r="H157" s="55" t="s">
        <v>2260</v>
      </c>
      <c r="I157" s="103" t="s">
        <v>974</v>
      </c>
      <c r="J157" s="103">
        <v>3</v>
      </c>
      <c r="K157" s="103">
        <v>3</v>
      </c>
      <c r="L157" s="55" t="s">
        <v>355</v>
      </c>
      <c r="M157" s="55">
        <v>62</v>
      </c>
      <c r="N157" s="55" t="s">
        <v>923</v>
      </c>
      <c r="O157" s="85" t="s">
        <v>1475</v>
      </c>
      <c r="P157" s="57" t="s">
        <v>2299</v>
      </c>
      <c r="Q157" s="18">
        <f t="shared" si="8"/>
        <v>2</v>
      </c>
      <c r="R157" s="49">
        <v>30</v>
      </c>
      <c r="S157" s="49">
        <f t="shared" si="9"/>
        <v>60</v>
      </c>
      <c r="U157" s="49">
        <f t="shared" si="10"/>
        <v>60</v>
      </c>
      <c r="V157" s="49">
        <f t="shared" si="11"/>
        <v>0</v>
      </c>
    </row>
    <row r="158" spans="1:22" s="49" customFormat="1">
      <c r="A158" s="56" t="s">
        <v>2799</v>
      </c>
      <c r="B158" s="55">
        <v>4</v>
      </c>
      <c r="C158" s="55"/>
      <c r="D158" s="55" t="s">
        <v>2801</v>
      </c>
      <c r="E158" s="55" t="s">
        <v>2801</v>
      </c>
      <c r="F158" s="55" t="s">
        <v>2801</v>
      </c>
      <c r="G158" s="55" t="s">
        <v>2801</v>
      </c>
      <c r="H158" s="55" t="s">
        <v>3145</v>
      </c>
      <c r="I158" s="103" t="s">
        <v>2942</v>
      </c>
      <c r="J158" s="103">
        <v>5</v>
      </c>
      <c r="K158" s="103">
        <v>3</v>
      </c>
      <c r="L158" s="55" t="s">
        <v>355</v>
      </c>
      <c r="M158" s="55">
        <v>62</v>
      </c>
      <c r="N158" s="55" t="s">
        <v>2567</v>
      </c>
      <c r="O158" s="85"/>
      <c r="P158" s="57"/>
      <c r="Q158" s="18">
        <f t="shared" si="8"/>
        <v>1</v>
      </c>
      <c r="R158" s="49">
        <v>499</v>
      </c>
      <c r="S158" s="49">
        <f t="shared" si="9"/>
        <v>499</v>
      </c>
      <c r="U158" s="49">
        <f t="shared" si="10"/>
        <v>0</v>
      </c>
      <c r="V158" s="49">
        <f t="shared" si="11"/>
        <v>499</v>
      </c>
    </row>
    <row r="159" spans="1:22" s="49" customFormat="1">
      <c r="A159" s="56" t="s">
        <v>2795</v>
      </c>
      <c r="B159" s="55">
        <v>1</v>
      </c>
      <c r="C159" s="55" t="s">
        <v>2812</v>
      </c>
      <c r="D159" s="55" t="s">
        <v>2812</v>
      </c>
      <c r="E159" s="55" t="s">
        <v>2812</v>
      </c>
      <c r="F159" s="55" t="s">
        <v>2800</v>
      </c>
      <c r="G159" s="55" t="s">
        <v>2800</v>
      </c>
      <c r="H159" s="55" t="s">
        <v>1923</v>
      </c>
      <c r="I159" s="103" t="s">
        <v>1012</v>
      </c>
      <c r="J159" s="103">
        <v>2</v>
      </c>
      <c r="K159" s="103">
        <v>4</v>
      </c>
      <c r="L159" s="55" t="s">
        <v>355</v>
      </c>
      <c r="M159" s="55">
        <v>62</v>
      </c>
      <c r="N159" s="55" t="s">
        <v>923</v>
      </c>
      <c r="O159" s="85" t="s">
        <v>1473</v>
      </c>
      <c r="P159" s="57" t="s">
        <v>2202</v>
      </c>
      <c r="Q159" s="18">
        <f t="shared" si="8"/>
        <v>2</v>
      </c>
      <c r="R159" s="49">
        <v>10</v>
      </c>
      <c r="S159" s="49">
        <f t="shared" si="9"/>
        <v>20</v>
      </c>
      <c r="U159" s="49">
        <f t="shared" si="10"/>
        <v>20</v>
      </c>
      <c r="V159" s="49">
        <f t="shared" si="11"/>
        <v>0</v>
      </c>
    </row>
    <row r="160" spans="1:22" s="49" customFormat="1">
      <c r="A160" s="56" t="s">
        <v>2798</v>
      </c>
      <c r="B160" s="55">
        <v>3</v>
      </c>
      <c r="C160" s="55" t="s">
        <v>2812</v>
      </c>
      <c r="D160" s="55" t="s">
        <v>2800</v>
      </c>
      <c r="E160" s="55" t="s">
        <v>2801</v>
      </c>
      <c r="F160" s="55" t="s">
        <v>2801</v>
      </c>
      <c r="G160" s="55" t="s">
        <v>2801</v>
      </c>
      <c r="H160" s="55" t="s">
        <v>3146</v>
      </c>
      <c r="I160" s="103" t="s">
        <v>1014</v>
      </c>
      <c r="J160" s="103">
        <v>3</v>
      </c>
      <c r="K160" s="103">
        <v>4</v>
      </c>
      <c r="L160" s="55" t="s">
        <v>355</v>
      </c>
      <c r="M160" s="55">
        <v>62</v>
      </c>
      <c r="N160" s="55" t="s">
        <v>923</v>
      </c>
      <c r="O160" s="85" t="s">
        <v>1475</v>
      </c>
      <c r="P160" s="57" t="s">
        <v>2307</v>
      </c>
      <c r="Q160" s="18">
        <f t="shared" si="8"/>
        <v>1</v>
      </c>
      <c r="R160" s="49">
        <v>121</v>
      </c>
      <c r="S160" s="49">
        <f t="shared" si="9"/>
        <v>121</v>
      </c>
      <c r="U160" s="49">
        <f t="shared" si="10"/>
        <v>0</v>
      </c>
      <c r="V160" s="49">
        <f t="shared" si="11"/>
        <v>121</v>
      </c>
    </row>
    <row r="161" spans="1:22" s="49" customFormat="1">
      <c r="A161" s="56" t="s">
        <v>2794</v>
      </c>
      <c r="B161" s="55">
        <v>2</v>
      </c>
      <c r="C161" s="55" t="s">
        <v>2812</v>
      </c>
      <c r="D161" s="55" t="s">
        <v>2800</v>
      </c>
      <c r="E161" s="55" t="s">
        <v>2800</v>
      </c>
      <c r="F161" s="55" t="s">
        <v>2800</v>
      </c>
      <c r="G161" s="55" t="s">
        <v>2801</v>
      </c>
      <c r="H161" s="55" t="s">
        <v>2257</v>
      </c>
      <c r="I161" s="103" t="s">
        <v>1016</v>
      </c>
      <c r="J161" s="103">
        <v>4</v>
      </c>
      <c r="K161" s="103">
        <v>4</v>
      </c>
      <c r="L161" s="55" t="s">
        <v>355</v>
      </c>
      <c r="M161" s="55">
        <v>62</v>
      </c>
      <c r="N161" s="55" t="s">
        <v>923</v>
      </c>
      <c r="O161" s="85" t="s">
        <v>2308</v>
      </c>
      <c r="P161" s="57" t="s">
        <v>2309</v>
      </c>
      <c r="Q161" s="18">
        <f t="shared" si="8"/>
        <v>3</v>
      </c>
      <c r="R161" s="49">
        <v>30</v>
      </c>
      <c r="S161" s="49">
        <f t="shared" si="9"/>
        <v>90</v>
      </c>
      <c r="U161" s="49">
        <f t="shared" si="10"/>
        <v>90</v>
      </c>
      <c r="V161" s="49">
        <f t="shared" si="11"/>
        <v>0</v>
      </c>
    </row>
    <row r="162" spans="1:22" s="49" customFormat="1">
      <c r="A162" s="56" t="s">
        <v>2913</v>
      </c>
      <c r="B162" s="55">
        <v>1</v>
      </c>
      <c r="C162" s="55" t="s">
        <v>2812</v>
      </c>
      <c r="D162" s="55" t="s">
        <v>2812</v>
      </c>
      <c r="E162" s="55"/>
      <c r="F162" s="55"/>
      <c r="G162" s="55"/>
      <c r="H162" s="55" t="s">
        <v>2829</v>
      </c>
      <c r="I162" s="55" t="s">
        <v>1189</v>
      </c>
      <c r="J162" s="55">
        <v>5</v>
      </c>
      <c r="K162" s="103">
        <v>4</v>
      </c>
      <c r="L162" s="55" t="s">
        <v>355</v>
      </c>
      <c r="M162" s="55">
        <v>62</v>
      </c>
      <c r="N162" s="103" t="s">
        <v>923</v>
      </c>
      <c r="O162" s="85" t="s">
        <v>1479</v>
      </c>
      <c r="P162" s="57" t="s">
        <v>2833</v>
      </c>
      <c r="Q162" s="18">
        <f t="shared" si="8"/>
        <v>3</v>
      </c>
      <c r="R162" s="49">
        <v>10</v>
      </c>
      <c r="S162" s="49">
        <f t="shared" si="9"/>
        <v>30</v>
      </c>
      <c r="U162" s="49">
        <f t="shared" si="10"/>
        <v>30</v>
      </c>
      <c r="V162" s="49">
        <f t="shared" si="11"/>
        <v>0</v>
      </c>
    </row>
    <row r="163" spans="1:22" s="49" customFormat="1">
      <c r="A163" s="56" t="s">
        <v>2799</v>
      </c>
      <c r="B163" s="55">
        <v>4</v>
      </c>
      <c r="C163" s="55" t="s">
        <v>2812</v>
      </c>
      <c r="D163" s="55" t="s">
        <v>2801</v>
      </c>
      <c r="E163" s="55" t="s">
        <v>2801</v>
      </c>
      <c r="F163" s="55" t="s">
        <v>2801</v>
      </c>
      <c r="G163" s="55" t="s">
        <v>2801</v>
      </c>
      <c r="H163" s="55" t="s">
        <v>2972</v>
      </c>
      <c r="I163" s="103" t="s">
        <v>2944</v>
      </c>
      <c r="J163" s="103">
        <v>5</v>
      </c>
      <c r="K163" s="103">
        <v>4</v>
      </c>
      <c r="L163" s="55" t="s">
        <v>355</v>
      </c>
      <c r="M163" s="55">
        <v>62</v>
      </c>
      <c r="N163" s="55" t="s">
        <v>2567</v>
      </c>
      <c r="O163" s="85"/>
      <c r="P163" s="57"/>
      <c r="Q163" s="18">
        <f t="shared" si="8"/>
        <v>0</v>
      </c>
      <c r="R163" s="49" t="s">
        <v>3119</v>
      </c>
      <c r="S163" s="49">
        <f t="shared" si="9"/>
        <v>0</v>
      </c>
      <c r="U163" s="49">
        <f t="shared" si="10"/>
        <v>0</v>
      </c>
      <c r="V163" s="49">
        <f t="shared" si="11"/>
        <v>0</v>
      </c>
    </row>
    <row r="164" spans="1:22" s="49" customFormat="1">
      <c r="A164" s="56" t="s">
        <v>2799</v>
      </c>
      <c r="B164" s="55">
        <v>4</v>
      </c>
      <c r="C164" s="55" t="s">
        <v>2812</v>
      </c>
      <c r="D164" s="55" t="s">
        <v>2801</v>
      </c>
      <c r="E164" s="55" t="s">
        <v>2801</v>
      </c>
      <c r="F164" s="55" t="s">
        <v>2801</v>
      </c>
      <c r="G164" s="55" t="s">
        <v>2801</v>
      </c>
      <c r="H164" s="55" t="s">
        <v>2973</v>
      </c>
      <c r="I164" s="103" t="s">
        <v>2943</v>
      </c>
      <c r="J164" s="103">
        <v>4</v>
      </c>
      <c r="K164" s="103">
        <v>5</v>
      </c>
      <c r="L164" s="55" t="s">
        <v>355</v>
      </c>
      <c r="M164" s="55">
        <v>62</v>
      </c>
      <c r="N164" s="55" t="s">
        <v>2567</v>
      </c>
      <c r="O164" s="85"/>
      <c r="P164" s="57"/>
      <c r="Q164" s="18">
        <f t="shared" si="8"/>
        <v>0</v>
      </c>
      <c r="R164" s="49" t="s">
        <v>3119</v>
      </c>
      <c r="S164" s="49">
        <f t="shared" si="9"/>
        <v>0</v>
      </c>
      <c r="U164" s="49">
        <f t="shared" si="10"/>
        <v>0</v>
      </c>
      <c r="V164" s="49">
        <f t="shared" si="11"/>
        <v>0</v>
      </c>
    </row>
    <row r="165" spans="1:22" s="49" customFormat="1" ht="14.25" thickBot="1">
      <c r="A165" s="53" t="s">
        <v>2794</v>
      </c>
      <c r="B165" s="54">
        <v>2</v>
      </c>
      <c r="C165" s="54" t="s">
        <v>2812</v>
      </c>
      <c r="D165" s="54" t="s">
        <v>2812</v>
      </c>
      <c r="E165" s="54" t="s">
        <v>2800</v>
      </c>
      <c r="F165" s="54" t="s">
        <v>2800</v>
      </c>
      <c r="G165" s="54" t="s">
        <v>2801</v>
      </c>
      <c r="H165" s="54" t="s">
        <v>2974</v>
      </c>
      <c r="I165" s="126" t="s">
        <v>1028</v>
      </c>
      <c r="J165" s="126">
        <v>5</v>
      </c>
      <c r="K165" s="126">
        <v>5</v>
      </c>
      <c r="L165" s="54" t="s">
        <v>355</v>
      </c>
      <c r="M165" s="54">
        <v>62</v>
      </c>
      <c r="N165" s="54" t="s">
        <v>923</v>
      </c>
      <c r="O165" s="93" t="s">
        <v>2323</v>
      </c>
      <c r="P165" s="11" t="s">
        <v>2324</v>
      </c>
      <c r="Q165" s="18">
        <f t="shared" si="8"/>
        <v>2</v>
      </c>
      <c r="R165" s="49">
        <v>30</v>
      </c>
      <c r="S165" s="49">
        <f t="shared" si="9"/>
        <v>60</v>
      </c>
      <c r="U165" s="49">
        <f t="shared" si="10"/>
        <v>60</v>
      </c>
      <c r="V165" s="49">
        <f t="shared" si="11"/>
        <v>0</v>
      </c>
    </row>
    <row r="166" spans="1:22" s="49" customFormat="1" ht="14.25" thickBot="1">
      <c r="A166" s="88" t="s">
        <v>2913</v>
      </c>
      <c r="B166" s="89">
        <v>1</v>
      </c>
      <c r="C166" s="89"/>
      <c r="D166" s="89"/>
      <c r="E166" s="89"/>
      <c r="F166" s="89"/>
      <c r="G166" s="89"/>
      <c r="H166" s="89" t="s">
        <v>2975</v>
      </c>
      <c r="I166" s="89" t="s">
        <v>1008</v>
      </c>
      <c r="J166" s="89">
        <v>4</v>
      </c>
      <c r="K166" s="135">
        <v>3</v>
      </c>
      <c r="L166" s="89" t="s">
        <v>356</v>
      </c>
      <c r="M166" s="89">
        <v>63</v>
      </c>
      <c r="N166" s="135" t="s">
        <v>923</v>
      </c>
      <c r="O166" s="90" t="s">
        <v>1475</v>
      </c>
      <c r="P166" s="91" t="s">
        <v>2826</v>
      </c>
      <c r="Q166" s="18">
        <f t="shared" si="8"/>
        <v>5</v>
      </c>
      <c r="R166" s="49">
        <v>10</v>
      </c>
      <c r="S166" s="49">
        <f t="shared" si="9"/>
        <v>50</v>
      </c>
      <c r="U166" s="49">
        <f t="shared" si="10"/>
        <v>50</v>
      </c>
      <c r="V166" s="49">
        <f t="shared" si="11"/>
        <v>0</v>
      </c>
    </row>
    <row r="167" spans="1:22" s="49" customFormat="1">
      <c r="A167" s="50" t="s">
        <v>2794</v>
      </c>
      <c r="B167" s="51">
        <v>2</v>
      </c>
      <c r="C167" s="51"/>
      <c r="D167" s="51" t="s">
        <v>2800</v>
      </c>
      <c r="E167" s="51" t="s">
        <v>2800</v>
      </c>
      <c r="F167" s="51" t="s">
        <v>2800</v>
      </c>
      <c r="G167" s="51" t="s">
        <v>2801</v>
      </c>
      <c r="H167" s="51" t="s">
        <v>2478</v>
      </c>
      <c r="I167" s="129" t="s">
        <v>1404</v>
      </c>
      <c r="J167" s="129">
        <v>5</v>
      </c>
      <c r="K167" s="129">
        <v>3</v>
      </c>
      <c r="L167" s="51" t="s">
        <v>357</v>
      </c>
      <c r="M167" s="51">
        <v>64</v>
      </c>
      <c r="N167" s="51" t="s">
        <v>1501</v>
      </c>
      <c r="O167" s="92"/>
      <c r="P167" s="52" t="s">
        <v>2479</v>
      </c>
      <c r="Q167" s="18">
        <f t="shared" si="8"/>
        <v>4</v>
      </c>
      <c r="R167" s="49">
        <v>30</v>
      </c>
      <c r="S167" s="49">
        <f t="shared" si="9"/>
        <v>120</v>
      </c>
      <c r="U167" s="49">
        <f t="shared" si="10"/>
        <v>120</v>
      </c>
      <c r="V167" s="49">
        <f t="shared" si="11"/>
        <v>0</v>
      </c>
    </row>
    <row r="168" spans="1:22" s="49" customFormat="1">
      <c r="A168" s="56" t="s">
        <v>2798</v>
      </c>
      <c r="B168" s="55">
        <v>3</v>
      </c>
      <c r="C168" s="55"/>
      <c r="D168" s="55" t="s">
        <v>2800</v>
      </c>
      <c r="E168" s="55" t="s">
        <v>2801</v>
      </c>
      <c r="F168" s="55" t="s">
        <v>2801</v>
      </c>
      <c r="G168" s="55" t="s">
        <v>2801</v>
      </c>
      <c r="H168" s="55" t="s">
        <v>3147</v>
      </c>
      <c r="I168" s="103" t="s">
        <v>2215</v>
      </c>
      <c r="J168" s="103">
        <v>6</v>
      </c>
      <c r="K168" s="103">
        <v>4</v>
      </c>
      <c r="L168" s="55" t="s">
        <v>357</v>
      </c>
      <c r="M168" s="55">
        <v>64</v>
      </c>
      <c r="N168" s="55" t="s">
        <v>1493</v>
      </c>
      <c r="O168" s="85"/>
      <c r="P168" s="57" t="s">
        <v>2527</v>
      </c>
      <c r="Q168" s="18">
        <f t="shared" si="8"/>
        <v>2</v>
      </c>
      <c r="R168" s="49">
        <v>90</v>
      </c>
      <c r="S168" s="49">
        <f t="shared" si="9"/>
        <v>180</v>
      </c>
      <c r="U168" s="49">
        <f t="shared" si="10"/>
        <v>0</v>
      </c>
      <c r="V168" s="49">
        <f t="shared" si="11"/>
        <v>180</v>
      </c>
    </row>
    <row r="169" spans="1:22" s="49" customFormat="1" ht="14.25" thickBot="1">
      <c r="A169" s="53" t="s">
        <v>2795</v>
      </c>
      <c r="B169" s="54">
        <v>1</v>
      </c>
      <c r="C169" s="54" t="s">
        <v>2812</v>
      </c>
      <c r="D169" s="54" t="s">
        <v>2800</v>
      </c>
      <c r="E169" s="54" t="s">
        <v>2800</v>
      </c>
      <c r="F169" s="54" t="s">
        <v>2800</v>
      </c>
      <c r="G169" s="54" t="s">
        <v>2800</v>
      </c>
      <c r="H169" s="54" t="s">
        <v>2976</v>
      </c>
      <c r="I169" s="126" t="s">
        <v>1026</v>
      </c>
      <c r="J169" s="126">
        <v>3</v>
      </c>
      <c r="K169" s="126">
        <v>5</v>
      </c>
      <c r="L169" s="54" t="s">
        <v>357</v>
      </c>
      <c r="M169" s="54">
        <v>64</v>
      </c>
      <c r="N169" s="54" t="s">
        <v>923</v>
      </c>
      <c r="O169" s="93" t="s">
        <v>1473</v>
      </c>
      <c r="P169" s="11" t="s">
        <v>2219</v>
      </c>
      <c r="Q169" s="18">
        <f t="shared" si="8"/>
        <v>4</v>
      </c>
      <c r="R169" s="49">
        <v>10</v>
      </c>
      <c r="S169" s="49">
        <f t="shared" si="9"/>
        <v>40</v>
      </c>
      <c r="U169" s="49">
        <f t="shared" si="10"/>
        <v>40</v>
      </c>
      <c r="V169" s="49">
        <f t="shared" si="11"/>
        <v>0</v>
      </c>
    </row>
    <row r="170" spans="1:22" s="49" customFormat="1">
      <c r="A170" s="99" t="s">
        <v>2795</v>
      </c>
      <c r="B170" s="60">
        <v>1</v>
      </c>
      <c r="C170" s="60" t="s">
        <v>2812</v>
      </c>
      <c r="D170" s="60" t="s">
        <v>2800</v>
      </c>
      <c r="E170" s="60" t="s">
        <v>2800</v>
      </c>
      <c r="F170" s="60" t="s">
        <v>2800</v>
      </c>
      <c r="G170" s="60" t="s">
        <v>2800</v>
      </c>
      <c r="H170" s="60" t="s">
        <v>1492</v>
      </c>
      <c r="I170" s="128" t="s">
        <v>1489</v>
      </c>
      <c r="J170" s="128">
        <v>1</v>
      </c>
      <c r="K170" s="128">
        <v>15</v>
      </c>
      <c r="L170" s="60" t="s">
        <v>358</v>
      </c>
      <c r="M170" s="60">
        <v>65</v>
      </c>
      <c r="N170" s="60" t="s">
        <v>1493</v>
      </c>
      <c r="O170" s="87"/>
      <c r="P170" s="100" t="s">
        <v>1495</v>
      </c>
      <c r="Q170" s="18">
        <f t="shared" si="8"/>
        <v>4</v>
      </c>
      <c r="R170" s="49">
        <v>10</v>
      </c>
      <c r="S170" s="49">
        <f t="shared" si="9"/>
        <v>40</v>
      </c>
      <c r="U170" s="49">
        <f t="shared" si="10"/>
        <v>40</v>
      </c>
      <c r="V170" s="49">
        <f t="shared" si="11"/>
        <v>0</v>
      </c>
    </row>
    <row r="171" spans="1:22" s="49" customFormat="1">
      <c r="A171" s="56" t="s">
        <v>2794</v>
      </c>
      <c r="B171" s="55">
        <v>2</v>
      </c>
      <c r="C171" s="55"/>
      <c r="D171" s="55" t="s">
        <v>2800</v>
      </c>
      <c r="E171" s="55" t="s">
        <v>2800</v>
      </c>
      <c r="F171" s="55" t="s">
        <v>2800</v>
      </c>
      <c r="G171" s="55" t="s">
        <v>2801</v>
      </c>
      <c r="H171" s="55" t="s">
        <v>2266</v>
      </c>
      <c r="I171" s="103" t="s">
        <v>2342</v>
      </c>
      <c r="J171" s="103">
        <v>4</v>
      </c>
      <c r="K171" s="103">
        <v>15</v>
      </c>
      <c r="L171" s="55" t="s">
        <v>358</v>
      </c>
      <c r="M171" s="55">
        <v>65</v>
      </c>
      <c r="N171" s="55" t="s">
        <v>923</v>
      </c>
      <c r="O171" s="85" t="s">
        <v>1485</v>
      </c>
      <c r="P171" s="57" t="s">
        <v>2343</v>
      </c>
      <c r="Q171" s="18">
        <f t="shared" si="8"/>
        <v>4</v>
      </c>
      <c r="R171" s="49">
        <v>30</v>
      </c>
      <c r="S171" s="49">
        <f t="shared" si="9"/>
        <v>120</v>
      </c>
      <c r="U171" s="49">
        <f t="shared" si="10"/>
        <v>120</v>
      </c>
      <c r="V171" s="49">
        <f t="shared" si="11"/>
        <v>0</v>
      </c>
    </row>
    <row r="172" spans="1:22" s="49" customFormat="1">
      <c r="A172" s="56" t="s">
        <v>2795</v>
      </c>
      <c r="B172" s="55">
        <v>1</v>
      </c>
      <c r="C172" s="55" t="s">
        <v>2812</v>
      </c>
      <c r="D172" s="55" t="s">
        <v>2800</v>
      </c>
      <c r="E172" s="55" t="s">
        <v>2800</v>
      </c>
      <c r="F172" s="55" t="s">
        <v>2800</v>
      </c>
      <c r="G172" s="55" t="s">
        <v>2800</v>
      </c>
      <c r="H172" s="55" t="s">
        <v>1541</v>
      </c>
      <c r="I172" s="103" t="s">
        <v>1542</v>
      </c>
      <c r="J172" s="103">
        <v>1</v>
      </c>
      <c r="K172" s="103">
        <v>16</v>
      </c>
      <c r="L172" s="55" t="s">
        <v>358</v>
      </c>
      <c r="M172" s="55">
        <v>65</v>
      </c>
      <c r="N172" s="55" t="s">
        <v>1493</v>
      </c>
      <c r="O172" s="85"/>
      <c r="P172" s="57" t="s">
        <v>1543</v>
      </c>
      <c r="Q172" s="18">
        <f t="shared" si="8"/>
        <v>4</v>
      </c>
      <c r="R172" s="49">
        <v>10</v>
      </c>
      <c r="S172" s="49">
        <f t="shared" si="9"/>
        <v>40</v>
      </c>
      <c r="U172" s="49">
        <f t="shared" si="10"/>
        <v>40</v>
      </c>
      <c r="V172" s="49">
        <f t="shared" si="11"/>
        <v>0</v>
      </c>
    </row>
    <row r="173" spans="1:22" s="49" customFormat="1">
      <c r="A173" s="56" t="s">
        <v>2794</v>
      </c>
      <c r="B173" s="55">
        <v>2</v>
      </c>
      <c r="C173" s="55" t="s">
        <v>2812</v>
      </c>
      <c r="D173" s="55" t="s">
        <v>2812</v>
      </c>
      <c r="E173" s="55" t="s">
        <v>2812</v>
      </c>
      <c r="F173" s="55" t="s">
        <v>2800</v>
      </c>
      <c r="G173" s="55" t="s">
        <v>2801</v>
      </c>
      <c r="H173" s="55" t="s">
        <v>2265</v>
      </c>
      <c r="I173" s="103" t="s">
        <v>1579</v>
      </c>
      <c r="J173" s="103">
        <v>4</v>
      </c>
      <c r="K173" s="103">
        <v>16</v>
      </c>
      <c r="L173" s="55" t="s">
        <v>358</v>
      </c>
      <c r="M173" s="55">
        <v>65</v>
      </c>
      <c r="N173" s="55" t="s">
        <v>923</v>
      </c>
      <c r="O173" s="85" t="s">
        <v>1485</v>
      </c>
      <c r="P173" s="57" t="s">
        <v>2347</v>
      </c>
      <c r="Q173" s="18">
        <f t="shared" si="8"/>
        <v>1</v>
      </c>
      <c r="R173" s="49">
        <v>30</v>
      </c>
      <c r="S173" s="49">
        <f t="shared" si="9"/>
        <v>30</v>
      </c>
      <c r="U173" s="49">
        <f t="shared" si="10"/>
        <v>30</v>
      </c>
      <c r="V173" s="49">
        <f t="shared" si="11"/>
        <v>0</v>
      </c>
    </row>
    <row r="174" spans="1:22" s="49" customFormat="1">
      <c r="A174" s="56" t="s">
        <v>2798</v>
      </c>
      <c r="B174" s="55">
        <v>3</v>
      </c>
      <c r="C174" s="55" t="s">
        <v>2812</v>
      </c>
      <c r="D174" s="55" t="s">
        <v>2800</v>
      </c>
      <c r="E174" s="55" t="s">
        <v>2801</v>
      </c>
      <c r="F174" s="55" t="s">
        <v>2801</v>
      </c>
      <c r="G174" s="55" t="s">
        <v>2801</v>
      </c>
      <c r="H174" s="55" t="s">
        <v>3148</v>
      </c>
      <c r="I174" s="103" t="s">
        <v>2509</v>
      </c>
      <c r="J174" s="103">
        <v>7</v>
      </c>
      <c r="K174" s="103">
        <v>16</v>
      </c>
      <c r="L174" s="55" t="s">
        <v>358</v>
      </c>
      <c r="M174" s="55">
        <v>65</v>
      </c>
      <c r="N174" s="55" t="s">
        <v>1501</v>
      </c>
      <c r="O174" s="85"/>
      <c r="P174" s="57" t="s">
        <v>2510</v>
      </c>
      <c r="Q174" s="18">
        <f t="shared" si="8"/>
        <v>1</v>
      </c>
      <c r="R174" s="49">
        <v>45</v>
      </c>
      <c r="S174" s="49">
        <f t="shared" si="9"/>
        <v>45</v>
      </c>
      <c r="U174" s="49">
        <f t="shared" si="10"/>
        <v>0</v>
      </c>
      <c r="V174" s="49">
        <f t="shared" si="11"/>
        <v>45</v>
      </c>
    </row>
    <row r="175" spans="1:22" s="49" customFormat="1">
      <c r="A175" s="56" t="s">
        <v>2795</v>
      </c>
      <c r="B175" s="55">
        <v>1</v>
      </c>
      <c r="C175" s="55"/>
      <c r="D175" s="55" t="s">
        <v>2800</v>
      </c>
      <c r="E175" s="55" t="s">
        <v>2800</v>
      </c>
      <c r="F175" s="55" t="s">
        <v>2800</v>
      </c>
      <c r="G175" s="55" t="s">
        <v>2800</v>
      </c>
      <c r="H175" s="55" t="s">
        <v>2977</v>
      </c>
      <c r="I175" s="103" t="s">
        <v>1616</v>
      </c>
      <c r="J175" s="103">
        <v>3</v>
      </c>
      <c r="K175" s="103">
        <v>17</v>
      </c>
      <c r="L175" s="55" t="s">
        <v>358</v>
      </c>
      <c r="M175" s="55">
        <v>65</v>
      </c>
      <c r="N175" s="55" t="s">
        <v>923</v>
      </c>
      <c r="O175" s="85" t="s">
        <v>1475</v>
      </c>
      <c r="P175" s="57" t="s">
        <v>1617</v>
      </c>
      <c r="Q175" s="18">
        <f t="shared" si="8"/>
        <v>5</v>
      </c>
      <c r="R175" s="49">
        <v>10</v>
      </c>
      <c r="S175" s="49">
        <f t="shared" si="9"/>
        <v>50</v>
      </c>
      <c r="U175" s="49">
        <f t="shared" si="10"/>
        <v>50</v>
      </c>
      <c r="V175" s="49">
        <f t="shared" si="11"/>
        <v>0</v>
      </c>
    </row>
    <row r="176" spans="1:22" s="49" customFormat="1">
      <c r="A176" s="56" t="s">
        <v>2913</v>
      </c>
      <c r="B176" s="55">
        <v>1</v>
      </c>
      <c r="C176" s="55"/>
      <c r="D176" s="55"/>
      <c r="E176" s="55"/>
      <c r="F176" s="55"/>
      <c r="G176" s="55"/>
      <c r="H176" s="55" t="s">
        <v>2978</v>
      </c>
      <c r="I176" s="55" t="s">
        <v>1621</v>
      </c>
      <c r="J176" s="55">
        <v>4</v>
      </c>
      <c r="K176" s="103">
        <v>17</v>
      </c>
      <c r="L176" s="55" t="s">
        <v>358</v>
      </c>
      <c r="M176" s="55">
        <v>65</v>
      </c>
      <c r="N176" s="103" t="s">
        <v>923</v>
      </c>
      <c r="O176" s="85" t="s">
        <v>1475</v>
      </c>
      <c r="P176" s="57" t="s">
        <v>1624</v>
      </c>
      <c r="Q176" s="18">
        <f t="shared" si="8"/>
        <v>5</v>
      </c>
      <c r="R176" s="49">
        <v>10</v>
      </c>
      <c r="S176" s="49">
        <f t="shared" si="9"/>
        <v>50</v>
      </c>
      <c r="U176" s="49">
        <f t="shared" si="10"/>
        <v>50</v>
      </c>
      <c r="V176" s="49">
        <f t="shared" si="11"/>
        <v>0</v>
      </c>
    </row>
    <row r="177" spans="1:22" s="49" customFormat="1">
      <c r="A177" s="56" t="s">
        <v>2794</v>
      </c>
      <c r="B177" s="55">
        <v>2</v>
      </c>
      <c r="C177" s="55"/>
      <c r="D177" s="55" t="s">
        <v>2800</v>
      </c>
      <c r="E177" s="55" t="s">
        <v>2800</v>
      </c>
      <c r="F177" s="55" t="s">
        <v>2800</v>
      </c>
      <c r="G177" s="55" t="s">
        <v>2801</v>
      </c>
      <c r="H177" s="55" t="s">
        <v>2267</v>
      </c>
      <c r="I177" s="103" t="s">
        <v>1630</v>
      </c>
      <c r="J177" s="103">
        <v>4</v>
      </c>
      <c r="K177" s="103">
        <v>17</v>
      </c>
      <c r="L177" s="55" t="s">
        <v>358</v>
      </c>
      <c r="M177" s="55">
        <v>65</v>
      </c>
      <c r="N177" s="55" t="s">
        <v>923</v>
      </c>
      <c r="O177" s="85" t="s">
        <v>1485</v>
      </c>
      <c r="P177" s="57" t="s">
        <v>2351</v>
      </c>
      <c r="Q177" s="18">
        <f t="shared" si="8"/>
        <v>4</v>
      </c>
      <c r="R177" s="49">
        <v>30</v>
      </c>
      <c r="S177" s="49">
        <f t="shared" si="9"/>
        <v>120</v>
      </c>
      <c r="U177" s="49">
        <f t="shared" si="10"/>
        <v>120</v>
      </c>
      <c r="V177" s="49">
        <f t="shared" si="11"/>
        <v>0</v>
      </c>
    </row>
    <row r="178" spans="1:22" s="49" customFormat="1">
      <c r="A178" s="56" t="s">
        <v>2795</v>
      </c>
      <c r="B178" s="55">
        <v>1</v>
      </c>
      <c r="C178" s="55" t="s">
        <v>2812</v>
      </c>
      <c r="D178" s="55" t="s">
        <v>2800</v>
      </c>
      <c r="E178" s="55" t="s">
        <v>2800</v>
      </c>
      <c r="F178" s="55" t="s">
        <v>2800</v>
      </c>
      <c r="G178" s="55" t="s">
        <v>2800</v>
      </c>
      <c r="H178" s="55" t="s">
        <v>1632</v>
      </c>
      <c r="I178" s="103" t="s">
        <v>1633</v>
      </c>
      <c r="J178" s="103">
        <v>5</v>
      </c>
      <c r="K178" s="103">
        <v>17</v>
      </c>
      <c r="L178" s="55" t="s">
        <v>358</v>
      </c>
      <c r="M178" s="55">
        <v>65</v>
      </c>
      <c r="N178" s="55" t="s">
        <v>1493</v>
      </c>
      <c r="O178" s="85"/>
      <c r="P178" s="57" t="s">
        <v>1634</v>
      </c>
      <c r="Q178" s="18">
        <f t="shared" si="8"/>
        <v>4</v>
      </c>
      <c r="R178" s="49">
        <v>10</v>
      </c>
      <c r="S178" s="49">
        <f t="shared" si="9"/>
        <v>40</v>
      </c>
      <c r="U178" s="49">
        <f t="shared" si="10"/>
        <v>40</v>
      </c>
      <c r="V178" s="49">
        <f t="shared" si="11"/>
        <v>0</v>
      </c>
    </row>
    <row r="179" spans="1:22" s="49" customFormat="1">
      <c r="A179" s="56" t="s">
        <v>2795</v>
      </c>
      <c r="B179" s="55">
        <v>1</v>
      </c>
      <c r="C179" s="55" t="s">
        <v>2812</v>
      </c>
      <c r="D179" s="55" t="s">
        <v>2800</v>
      </c>
      <c r="E179" s="55" t="s">
        <v>2800</v>
      </c>
      <c r="F179" s="55" t="s">
        <v>2800</v>
      </c>
      <c r="G179" s="55" t="s">
        <v>2800</v>
      </c>
      <c r="H179" s="55" t="s">
        <v>1670</v>
      </c>
      <c r="I179" s="103" t="s">
        <v>1671</v>
      </c>
      <c r="J179" s="103">
        <v>3</v>
      </c>
      <c r="K179" s="103">
        <v>18</v>
      </c>
      <c r="L179" s="55" t="s">
        <v>358</v>
      </c>
      <c r="M179" s="55">
        <v>65</v>
      </c>
      <c r="N179" s="55" t="s">
        <v>1493</v>
      </c>
      <c r="O179" s="85"/>
      <c r="P179" s="57" t="s">
        <v>1672</v>
      </c>
      <c r="Q179" s="18">
        <f t="shared" si="8"/>
        <v>4</v>
      </c>
      <c r="R179" s="49">
        <v>10</v>
      </c>
      <c r="S179" s="49">
        <f t="shared" si="9"/>
        <v>40</v>
      </c>
      <c r="U179" s="49">
        <f t="shared" si="10"/>
        <v>40</v>
      </c>
      <c r="V179" s="49">
        <f t="shared" si="11"/>
        <v>0</v>
      </c>
    </row>
    <row r="180" spans="1:22" s="49" customFormat="1">
      <c r="A180" s="56" t="s">
        <v>2794</v>
      </c>
      <c r="B180" s="55">
        <v>2</v>
      </c>
      <c r="C180" s="55" t="s">
        <v>2812</v>
      </c>
      <c r="D180" s="55" t="s">
        <v>2800</v>
      </c>
      <c r="E180" s="55" t="s">
        <v>2800</v>
      </c>
      <c r="F180" s="55" t="s">
        <v>2800</v>
      </c>
      <c r="G180" s="55" t="s">
        <v>2801</v>
      </c>
      <c r="H180" s="55" t="s">
        <v>2268</v>
      </c>
      <c r="I180" s="103" t="s">
        <v>2356</v>
      </c>
      <c r="J180" s="103">
        <v>4</v>
      </c>
      <c r="K180" s="103">
        <v>18</v>
      </c>
      <c r="L180" s="55" t="s">
        <v>358</v>
      </c>
      <c r="M180" s="55">
        <v>65</v>
      </c>
      <c r="N180" s="55" t="s">
        <v>923</v>
      </c>
      <c r="O180" s="85" t="s">
        <v>1485</v>
      </c>
      <c r="P180" s="57" t="s">
        <v>2357</v>
      </c>
      <c r="Q180" s="18">
        <f t="shared" si="8"/>
        <v>3</v>
      </c>
      <c r="R180" s="49">
        <v>30</v>
      </c>
      <c r="S180" s="49">
        <f t="shared" si="9"/>
        <v>90</v>
      </c>
      <c r="U180" s="49">
        <f t="shared" si="10"/>
        <v>90</v>
      </c>
      <c r="V180" s="49">
        <f t="shared" si="11"/>
        <v>0</v>
      </c>
    </row>
    <row r="181" spans="1:22" s="49" customFormat="1">
      <c r="A181" s="56" t="s">
        <v>2795</v>
      </c>
      <c r="B181" s="55">
        <v>1</v>
      </c>
      <c r="C181" s="55" t="s">
        <v>2812</v>
      </c>
      <c r="D181" s="55" t="s">
        <v>2800</v>
      </c>
      <c r="E181" s="55" t="s">
        <v>2800</v>
      </c>
      <c r="F181" s="55" t="s">
        <v>2800</v>
      </c>
      <c r="G181" s="55" t="s">
        <v>2800</v>
      </c>
      <c r="H181" s="55" t="s">
        <v>1699</v>
      </c>
      <c r="I181" s="103" t="s">
        <v>1697</v>
      </c>
      <c r="J181" s="103">
        <v>2</v>
      </c>
      <c r="K181" s="103">
        <v>19</v>
      </c>
      <c r="L181" s="55" t="s">
        <v>358</v>
      </c>
      <c r="M181" s="55">
        <v>65</v>
      </c>
      <c r="N181" s="55" t="s">
        <v>1493</v>
      </c>
      <c r="O181" s="85"/>
      <c r="P181" s="57" t="s">
        <v>1700</v>
      </c>
      <c r="Q181" s="18">
        <f t="shared" si="8"/>
        <v>4</v>
      </c>
      <c r="R181" s="49">
        <v>10</v>
      </c>
      <c r="S181" s="49">
        <f t="shared" si="9"/>
        <v>40</v>
      </c>
      <c r="U181" s="49">
        <f t="shared" si="10"/>
        <v>40</v>
      </c>
      <c r="V181" s="49">
        <f t="shared" si="11"/>
        <v>0</v>
      </c>
    </row>
    <row r="182" spans="1:22" s="49" customFormat="1">
      <c r="A182" s="56" t="s">
        <v>2794</v>
      </c>
      <c r="B182" s="55">
        <v>2</v>
      </c>
      <c r="C182" s="55"/>
      <c r="D182" s="55" t="s">
        <v>2800</v>
      </c>
      <c r="E182" s="55" t="s">
        <v>2800</v>
      </c>
      <c r="F182" s="55" t="s">
        <v>2800</v>
      </c>
      <c r="G182" s="55" t="s">
        <v>2801</v>
      </c>
      <c r="H182" s="55" t="s">
        <v>2269</v>
      </c>
      <c r="I182" s="103" t="s">
        <v>1731</v>
      </c>
      <c r="J182" s="103">
        <v>4</v>
      </c>
      <c r="K182" s="103">
        <v>19</v>
      </c>
      <c r="L182" s="55" t="s">
        <v>358</v>
      </c>
      <c r="M182" s="55">
        <v>65</v>
      </c>
      <c r="N182" s="55" t="s">
        <v>923</v>
      </c>
      <c r="O182" s="85" t="s">
        <v>1485</v>
      </c>
      <c r="P182" s="57" t="s">
        <v>2365</v>
      </c>
      <c r="Q182" s="18">
        <f t="shared" si="8"/>
        <v>4</v>
      </c>
      <c r="R182" s="49">
        <v>30</v>
      </c>
      <c r="S182" s="49">
        <f t="shared" si="9"/>
        <v>120</v>
      </c>
      <c r="U182" s="49">
        <f t="shared" si="10"/>
        <v>120</v>
      </c>
      <c r="V182" s="49">
        <f t="shared" si="11"/>
        <v>0</v>
      </c>
    </row>
    <row r="183" spans="1:22" s="49" customFormat="1" ht="14.25" thickBot="1">
      <c r="A183" s="53" t="s">
        <v>2795</v>
      </c>
      <c r="B183" s="54">
        <v>1</v>
      </c>
      <c r="C183" s="54"/>
      <c r="D183" s="54" t="s">
        <v>2800</v>
      </c>
      <c r="E183" s="54" t="s">
        <v>2800</v>
      </c>
      <c r="F183" s="54" t="s">
        <v>2800</v>
      </c>
      <c r="G183" s="54" t="s">
        <v>2800</v>
      </c>
      <c r="H183" s="54" t="s">
        <v>2979</v>
      </c>
      <c r="I183" s="126" t="s">
        <v>1737</v>
      </c>
      <c r="J183" s="126">
        <v>6</v>
      </c>
      <c r="K183" s="126">
        <v>19</v>
      </c>
      <c r="L183" s="54" t="s">
        <v>358</v>
      </c>
      <c r="M183" s="54">
        <v>65</v>
      </c>
      <c r="N183" s="54" t="s">
        <v>923</v>
      </c>
      <c r="O183" s="93" t="s">
        <v>1479</v>
      </c>
      <c r="P183" s="11" t="s">
        <v>1738</v>
      </c>
      <c r="Q183" s="18">
        <f t="shared" si="8"/>
        <v>5</v>
      </c>
      <c r="R183" s="49">
        <v>10</v>
      </c>
      <c r="S183" s="49">
        <f t="shared" si="9"/>
        <v>50</v>
      </c>
      <c r="U183" s="49">
        <f t="shared" si="10"/>
        <v>50</v>
      </c>
      <c r="V183" s="49">
        <f t="shared" si="11"/>
        <v>0</v>
      </c>
    </row>
    <row r="184" spans="1:22" s="49" customFormat="1">
      <c r="A184" s="150"/>
      <c r="B184" s="151"/>
      <c r="C184" s="151"/>
      <c r="D184" s="151"/>
      <c r="E184" s="151"/>
      <c r="F184" s="151"/>
      <c r="G184" s="152"/>
      <c r="H184" s="137" t="s">
        <v>2955</v>
      </c>
      <c r="I184" s="139" t="s">
        <v>2099</v>
      </c>
      <c r="J184" s="139"/>
      <c r="K184" s="139"/>
      <c r="L184" s="138" t="s">
        <v>2098</v>
      </c>
      <c r="M184" s="138"/>
      <c r="N184" s="138" t="s">
        <v>2094</v>
      </c>
      <c r="O184" s="140" t="s">
        <v>2101</v>
      </c>
      <c r="P184" s="141" t="s">
        <v>2102</v>
      </c>
      <c r="Q184" s="18" t="str">
        <f t="shared" si="8"/>
        <v/>
      </c>
      <c r="R184" s="49" t="s">
        <v>3119</v>
      </c>
      <c r="S184" s="49">
        <f t="shared" si="9"/>
        <v>0</v>
      </c>
      <c r="T184" s="49">
        <f>SUM(S184:S188)</f>
        <v>360</v>
      </c>
      <c r="U184" s="49">
        <f t="shared" si="10"/>
        <v>0</v>
      </c>
      <c r="V184" s="49">
        <f t="shared" si="11"/>
        <v>0</v>
      </c>
    </row>
    <row r="185" spans="1:22" s="49" customFormat="1" ht="14.25" thickBot="1">
      <c r="A185" s="53" t="s">
        <v>2798</v>
      </c>
      <c r="B185" s="54">
        <v>3</v>
      </c>
      <c r="C185" s="54"/>
      <c r="D185" s="54" t="s">
        <v>2800</v>
      </c>
      <c r="E185" s="54" t="s">
        <v>2801</v>
      </c>
      <c r="F185" s="54" t="s">
        <v>2801</v>
      </c>
      <c r="G185" s="54" t="s">
        <v>2801</v>
      </c>
      <c r="H185" s="54" t="s">
        <v>3149</v>
      </c>
      <c r="I185" s="126" t="s">
        <v>2775</v>
      </c>
      <c r="J185" s="126">
        <v>8</v>
      </c>
      <c r="K185" s="126">
        <v>2</v>
      </c>
      <c r="L185" s="54" t="s">
        <v>280</v>
      </c>
      <c r="M185" s="54">
        <v>66</v>
      </c>
      <c r="N185" s="54" t="s">
        <v>923</v>
      </c>
      <c r="O185" s="93" t="s">
        <v>2244</v>
      </c>
      <c r="P185" s="11" t="s">
        <v>2679</v>
      </c>
      <c r="Q185" s="18">
        <f t="shared" si="8"/>
        <v>2</v>
      </c>
      <c r="R185" s="49">
        <v>95</v>
      </c>
      <c r="S185" s="49">
        <f t="shared" si="9"/>
        <v>190</v>
      </c>
      <c r="U185" s="49">
        <f t="shared" si="10"/>
        <v>0</v>
      </c>
      <c r="V185" s="49">
        <f t="shared" si="11"/>
        <v>190</v>
      </c>
    </row>
    <row r="186" spans="1:22" s="49" customFormat="1">
      <c r="A186" s="50" t="s">
        <v>2794</v>
      </c>
      <c r="B186" s="51">
        <v>2</v>
      </c>
      <c r="C186" s="51"/>
      <c r="D186" s="51" t="s">
        <v>2800</v>
      </c>
      <c r="E186" s="51" t="s">
        <v>2800</v>
      </c>
      <c r="F186" s="51" t="s">
        <v>2800</v>
      </c>
      <c r="G186" s="51" t="s">
        <v>2801</v>
      </c>
      <c r="H186" s="51" t="s">
        <v>2980</v>
      </c>
      <c r="I186" s="129">
        <v>4</v>
      </c>
      <c r="J186" s="129">
        <v>4</v>
      </c>
      <c r="K186" s="129">
        <v>6</v>
      </c>
      <c r="L186" s="51" t="s">
        <v>360</v>
      </c>
      <c r="M186" s="51">
        <v>67</v>
      </c>
      <c r="N186" s="51" t="s">
        <v>2237</v>
      </c>
      <c r="O186" s="92"/>
      <c r="P186" s="52" t="s">
        <v>2369</v>
      </c>
      <c r="Q186" s="18">
        <f t="shared" si="8"/>
        <v>4</v>
      </c>
      <c r="R186" s="49">
        <v>30</v>
      </c>
      <c r="S186" s="49">
        <f t="shared" si="9"/>
        <v>120</v>
      </c>
      <c r="U186" s="49">
        <f t="shared" si="10"/>
        <v>120</v>
      </c>
      <c r="V186" s="49">
        <f t="shared" si="11"/>
        <v>0</v>
      </c>
    </row>
    <row r="187" spans="1:22" s="49" customFormat="1" ht="14.25" thickBot="1">
      <c r="A187" s="53" t="s">
        <v>2799</v>
      </c>
      <c r="B187" s="54">
        <v>4</v>
      </c>
      <c r="C187" s="54" t="s">
        <v>2812</v>
      </c>
      <c r="D187" s="54" t="s">
        <v>2801</v>
      </c>
      <c r="E187" s="54" t="s">
        <v>2801</v>
      </c>
      <c r="F187" s="54" t="s">
        <v>2801</v>
      </c>
      <c r="G187" s="54" t="s">
        <v>2801</v>
      </c>
      <c r="H187" s="54" t="s">
        <v>2949</v>
      </c>
      <c r="I187" s="126" t="s">
        <v>2792</v>
      </c>
      <c r="J187" s="126">
        <v>7</v>
      </c>
      <c r="K187" s="126">
        <v>20</v>
      </c>
      <c r="L187" s="54" t="s">
        <v>360</v>
      </c>
      <c r="M187" s="54">
        <v>67</v>
      </c>
      <c r="N187" s="54" t="s">
        <v>2567</v>
      </c>
      <c r="O187" s="93"/>
      <c r="P187" s="11"/>
      <c r="Q187" s="18">
        <f t="shared" si="8"/>
        <v>0</v>
      </c>
      <c r="R187" s="49" t="s">
        <v>3119</v>
      </c>
      <c r="S187" s="49">
        <f t="shared" si="9"/>
        <v>0</v>
      </c>
      <c r="U187" s="49">
        <f t="shared" si="10"/>
        <v>0</v>
      </c>
      <c r="V187" s="49">
        <f t="shared" si="11"/>
        <v>0</v>
      </c>
    </row>
    <row r="188" spans="1:22" s="49" customFormat="1" ht="14.25" thickBot="1">
      <c r="A188" s="130" t="s">
        <v>2795</v>
      </c>
      <c r="B188" s="131">
        <v>1</v>
      </c>
      <c r="C188" s="131"/>
      <c r="D188" s="131" t="s">
        <v>2800</v>
      </c>
      <c r="E188" s="131" t="s">
        <v>2800</v>
      </c>
      <c r="F188" s="131" t="s">
        <v>2800</v>
      </c>
      <c r="G188" s="131" t="s">
        <v>2800</v>
      </c>
      <c r="H188" s="131" t="s">
        <v>2981</v>
      </c>
      <c r="I188" s="132" t="s">
        <v>36</v>
      </c>
      <c r="J188" s="132">
        <v>2</v>
      </c>
      <c r="K188" s="132">
        <v>18</v>
      </c>
      <c r="L188" s="131" t="s">
        <v>361</v>
      </c>
      <c r="M188" s="131">
        <v>68</v>
      </c>
      <c r="N188" s="131" t="s">
        <v>923</v>
      </c>
      <c r="O188" s="133" t="s">
        <v>1475</v>
      </c>
      <c r="P188" s="134" t="s">
        <v>1660</v>
      </c>
      <c r="Q188" s="18">
        <f t="shared" si="8"/>
        <v>5</v>
      </c>
      <c r="R188" s="49">
        <v>10</v>
      </c>
      <c r="S188" s="49">
        <f t="shared" si="9"/>
        <v>50</v>
      </c>
      <c r="U188" s="49">
        <f t="shared" si="10"/>
        <v>50</v>
      </c>
      <c r="V188" s="49">
        <f t="shared" si="11"/>
        <v>0</v>
      </c>
    </row>
    <row r="189" spans="1:22" s="49" customFormat="1">
      <c r="A189" s="150"/>
      <c r="B189" s="151"/>
      <c r="C189" s="151"/>
      <c r="D189" s="151"/>
      <c r="E189" s="151"/>
      <c r="F189" s="151"/>
      <c r="G189" s="152"/>
      <c r="H189" s="137" t="s">
        <v>2955</v>
      </c>
      <c r="I189" s="139" t="s">
        <v>2099</v>
      </c>
      <c r="J189" s="139"/>
      <c r="K189" s="139"/>
      <c r="L189" s="138" t="s">
        <v>2098</v>
      </c>
      <c r="M189" s="138"/>
      <c r="N189" s="138" t="s">
        <v>2094</v>
      </c>
      <c r="O189" s="140" t="s">
        <v>2101</v>
      </c>
      <c r="P189" s="141" t="s">
        <v>2102</v>
      </c>
      <c r="Q189" s="18" t="str">
        <f t="shared" si="8"/>
        <v/>
      </c>
      <c r="R189" s="49" t="s">
        <v>3119</v>
      </c>
      <c r="S189" s="49">
        <f t="shared" si="9"/>
        <v>0</v>
      </c>
      <c r="T189" s="49">
        <f>SUM(S189:S194)</f>
        <v>250</v>
      </c>
      <c r="U189" s="49">
        <f t="shared" si="10"/>
        <v>0</v>
      </c>
      <c r="V189" s="49">
        <f t="shared" si="11"/>
        <v>0</v>
      </c>
    </row>
    <row r="190" spans="1:22" s="49" customFormat="1">
      <c r="A190" s="56" t="s">
        <v>2798</v>
      </c>
      <c r="B190" s="55">
        <v>3</v>
      </c>
      <c r="C190" s="55" t="s">
        <v>2812</v>
      </c>
      <c r="D190" s="55" t="s">
        <v>2812</v>
      </c>
      <c r="E190" s="55" t="s">
        <v>2801</v>
      </c>
      <c r="F190" s="55" t="s">
        <v>2801</v>
      </c>
      <c r="G190" s="55" t="s">
        <v>2801</v>
      </c>
      <c r="H190" s="55" t="s">
        <v>2774</v>
      </c>
      <c r="I190" s="103" t="s">
        <v>998</v>
      </c>
      <c r="J190" s="103">
        <v>4</v>
      </c>
      <c r="K190" s="103">
        <v>2</v>
      </c>
      <c r="L190" s="55" t="s">
        <v>281</v>
      </c>
      <c r="M190" s="55">
        <v>69</v>
      </c>
      <c r="N190" s="55" t="s">
        <v>1501</v>
      </c>
      <c r="O190" s="85"/>
      <c r="P190" s="57" t="s">
        <v>2667</v>
      </c>
      <c r="Q190" s="18">
        <f t="shared" si="8"/>
        <v>0</v>
      </c>
      <c r="R190" s="49" t="s">
        <v>3119</v>
      </c>
      <c r="S190" s="49">
        <f t="shared" si="9"/>
        <v>0</v>
      </c>
      <c r="U190" s="49">
        <f t="shared" si="10"/>
        <v>0</v>
      </c>
      <c r="V190" s="49">
        <f t="shared" si="11"/>
        <v>0</v>
      </c>
    </row>
    <row r="191" spans="1:22" s="49" customFormat="1">
      <c r="A191" s="56" t="s">
        <v>2913</v>
      </c>
      <c r="B191" s="55">
        <v>1</v>
      </c>
      <c r="C191" s="55"/>
      <c r="D191" s="55"/>
      <c r="E191" s="55"/>
      <c r="F191" s="55"/>
      <c r="G191" s="55"/>
      <c r="H191" s="55" t="s">
        <v>2827</v>
      </c>
      <c r="I191" s="55" t="s">
        <v>1008</v>
      </c>
      <c r="J191" s="55">
        <v>4</v>
      </c>
      <c r="K191" s="103">
        <v>3</v>
      </c>
      <c r="L191" s="55" t="s">
        <v>281</v>
      </c>
      <c r="M191" s="55">
        <v>69</v>
      </c>
      <c r="N191" s="103" t="s">
        <v>923</v>
      </c>
      <c r="O191" s="85" t="s">
        <v>1475</v>
      </c>
      <c r="P191" s="57" t="s">
        <v>2828</v>
      </c>
      <c r="Q191" s="18">
        <f t="shared" si="8"/>
        <v>5</v>
      </c>
      <c r="R191" s="49">
        <v>10</v>
      </c>
      <c r="S191" s="49">
        <f t="shared" si="9"/>
        <v>50</v>
      </c>
      <c r="U191" s="49">
        <f t="shared" si="10"/>
        <v>50</v>
      </c>
      <c r="V191" s="49">
        <f t="shared" si="11"/>
        <v>0</v>
      </c>
    </row>
    <row r="192" spans="1:22" s="49" customFormat="1" ht="14.25" thickBot="1">
      <c r="A192" s="53" t="s">
        <v>2795</v>
      </c>
      <c r="B192" s="54">
        <v>1</v>
      </c>
      <c r="C192" s="54"/>
      <c r="D192" s="54" t="s">
        <v>2800</v>
      </c>
      <c r="E192" s="54" t="s">
        <v>2800</v>
      </c>
      <c r="F192" s="54" t="s">
        <v>2800</v>
      </c>
      <c r="G192" s="54" t="s">
        <v>2800</v>
      </c>
      <c r="H192" s="54" t="s">
        <v>2982</v>
      </c>
      <c r="I192" s="126" t="s">
        <v>1012</v>
      </c>
      <c r="J192" s="126">
        <v>2</v>
      </c>
      <c r="K192" s="126">
        <v>4</v>
      </c>
      <c r="L192" s="54" t="s">
        <v>281</v>
      </c>
      <c r="M192" s="54">
        <v>69</v>
      </c>
      <c r="N192" s="54" t="s">
        <v>1493</v>
      </c>
      <c r="O192" s="93"/>
      <c r="P192" s="11" t="s">
        <v>2206</v>
      </c>
      <c r="Q192" s="18">
        <f t="shared" si="8"/>
        <v>5</v>
      </c>
      <c r="R192" s="49">
        <v>10</v>
      </c>
      <c r="S192" s="49">
        <f t="shared" si="9"/>
        <v>50</v>
      </c>
      <c r="U192" s="49">
        <f t="shared" si="10"/>
        <v>50</v>
      </c>
      <c r="V192" s="49">
        <f t="shared" si="11"/>
        <v>0</v>
      </c>
    </row>
    <row r="193" spans="1:22" s="49" customFormat="1">
      <c r="A193" s="99" t="s">
        <v>2794</v>
      </c>
      <c r="B193" s="60">
        <v>2</v>
      </c>
      <c r="C193" s="60"/>
      <c r="D193" s="60" t="s">
        <v>2800</v>
      </c>
      <c r="E193" s="60" t="s">
        <v>2800</v>
      </c>
      <c r="F193" s="60" t="s">
        <v>2800</v>
      </c>
      <c r="G193" s="60" t="s">
        <v>2801</v>
      </c>
      <c r="H193" s="60" t="s">
        <v>2263</v>
      </c>
      <c r="I193" s="128" t="s">
        <v>996</v>
      </c>
      <c r="J193" s="128">
        <v>3</v>
      </c>
      <c r="K193" s="128">
        <v>2</v>
      </c>
      <c r="L193" s="60" t="s">
        <v>362</v>
      </c>
      <c r="M193" s="60">
        <v>70</v>
      </c>
      <c r="N193" s="60" t="s">
        <v>923</v>
      </c>
      <c r="O193" s="87" t="s">
        <v>1474</v>
      </c>
      <c r="P193" s="100" t="s">
        <v>2293</v>
      </c>
      <c r="Q193" s="18">
        <f t="shared" si="8"/>
        <v>4</v>
      </c>
      <c r="R193" s="49">
        <v>30</v>
      </c>
      <c r="S193" s="49">
        <f t="shared" si="9"/>
        <v>120</v>
      </c>
      <c r="U193" s="49">
        <f t="shared" si="10"/>
        <v>120</v>
      </c>
      <c r="V193" s="49">
        <f t="shared" si="11"/>
        <v>0</v>
      </c>
    </row>
    <row r="194" spans="1:22" s="49" customFormat="1" ht="14.25" thickBot="1">
      <c r="A194" s="53" t="s">
        <v>2794</v>
      </c>
      <c r="B194" s="54">
        <v>2</v>
      </c>
      <c r="C194" s="54" t="s">
        <v>2812</v>
      </c>
      <c r="D194" s="54" t="s">
        <v>2812</v>
      </c>
      <c r="E194" s="54" t="s">
        <v>2812</v>
      </c>
      <c r="F194" s="54" t="s">
        <v>2800</v>
      </c>
      <c r="G194" s="54" t="s">
        <v>2801</v>
      </c>
      <c r="H194" s="54" t="s">
        <v>2490</v>
      </c>
      <c r="I194" s="126">
        <v>0</v>
      </c>
      <c r="J194" s="126">
        <v>0</v>
      </c>
      <c r="K194" s="126">
        <v>6</v>
      </c>
      <c r="L194" s="54" t="s">
        <v>362</v>
      </c>
      <c r="M194" s="54">
        <v>70</v>
      </c>
      <c r="N194" s="54" t="s">
        <v>2237</v>
      </c>
      <c r="O194" s="93"/>
      <c r="P194" s="11" t="s">
        <v>2491</v>
      </c>
      <c r="Q194" s="18">
        <f t="shared" si="8"/>
        <v>1</v>
      </c>
      <c r="R194" s="49">
        <v>30</v>
      </c>
      <c r="S194" s="49">
        <f t="shared" si="9"/>
        <v>30</v>
      </c>
      <c r="U194" s="49">
        <f t="shared" si="10"/>
        <v>30</v>
      </c>
      <c r="V194" s="49">
        <f t="shared" si="11"/>
        <v>0</v>
      </c>
    </row>
    <row r="195" spans="1:22" s="49" customFormat="1">
      <c r="A195" s="150"/>
      <c r="B195" s="151"/>
      <c r="C195" s="151"/>
      <c r="D195" s="151"/>
      <c r="E195" s="151"/>
      <c r="F195" s="151"/>
      <c r="G195" s="152"/>
      <c r="H195" s="137" t="s">
        <v>2955</v>
      </c>
      <c r="I195" s="139" t="s">
        <v>2099</v>
      </c>
      <c r="J195" s="139"/>
      <c r="K195" s="139"/>
      <c r="L195" s="138" t="s">
        <v>2098</v>
      </c>
      <c r="M195" s="138"/>
      <c r="N195" s="138" t="s">
        <v>2094</v>
      </c>
      <c r="O195" s="140" t="s">
        <v>2101</v>
      </c>
      <c r="P195" s="141" t="s">
        <v>2102</v>
      </c>
      <c r="Q195" s="18" t="str">
        <f t="shared" ref="Q195:Q258" si="12">IF(ISBLANK(A195),"",COUNTBLANK(C195:G195))</f>
        <v/>
      </c>
      <c r="R195" s="49" t="s">
        <v>3119</v>
      </c>
      <c r="S195" s="49">
        <f t="shared" ref="S195:S258" si="13">IF(R195="#",0,Q195*R195)</f>
        <v>0</v>
      </c>
      <c r="T195" s="49">
        <f>SUM(S195:S221)</f>
        <v>11141</v>
      </c>
      <c r="U195" s="49">
        <f t="shared" ref="U195:U258" si="14">IF(AND(OR(A195="Co",A195="UC"),Q195&gt;0),S195,0)</f>
        <v>0</v>
      </c>
      <c r="V195" s="49">
        <f t="shared" ref="V195:V258" si="15">IF(AND(OR(A195="Re",A195="MR"),Q195&gt;0),S195,0)</f>
        <v>0</v>
      </c>
    </row>
    <row r="196" spans="1:22" s="49" customFormat="1">
      <c r="A196" s="56" t="s">
        <v>2795</v>
      </c>
      <c r="B196" s="55">
        <v>1</v>
      </c>
      <c r="C196" s="55" t="s">
        <v>2812</v>
      </c>
      <c r="D196" s="55" t="s">
        <v>2812</v>
      </c>
      <c r="E196" s="55" t="s">
        <v>2812</v>
      </c>
      <c r="F196" s="55" t="s">
        <v>2800</v>
      </c>
      <c r="G196" s="55" t="s">
        <v>2800</v>
      </c>
      <c r="H196" s="55" t="s">
        <v>2156</v>
      </c>
      <c r="I196" s="103" t="s">
        <v>2154</v>
      </c>
      <c r="J196" s="103">
        <v>2</v>
      </c>
      <c r="K196" s="103">
        <v>2</v>
      </c>
      <c r="L196" s="55" t="s">
        <v>364</v>
      </c>
      <c r="M196" s="55">
        <v>72</v>
      </c>
      <c r="N196" s="55" t="s">
        <v>923</v>
      </c>
      <c r="O196" s="85" t="s">
        <v>1473</v>
      </c>
      <c r="P196" s="57" t="s">
        <v>2158</v>
      </c>
      <c r="Q196" s="18">
        <f t="shared" si="12"/>
        <v>2</v>
      </c>
      <c r="R196" s="49">
        <v>10</v>
      </c>
      <c r="S196" s="49">
        <f t="shared" si="13"/>
        <v>20</v>
      </c>
      <c r="U196" s="49">
        <f t="shared" si="14"/>
        <v>20</v>
      </c>
      <c r="V196" s="49">
        <f t="shared" si="15"/>
        <v>0</v>
      </c>
    </row>
    <row r="197" spans="1:22" s="49" customFormat="1">
      <c r="A197" s="56" t="s">
        <v>2795</v>
      </c>
      <c r="B197" s="55">
        <v>1</v>
      </c>
      <c r="C197" s="55" t="s">
        <v>2812</v>
      </c>
      <c r="D197" s="55" t="s">
        <v>2800</v>
      </c>
      <c r="E197" s="55" t="s">
        <v>2800</v>
      </c>
      <c r="F197" s="55" t="s">
        <v>2800</v>
      </c>
      <c r="G197" s="55" t="s">
        <v>2800</v>
      </c>
      <c r="H197" s="55" t="s">
        <v>2164</v>
      </c>
      <c r="I197" s="103" t="s">
        <v>996</v>
      </c>
      <c r="J197" s="103">
        <v>3</v>
      </c>
      <c r="K197" s="103">
        <v>2</v>
      </c>
      <c r="L197" s="55" t="s">
        <v>364</v>
      </c>
      <c r="M197" s="55">
        <v>72</v>
      </c>
      <c r="N197" s="55" t="s">
        <v>1490</v>
      </c>
      <c r="O197" s="85"/>
      <c r="P197" s="57" t="s">
        <v>2165</v>
      </c>
      <c r="Q197" s="18">
        <f t="shared" si="12"/>
        <v>4</v>
      </c>
      <c r="R197" s="49">
        <v>10</v>
      </c>
      <c r="S197" s="49">
        <f t="shared" si="13"/>
        <v>40</v>
      </c>
      <c r="U197" s="49">
        <f t="shared" si="14"/>
        <v>40</v>
      </c>
      <c r="V197" s="49">
        <f t="shared" si="15"/>
        <v>0</v>
      </c>
    </row>
    <row r="198" spans="1:22" s="49" customFormat="1">
      <c r="A198" s="56" t="s">
        <v>2795</v>
      </c>
      <c r="B198" s="55">
        <v>1</v>
      </c>
      <c r="C198" s="55" t="s">
        <v>2812</v>
      </c>
      <c r="D198" s="55" t="s">
        <v>2800</v>
      </c>
      <c r="E198" s="55" t="s">
        <v>2800</v>
      </c>
      <c r="F198" s="55" t="s">
        <v>2800</v>
      </c>
      <c r="G198" s="55" t="s">
        <v>2800</v>
      </c>
      <c r="H198" s="55" t="s">
        <v>1360</v>
      </c>
      <c r="I198" s="103" t="s">
        <v>1006</v>
      </c>
      <c r="J198" s="103">
        <v>2</v>
      </c>
      <c r="K198" s="103">
        <v>3</v>
      </c>
      <c r="L198" s="55" t="s">
        <v>364</v>
      </c>
      <c r="M198" s="55">
        <v>72</v>
      </c>
      <c r="N198" s="55" t="s">
        <v>923</v>
      </c>
      <c r="O198" s="85" t="s">
        <v>1473</v>
      </c>
      <c r="P198" s="57" t="s">
        <v>2144</v>
      </c>
      <c r="Q198" s="18">
        <f t="shared" si="12"/>
        <v>4</v>
      </c>
      <c r="R198" s="49">
        <v>10</v>
      </c>
      <c r="S198" s="49">
        <f t="shared" si="13"/>
        <v>40</v>
      </c>
      <c r="U198" s="49">
        <f t="shared" si="14"/>
        <v>40</v>
      </c>
      <c r="V198" s="49">
        <f t="shared" si="15"/>
        <v>0</v>
      </c>
    </row>
    <row r="199" spans="1:22" s="49" customFormat="1">
      <c r="A199" s="56" t="s">
        <v>2794</v>
      </c>
      <c r="B199" s="55">
        <v>2</v>
      </c>
      <c r="C199" s="55" t="s">
        <v>2812</v>
      </c>
      <c r="D199" s="55" t="s">
        <v>2800</v>
      </c>
      <c r="E199" s="55" t="s">
        <v>2800</v>
      </c>
      <c r="F199" s="55" t="s">
        <v>2800</v>
      </c>
      <c r="G199" s="55" t="s">
        <v>2801</v>
      </c>
      <c r="H199" s="55" t="s">
        <v>1378</v>
      </c>
      <c r="I199" s="103" t="s">
        <v>1191</v>
      </c>
      <c r="J199" s="103">
        <v>3</v>
      </c>
      <c r="K199" s="103">
        <v>3</v>
      </c>
      <c r="L199" s="55" t="s">
        <v>364</v>
      </c>
      <c r="M199" s="55">
        <v>72</v>
      </c>
      <c r="N199" s="55" t="s">
        <v>923</v>
      </c>
      <c r="O199" s="85" t="s">
        <v>1474</v>
      </c>
      <c r="P199" s="57" t="s">
        <v>2298</v>
      </c>
      <c r="Q199" s="18">
        <f t="shared" si="12"/>
        <v>3</v>
      </c>
      <c r="R199" s="49">
        <v>30</v>
      </c>
      <c r="S199" s="49">
        <f t="shared" si="13"/>
        <v>90</v>
      </c>
      <c r="U199" s="49">
        <f t="shared" si="14"/>
        <v>90</v>
      </c>
      <c r="V199" s="49">
        <f t="shared" si="15"/>
        <v>0</v>
      </c>
    </row>
    <row r="200" spans="1:22" s="49" customFormat="1">
      <c r="A200" s="56" t="s">
        <v>2795</v>
      </c>
      <c r="B200" s="55">
        <v>1</v>
      </c>
      <c r="C200" s="55"/>
      <c r="D200" s="55" t="s">
        <v>2800</v>
      </c>
      <c r="E200" s="55" t="s">
        <v>2800</v>
      </c>
      <c r="F200" s="55" t="s">
        <v>2800</v>
      </c>
      <c r="G200" s="55" t="s">
        <v>2800</v>
      </c>
      <c r="H200" s="55" t="s">
        <v>1368</v>
      </c>
      <c r="I200" s="103" t="s">
        <v>1008</v>
      </c>
      <c r="J200" s="103">
        <v>4</v>
      </c>
      <c r="K200" s="103">
        <v>3</v>
      </c>
      <c r="L200" s="55" t="s">
        <v>364</v>
      </c>
      <c r="M200" s="55">
        <v>72</v>
      </c>
      <c r="N200" s="55" t="s">
        <v>923</v>
      </c>
      <c r="O200" s="85" t="s">
        <v>1474</v>
      </c>
      <c r="P200" s="57" t="s">
        <v>2197</v>
      </c>
      <c r="Q200" s="18">
        <f t="shared" si="12"/>
        <v>5</v>
      </c>
      <c r="R200" s="49">
        <v>10</v>
      </c>
      <c r="S200" s="49">
        <f t="shared" si="13"/>
        <v>50</v>
      </c>
      <c r="U200" s="49">
        <f t="shared" si="14"/>
        <v>50</v>
      </c>
      <c r="V200" s="49">
        <f t="shared" si="15"/>
        <v>0</v>
      </c>
    </row>
    <row r="201" spans="1:22" s="49" customFormat="1">
      <c r="A201" s="56" t="s">
        <v>2798</v>
      </c>
      <c r="B201" s="55">
        <v>3</v>
      </c>
      <c r="C201" s="55"/>
      <c r="D201" s="55" t="s">
        <v>2800</v>
      </c>
      <c r="E201" s="55" t="s">
        <v>2801</v>
      </c>
      <c r="F201" s="55" t="s">
        <v>2801</v>
      </c>
      <c r="G201" s="55" t="s">
        <v>2801</v>
      </c>
      <c r="H201" s="55" t="s">
        <v>3150</v>
      </c>
      <c r="I201" s="103" t="s">
        <v>1008</v>
      </c>
      <c r="J201" s="103">
        <v>4</v>
      </c>
      <c r="K201" s="103">
        <v>3</v>
      </c>
      <c r="L201" s="55" t="s">
        <v>364</v>
      </c>
      <c r="M201" s="55">
        <v>72</v>
      </c>
      <c r="N201" s="55" t="s">
        <v>923</v>
      </c>
      <c r="O201" s="85" t="s">
        <v>1754</v>
      </c>
      <c r="P201" s="57" t="s">
        <v>1337</v>
      </c>
      <c r="Q201" s="18">
        <f t="shared" si="12"/>
        <v>2</v>
      </c>
      <c r="R201" s="49">
        <v>113</v>
      </c>
      <c r="S201" s="49">
        <f t="shared" si="13"/>
        <v>226</v>
      </c>
      <c r="U201" s="49">
        <f t="shared" si="14"/>
        <v>0</v>
      </c>
      <c r="V201" s="49">
        <f t="shared" si="15"/>
        <v>226</v>
      </c>
    </row>
    <row r="202" spans="1:22" s="49" customFormat="1">
      <c r="A202" s="56" t="s">
        <v>2799</v>
      </c>
      <c r="B202" s="55">
        <v>4</v>
      </c>
      <c r="C202" s="55"/>
      <c r="D202" s="55" t="s">
        <v>2801</v>
      </c>
      <c r="E202" s="55" t="s">
        <v>2801</v>
      </c>
      <c r="F202" s="55" t="s">
        <v>2801</v>
      </c>
      <c r="G202" s="55" t="s">
        <v>2801</v>
      </c>
      <c r="H202" s="55" t="s">
        <v>3151</v>
      </c>
      <c r="I202" s="103" t="s">
        <v>1404</v>
      </c>
      <c r="J202" s="103">
        <v>5</v>
      </c>
      <c r="K202" s="103">
        <v>3</v>
      </c>
      <c r="L202" s="55" t="s">
        <v>364</v>
      </c>
      <c r="M202" s="55">
        <v>72</v>
      </c>
      <c r="N202" s="55" t="s">
        <v>923</v>
      </c>
      <c r="O202" s="85" t="s">
        <v>1756</v>
      </c>
      <c r="P202" s="57" t="s">
        <v>1349</v>
      </c>
      <c r="Q202" s="18">
        <f t="shared" si="12"/>
        <v>1</v>
      </c>
      <c r="R202" s="49">
        <v>1106</v>
      </c>
      <c r="S202" s="49">
        <f t="shared" si="13"/>
        <v>1106</v>
      </c>
      <c r="U202" s="49">
        <f t="shared" si="14"/>
        <v>0</v>
      </c>
      <c r="V202" s="49">
        <f t="shared" si="15"/>
        <v>1106</v>
      </c>
    </row>
    <row r="203" spans="1:22" s="49" customFormat="1">
      <c r="A203" s="56" t="s">
        <v>2795</v>
      </c>
      <c r="B203" s="55">
        <v>1</v>
      </c>
      <c r="C203" s="55"/>
      <c r="D203" s="55" t="s">
        <v>2800</v>
      </c>
      <c r="E203" s="55" t="s">
        <v>2800</v>
      </c>
      <c r="F203" s="55" t="s">
        <v>2800</v>
      </c>
      <c r="G203" s="55" t="s">
        <v>2800</v>
      </c>
      <c r="H203" s="55" t="s">
        <v>1362</v>
      </c>
      <c r="I203" s="103" t="s">
        <v>1026</v>
      </c>
      <c r="J203" s="103">
        <v>3</v>
      </c>
      <c r="K203" s="103">
        <v>5</v>
      </c>
      <c r="L203" s="55" t="s">
        <v>364</v>
      </c>
      <c r="M203" s="55">
        <v>72</v>
      </c>
      <c r="N203" s="55" t="s">
        <v>923</v>
      </c>
      <c r="O203" s="85" t="s">
        <v>1480</v>
      </c>
      <c r="P203" s="57" t="s">
        <v>1255</v>
      </c>
      <c r="Q203" s="18">
        <f t="shared" si="12"/>
        <v>5</v>
      </c>
      <c r="R203" s="49">
        <v>10</v>
      </c>
      <c r="S203" s="49">
        <f t="shared" si="13"/>
        <v>50</v>
      </c>
      <c r="U203" s="49">
        <f t="shared" si="14"/>
        <v>50</v>
      </c>
      <c r="V203" s="49">
        <f t="shared" si="15"/>
        <v>0</v>
      </c>
    </row>
    <row r="204" spans="1:22" s="49" customFormat="1">
      <c r="A204" s="56" t="s">
        <v>2798</v>
      </c>
      <c r="B204" s="55">
        <v>3</v>
      </c>
      <c r="C204" s="55"/>
      <c r="D204" s="55" t="s">
        <v>2800</v>
      </c>
      <c r="E204" s="55" t="s">
        <v>2801</v>
      </c>
      <c r="F204" s="55" t="s">
        <v>2801</v>
      </c>
      <c r="G204" s="55" t="s">
        <v>2801</v>
      </c>
      <c r="H204" s="55" t="s">
        <v>3152</v>
      </c>
      <c r="I204" s="103" t="s">
        <v>2390</v>
      </c>
      <c r="J204" s="103">
        <v>3</v>
      </c>
      <c r="K204" s="103">
        <v>5</v>
      </c>
      <c r="L204" s="55" t="s">
        <v>364</v>
      </c>
      <c r="M204" s="55">
        <v>72</v>
      </c>
      <c r="N204" s="55" t="s">
        <v>1501</v>
      </c>
      <c r="O204" s="85"/>
      <c r="P204" s="57" t="s">
        <v>2391</v>
      </c>
      <c r="Q204" s="18">
        <f t="shared" si="12"/>
        <v>2</v>
      </c>
      <c r="R204" s="49">
        <v>857</v>
      </c>
      <c r="S204" s="49">
        <f t="shared" si="13"/>
        <v>1714</v>
      </c>
      <c r="U204" s="49">
        <f t="shared" si="14"/>
        <v>0</v>
      </c>
      <c r="V204" s="49">
        <f t="shared" si="15"/>
        <v>1714</v>
      </c>
    </row>
    <row r="205" spans="1:22" s="49" customFormat="1" ht="14.25" thickBot="1">
      <c r="A205" s="53" t="s">
        <v>2794</v>
      </c>
      <c r="B205" s="54">
        <v>2</v>
      </c>
      <c r="C205" s="54" t="s">
        <v>2812</v>
      </c>
      <c r="D205" s="54" t="s">
        <v>2800</v>
      </c>
      <c r="E205" s="54" t="s">
        <v>2800</v>
      </c>
      <c r="F205" s="54" t="s">
        <v>2800</v>
      </c>
      <c r="G205" s="54" t="s">
        <v>2801</v>
      </c>
      <c r="H205" s="54" t="s">
        <v>1392</v>
      </c>
      <c r="I205" s="126">
        <v>4</v>
      </c>
      <c r="J205" s="126">
        <v>4</v>
      </c>
      <c r="K205" s="126">
        <v>6</v>
      </c>
      <c r="L205" s="54" t="s">
        <v>364</v>
      </c>
      <c r="M205" s="54">
        <v>72</v>
      </c>
      <c r="N205" s="54" t="s">
        <v>2237</v>
      </c>
      <c r="O205" s="93"/>
      <c r="P205" s="11" t="s">
        <v>2367</v>
      </c>
      <c r="Q205" s="18">
        <f t="shared" si="12"/>
        <v>3</v>
      </c>
      <c r="R205" s="49">
        <v>30</v>
      </c>
      <c r="S205" s="49">
        <f t="shared" si="13"/>
        <v>90</v>
      </c>
      <c r="U205" s="49">
        <f t="shared" si="14"/>
        <v>90</v>
      </c>
      <c r="V205" s="49">
        <f t="shared" si="15"/>
        <v>0</v>
      </c>
    </row>
    <row r="206" spans="1:22" s="49" customFormat="1">
      <c r="A206" s="50" t="s">
        <v>2795</v>
      </c>
      <c r="B206" s="51">
        <v>1</v>
      </c>
      <c r="C206" s="51" t="s">
        <v>2812</v>
      </c>
      <c r="D206" s="51" t="s">
        <v>2812</v>
      </c>
      <c r="E206" s="51" t="s">
        <v>2812</v>
      </c>
      <c r="F206" s="51" t="s">
        <v>2800</v>
      </c>
      <c r="G206" s="51" t="s">
        <v>2800</v>
      </c>
      <c r="H206" s="51" t="s">
        <v>2174</v>
      </c>
      <c r="I206" s="129" t="s">
        <v>998</v>
      </c>
      <c r="J206" s="129">
        <v>4</v>
      </c>
      <c r="K206" s="129">
        <v>2</v>
      </c>
      <c r="L206" s="51" t="s">
        <v>365</v>
      </c>
      <c r="M206" s="51">
        <v>73</v>
      </c>
      <c r="N206" s="51" t="s">
        <v>1490</v>
      </c>
      <c r="O206" s="92"/>
      <c r="P206" s="52" t="s">
        <v>2175</v>
      </c>
      <c r="Q206" s="18">
        <f t="shared" si="12"/>
        <v>2</v>
      </c>
      <c r="R206" s="49">
        <v>10</v>
      </c>
      <c r="S206" s="49">
        <f t="shared" si="13"/>
        <v>20</v>
      </c>
      <c r="U206" s="49">
        <f t="shared" si="14"/>
        <v>20</v>
      </c>
      <c r="V206" s="49">
        <f t="shared" si="15"/>
        <v>0</v>
      </c>
    </row>
    <row r="207" spans="1:22" s="49" customFormat="1">
      <c r="A207" s="56" t="s">
        <v>2795</v>
      </c>
      <c r="B207" s="55">
        <v>1</v>
      </c>
      <c r="C207" s="55" t="s">
        <v>2812</v>
      </c>
      <c r="D207" s="55" t="s">
        <v>2800</v>
      </c>
      <c r="E207" s="55" t="s">
        <v>2800</v>
      </c>
      <c r="F207" s="55" t="s">
        <v>2800</v>
      </c>
      <c r="G207" s="55" t="s">
        <v>2800</v>
      </c>
      <c r="H207" s="55" t="s">
        <v>1357</v>
      </c>
      <c r="I207" s="103" t="s">
        <v>1006</v>
      </c>
      <c r="J207" s="103">
        <v>2</v>
      </c>
      <c r="K207" s="103">
        <v>3</v>
      </c>
      <c r="L207" s="55" t="s">
        <v>365</v>
      </c>
      <c r="M207" s="55">
        <v>73</v>
      </c>
      <c r="N207" s="55" t="s">
        <v>1493</v>
      </c>
      <c r="O207" s="85"/>
      <c r="P207" s="57" t="s">
        <v>1255</v>
      </c>
      <c r="Q207" s="18">
        <f t="shared" si="12"/>
        <v>4</v>
      </c>
      <c r="R207" s="49">
        <v>10</v>
      </c>
      <c r="S207" s="49">
        <f t="shared" si="13"/>
        <v>40</v>
      </c>
      <c r="U207" s="49">
        <f t="shared" si="14"/>
        <v>40</v>
      </c>
      <c r="V207" s="49">
        <f t="shared" si="15"/>
        <v>0</v>
      </c>
    </row>
    <row r="208" spans="1:22" s="49" customFormat="1">
      <c r="A208" s="56" t="s">
        <v>2798</v>
      </c>
      <c r="B208" s="55">
        <v>3</v>
      </c>
      <c r="C208" s="55" t="s">
        <v>2812</v>
      </c>
      <c r="D208" s="55" t="s">
        <v>2800</v>
      </c>
      <c r="E208" s="55" t="s">
        <v>2801</v>
      </c>
      <c r="F208" s="55" t="s">
        <v>2801</v>
      </c>
      <c r="G208" s="55" t="s">
        <v>2801</v>
      </c>
      <c r="H208" s="55" t="s">
        <v>3153</v>
      </c>
      <c r="I208" s="103" t="s">
        <v>2776</v>
      </c>
      <c r="J208" s="103">
        <v>2</v>
      </c>
      <c r="K208" s="103">
        <v>3</v>
      </c>
      <c r="L208" s="55" t="s">
        <v>365</v>
      </c>
      <c r="M208" s="55">
        <v>73</v>
      </c>
      <c r="N208" s="55" t="s">
        <v>1501</v>
      </c>
      <c r="O208" s="85"/>
      <c r="P208" s="57" t="s">
        <v>2690</v>
      </c>
      <c r="Q208" s="18">
        <f t="shared" si="12"/>
        <v>1</v>
      </c>
      <c r="R208" s="49">
        <v>225</v>
      </c>
      <c r="S208" s="49">
        <f t="shared" si="13"/>
        <v>225</v>
      </c>
      <c r="U208" s="49">
        <f t="shared" si="14"/>
        <v>0</v>
      </c>
      <c r="V208" s="49">
        <f t="shared" si="15"/>
        <v>225</v>
      </c>
    </row>
    <row r="209" spans="1:22" s="49" customFormat="1">
      <c r="A209" s="56" t="s">
        <v>2913</v>
      </c>
      <c r="B209" s="55">
        <v>1</v>
      </c>
      <c r="C209" s="55" t="s">
        <v>2812</v>
      </c>
      <c r="D209" s="55" t="s">
        <v>2812</v>
      </c>
      <c r="E209" s="55" t="s">
        <v>2812</v>
      </c>
      <c r="F209" s="55"/>
      <c r="G209" s="55"/>
      <c r="H209" s="55" t="s">
        <v>2983</v>
      </c>
      <c r="I209" s="55" t="s">
        <v>974</v>
      </c>
      <c r="J209" s="55">
        <v>3</v>
      </c>
      <c r="K209" s="103">
        <v>3</v>
      </c>
      <c r="L209" s="55" t="s">
        <v>365</v>
      </c>
      <c r="M209" s="55">
        <v>73</v>
      </c>
      <c r="N209" s="103" t="s">
        <v>923</v>
      </c>
      <c r="O209" s="85" t="s">
        <v>1475</v>
      </c>
      <c r="P209" s="57" t="s">
        <v>2822</v>
      </c>
      <c r="Q209" s="18">
        <f t="shared" si="12"/>
        <v>2</v>
      </c>
      <c r="R209" s="49">
        <v>10</v>
      </c>
      <c r="S209" s="49">
        <f t="shared" si="13"/>
        <v>20</v>
      </c>
      <c r="U209" s="49">
        <f t="shared" si="14"/>
        <v>20</v>
      </c>
      <c r="V209" s="49">
        <f t="shared" si="15"/>
        <v>0</v>
      </c>
    </row>
    <row r="210" spans="1:22" s="49" customFormat="1">
      <c r="A210" s="56" t="s">
        <v>2795</v>
      </c>
      <c r="B210" s="55">
        <v>1</v>
      </c>
      <c r="C210" s="55"/>
      <c r="D210" s="55" t="s">
        <v>2800</v>
      </c>
      <c r="E210" s="55" t="s">
        <v>2800</v>
      </c>
      <c r="F210" s="55" t="s">
        <v>2800</v>
      </c>
      <c r="G210" s="55" t="s">
        <v>2800</v>
      </c>
      <c r="H210" s="55" t="s">
        <v>2984</v>
      </c>
      <c r="I210" s="103" t="s">
        <v>1026</v>
      </c>
      <c r="J210" s="103">
        <v>3</v>
      </c>
      <c r="K210" s="103">
        <v>5</v>
      </c>
      <c r="L210" s="55" t="s">
        <v>365</v>
      </c>
      <c r="M210" s="55">
        <v>73</v>
      </c>
      <c r="N210" s="55" t="s">
        <v>1490</v>
      </c>
      <c r="O210" s="85"/>
      <c r="P210" s="57" t="s">
        <v>2225</v>
      </c>
      <c r="Q210" s="18">
        <f t="shared" si="12"/>
        <v>5</v>
      </c>
      <c r="R210" s="49">
        <v>10</v>
      </c>
      <c r="S210" s="49">
        <f t="shared" si="13"/>
        <v>50</v>
      </c>
      <c r="U210" s="49">
        <f t="shared" si="14"/>
        <v>50</v>
      </c>
      <c r="V210" s="49">
        <f t="shared" si="15"/>
        <v>0</v>
      </c>
    </row>
    <row r="211" spans="1:22" s="49" customFormat="1">
      <c r="A211" s="56" t="s">
        <v>2795</v>
      </c>
      <c r="B211" s="55">
        <v>1</v>
      </c>
      <c r="C211" s="55"/>
      <c r="D211" s="55" t="s">
        <v>2800</v>
      </c>
      <c r="E211" s="55" t="s">
        <v>2800</v>
      </c>
      <c r="F211" s="55" t="s">
        <v>2800</v>
      </c>
      <c r="G211" s="55" t="s">
        <v>2800</v>
      </c>
      <c r="H211" s="55" t="s">
        <v>1365</v>
      </c>
      <c r="I211" s="103" t="s">
        <v>1027</v>
      </c>
      <c r="J211" s="103">
        <v>4</v>
      </c>
      <c r="K211" s="103">
        <v>5</v>
      </c>
      <c r="L211" s="55" t="s">
        <v>365</v>
      </c>
      <c r="M211" s="55">
        <v>73</v>
      </c>
      <c r="N211" s="55" t="s">
        <v>923</v>
      </c>
      <c r="O211" s="85" t="s">
        <v>1539</v>
      </c>
      <c r="P211" s="57" t="s">
        <v>2227</v>
      </c>
      <c r="Q211" s="18">
        <f t="shared" si="12"/>
        <v>5</v>
      </c>
      <c r="R211" s="49">
        <v>10</v>
      </c>
      <c r="S211" s="49">
        <f t="shared" si="13"/>
        <v>50</v>
      </c>
      <c r="U211" s="49">
        <f t="shared" si="14"/>
        <v>50</v>
      </c>
      <c r="V211" s="49">
        <f t="shared" si="15"/>
        <v>0</v>
      </c>
    </row>
    <row r="212" spans="1:22" s="49" customFormat="1">
      <c r="A212" s="56" t="s">
        <v>2794</v>
      </c>
      <c r="B212" s="55">
        <v>2</v>
      </c>
      <c r="C212" s="55" t="s">
        <v>2812</v>
      </c>
      <c r="D212" s="55" t="s">
        <v>2812</v>
      </c>
      <c r="E212" s="55" t="s">
        <v>2812</v>
      </c>
      <c r="F212" s="55" t="s">
        <v>2800</v>
      </c>
      <c r="G212" s="55" t="s">
        <v>2801</v>
      </c>
      <c r="H212" s="55" t="s">
        <v>2492</v>
      </c>
      <c r="I212" s="103">
        <v>1</v>
      </c>
      <c r="J212" s="103">
        <v>1</v>
      </c>
      <c r="K212" s="103">
        <v>6</v>
      </c>
      <c r="L212" s="55" t="s">
        <v>365</v>
      </c>
      <c r="M212" s="55">
        <v>73</v>
      </c>
      <c r="N212" s="55" t="s">
        <v>1518</v>
      </c>
      <c r="O212" s="85" t="s">
        <v>1415</v>
      </c>
      <c r="P212" s="57" t="s">
        <v>2494</v>
      </c>
      <c r="Q212" s="18">
        <f t="shared" si="12"/>
        <v>1</v>
      </c>
      <c r="R212" s="49">
        <v>30</v>
      </c>
      <c r="S212" s="49">
        <f t="shared" si="13"/>
        <v>30</v>
      </c>
      <c r="U212" s="49">
        <f t="shared" si="14"/>
        <v>30</v>
      </c>
      <c r="V212" s="49">
        <f t="shared" si="15"/>
        <v>0</v>
      </c>
    </row>
    <row r="213" spans="1:22" s="49" customFormat="1" ht="14.25" thickBot="1">
      <c r="A213" s="53" t="s">
        <v>2798</v>
      </c>
      <c r="B213" s="54">
        <v>3</v>
      </c>
      <c r="C213" s="54"/>
      <c r="D213" s="54" t="s">
        <v>2800</v>
      </c>
      <c r="E213" s="54" t="s">
        <v>2801</v>
      </c>
      <c r="F213" s="54" t="s">
        <v>2801</v>
      </c>
      <c r="G213" s="54" t="s">
        <v>2801</v>
      </c>
      <c r="H213" s="54" t="s">
        <v>3154</v>
      </c>
      <c r="I213" s="126"/>
      <c r="J213" s="126">
        <v>0</v>
      </c>
      <c r="K213" s="126">
        <v>7</v>
      </c>
      <c r="L213" s="54" t="s">
        <v>365</v>
      </c>
      <c r="M213" s="54">
        <v>73</v>
      </c>
      <c r="N213" s="54" t="s">
        <v>249</v>
      </c>
      <c r="O213" s="93"/>
      <c r="P213" s="11"/>
      <c r="Q213" s="18">
        <f t="shared" si="12"/>
        <v>2</v>
      </c>
      <c r="R213" s="49">
        <v>3368</v>
      </c>
      <c r="S213" s="49">
        <f t="shared" si="13"/>
        <v>6736</v>
      </c>
      <c r="U213" s="49">
        <f t="shared" si="14"/>
        <v>0</v>
      </c>
      <c r="V213" s="49">
        <f t="shared" si="15"/>
        <v>6736</v>
      </c>
    </row>
    <row r="214" spans="1:22" s="49" customFormat="1">
      <c r="A214" s="99" t="s">
        <v>2795</v>
      </c>
      <c r="B214" s="60">
        <v>1</v>
      </c>
      <c r="C214" s="60" t="s">
        <v>2812</v>
      </c>
      <c r="D214" s="60" t="s">
        <v>2800</v>
      </c>
      <c r="E214" s="60" t="s">
        <v>2800</v>
      </c>
      <c r="F214" s="60" t="s">
        <v>2800</v>
      </c>
      <c r="G214" s="60" t="s">
        <v>2800</v>
      </c>
      <c r="H214" s="60" t="s">
        <v>2153</v>
      </c>
      <c r="I214" s="128" t="s">
        <v>2154</v>
      </c>
      <c r="J214" s="128">
        <v>2</v>
      </c>
      <c r="K214" s="128">
        <v>2</v>
      </c>
      <c r="L214" s="60" t="s">
        <v>366</v>
      </c>
      <c r="M214" s="60">
        <v>74</v>
      </c>
      <c r="N214" s="60" t="s">
        <v>923</v>
      </c>
      <c r="O214" s="87" t="s">
        <v>1473</v>
      </c>
      <c r="P214" s="100" t="s">
        <v>2155</v>
      </c>
      <c r="Q214" s="18">
        <f t="shared" si="12"/>
        <v>4</v>
      </c>
      <c r="R214" s="49">
        <v>10</v>
      </c>
      <c r="S214" s="49">
        <f t="shared" si="13"/>
        <v>40</v>
      </c>
      <c r="U214" s="49">
        <f t="shared" si="14"/>
        <v>40</v>
      </c>
      <c r="V214" s="49">
        <f t="shared" si="15"/>
        <v>0</v>
      </c>
    </row>
    <row r="215" spans="1:22" s="49" customFormat="1">
      <c r="A215" s="56" t="s">
        <v>2794</v>
      </c>
      <c r="B215" s="55">
        <v>2</v>
      </c>
      <c r="C215" s="55" t="s">
        <v>2812</v>
      </c>
      <c r="D215" s="55" t="s">
        <v>2800</v>
      </c>
      <c r="E215" s="55" t="s">
        <v>2800</v>
      </c>
      <c r="F215" s="55" t="s">
        <v>2800</v>
      </c>
      <c r="G215" s="55" t="s">
        <v>2801</v>
      </c>
      <c r="H215" s="55" t="s">
        <v>2985</v>
      </c>
      <c r="I215" s="103" t="s">
        <v>1000</v>
      </c>
      <c r="J215" s="103">
        <v>4</v>
      </c>
      <c r="K215" s="103">
        <v>2</v>
      </c>
      <c r="L215" s="55" t="s">
        <v>366</v>
      </c>
      <c r="M215" s="55">
        <v>74</v>
      </c>
      <c r="N215" s="55" t="s">
        <v>923</v>
      </c>
      <c r="O215" s="85" t="s">
        <v>1477</v>
      </c>
      <c r="P215" s="57" t="s">
        <v>2295</v>
      </c>
      <c r="Q215" s="18">
        <f t="shared" si="12"/>
        <v>3</v>
      </c>
      <c r="R215" s="49">
        <v>30</v>
      </c>
      <c r="S215" s="49">
        <f t="shared" si="13"/>
        <v>90</v>
      </c>
      <c r="U215" s="49">
        <f t="shared" si="14"/>
        <v>90</v>
      </c>
      <c r="V215" s="49">
        <f t="shared" si="15"/>
        <v>0</v>
      </c>
    </row>
    <row r="216" spans="1:22" s="49" customFormat="1">
      <c r="A216" s="56" t="s">
        <v>2795</v>
      </c>
      <c r="B216" s="55">
        <v>1</v>
      </c>
      <c r="C216" s="55" t="s">
        <v>2812</v>
      </c>
      <c r="D216" s="55" t="s">
        <v>2800</v>
      </c>
      <c r="E216" s="55" t="s">
        <v>2800</v>
      </c>
      <c r="F216" s="55" t="s">
        <v>2800</v>
      </c>
      <c r="G216" s="55" t="s">
        <v>2800</v>
      </c>
      <c r="H216" s="55" t="s">
        <v>1370</v>
      </c>
      <c r="I216" s="103" t="s">
        <v>1371</v>
      </c>
      <c r="J216" s="103">
        <v>6</v>
      </c>
      <c r="K216" s="103">
        <v>3</v>
      </c>
      <c r="L216" s="55" t="s">
        <v>366</v>
      </c>
      <c r="M216" s="55">
        <v>74</v>
      </c>
      <c r="N216" s="55" t="s">
        <v>923</v>
      </c>
      <c r="O216" s="85" t="s">
        <v>1476</v>
      </c>
      <c r="P216" s="57" t="s">
        <v>2199</v>
      </c>
      <c r="Q216" s="18">
        <f t="shared" si="12"/>
        <v>4</v>
      </c>
      <c r="R216" s="49">
        <v>10</v>
      </c>
      <c r="S216" s="49">
        <f t="shared" si="13"/>
        <v>40</v>
      </c>
      <c r="U216" s="49">
        <f t="shared" si="14"/>
        <v>40</v>
      </c>
      <c r="V216" s="49">
        <f t="shared" si="15"/>
        <v>0</v>
      </c>
    </row>
    <row r="217" spans="1:22" s="49" customFormat="1">
      <c r="A217" s="56" t="s">
        <v>2794</v>
      </c>
      <c r="B217" s="55">
        <v>2</v>
      </c>
      <c r="C217" s="55" t="s">
        <v>2812</v>
      </c>
      <c r="D217" s="55" t="s">
        <v>2812</v>
      </c>
      <c r="E217" s="55" t="s">
        <v>2812</v>
      </c>
      <c r="F217" s="55" t="s">
        <v>2800</v>
      </c>
      <c r="G217" s="55" t="s">
        <v>2801</v>
      </c>
      <c r="H217" s="55" t="s">
        <v>2760</v>
      </c>
      <c r="I217" s="103" t="s">
        <v>1371</v>
      </c>
      <c r="J217" s="103">
        <v>6</v>
      </c>
      <c r="K217" s="103">
        <v>3</v>
      </c>
      <c r="L217" s="55" t="s">
        <v>366</v>
      </c>
      <c r="M217" s="55">
        <v>74</v>
      </c>
      <c r="N217" s="55" t="s">
        <v>1493</v>
      </c>
      <c r="O217" s="85"/>
      <c r="P217" s="57" t="s">
        <v>2761</v>
      </c>
      <c r="Q217" s="18">
        <f t="shared" si="12"/>
        <v>1</v>
      </c>
      <c r="R217" s="49">
        <v>30</v>
      </c>
      <c r="S217" s="49">
        <f t="shared" si="13"/>
        <v>30</v>
      </c>
      <c r="U217" s="49">
        <f t="shared" si="14"/>
        <v>30</v>
      </c>
      <c r="V217" s="49">
        <f t="shared" si="15"/>
        <v>0</v>
      </c>
    </row>
    <row r="218" spans="1:22" s="49" customFormat="1">
      <c r="A218" s="56" t="s">
        <v>2795</v>
      </c>
      <c r="B218" s="55">
        <v>1</v>
      </c>
      <c r="C218" s="55"/>
      <c r="D218" s="55" t="s">
        <v>2800</v>
      </c>
      <c r="E218" s="55" t="s">
        <v>2800</v>
      </c>
      <c r="F218" s="55" t="s">
        <v>2800</v>
      </c>
      <c r="G218" s="55" t="s">
        <v>2800</v>
      </c>
      <c r="H218" s="55" t="s">
        <v>1355</v>
      </c>
      <c r="I218" s="103" t="s">
        <v>28</v>
      </c>
      <c r="J218" s="103">
        <v>1</v>
      </c>
      <c r="K218" s="103">
        <v>5</v>
      </c>
      <c r="L218" s="55" t="s">
        <v>366</v>
      </c>
      <c r="M218" s="55">
        <v>74</v>
      </c>
      <c r="N218" s="55" t="s">
        <v>923</v>
      </c>
      <c r="O218" s="85" t="s">
        <v>1473</v>
      </c>
      <c r="P218" s="57" t="s">
        <v>1255</v>
      </c>
      <c r="Q218" s="18">
        <f t="shared" si="12"/>
        <v>5</v>
      </c>
      <c r="R218" s="49">
        <v>10</v>
      </c>
      <c r="S218" s="49">
        <f t="shared" si="13"/>
        <v>50</v>
      </c>
      <c r="U218" s="49">
        <f t="shared" si="14"/>
        <v>50</v>
      </c>
      <c r="V218" s="49">
        <f t="shared" si="15"/>
        <v>0</v>
      </c>
    </row>
    <row r="219" spans="1:22" s="49" customFormat="1">
      <c r="A219" s="56" t="s">
        <v>2794</v>
      </c>
      <c r="B219" s="55">
        <v>2</v>
      </c>
      <c r="C219" s="55" t="s">
        <v>2812</v>
      </c>
      <c r="D219" s="55" t="s">
        <v>2800</v>
      </c>
      <c r="E219" s="55" t="s">
        <v>2800</v>
      </c>
      <c r="F219" s="55" t="s">
        <v>2800</v>
      </c>
      <c r="G219" s="55" t="s">
        <v>2801</v>
      </c>
      <c r="H219" s="55" t="s">
        <v>1382</v>
      </c>
      <c r="I219" s="103" t="s">
        <v>1367</v>
      </c>
      <c r="J219" s="103">
        <v>4</v>
      </c>
      <c r="K219" s="103">
        <v>5</v>
      </c>
      <c r="L219" s="55" t="s">
        <v>366</v>
      </c>
      <c r="M219" s="55">
        <v>74</v>
      </c>
      <c r="N219" s="55" t="s">
        <v>1501</v>
      </c>
      <c r="O219" s="85"/>
      <c r="P219" s="57" t="s">
        <v>2322</v>
      </c>
      <c r="Q219" s="18">
        <f t="shared" si="12"/>
        <v>3</v>
      </c>
      <c r="R219" s="49">
        <v>30</v>
      </c>
      <c r="S219" s="49">
        <f t="shared" si="13"/>
        <v>90</v>
      </c>
      <c r="U219" s="49">
        <f t="shared" si="14"/>
        <v>90</v>
      </c>
      <c r="V219" s="49">
        <f t="shared" si="15"/>
        <v>0</v>
      </c>
    </row>
    <row r="220" spans="1:22" s="49" customFormat="1">
      <c r="A220" s="56" t="s">
        <v>2794</v>
      </c>
      <c r="B220" s="55">
        <v>2</v>
      </c>
      <c r="C220" s="55"/>
      <c r="D220" s="55" t="s">
        <v>2800</v>
      </c>
      <c r="E220" s="55" t="s">
        <v>2800</v>
      </c>
      <c r="F220" s="55" t="s">
        <v>2800</v>
      </c>
      <c r="G220" s="55" t="s">
        <v>2801</v>
      </c>
      <c r="H220" s="55" t="s">
        <v>1386</v>
      </c>
      <c r="I220" s="103" t="s">
        <v>1387</v>
      </c>
      <c r="J220" s="103">
        <v>6</v>
      </c>
      <c r="K220" s="103">
        <v>5</v>
      </c>
      <c r="L220" s="55" t="s">
        <v>366</v>
      </c>
      <c r="M220" s="55">
        <v>74</v>
      </c>
      <c r="N220" s="55" t="s">
        <v>923</v>
      </c>
      <c r="O220" s="85" t="s">
        <v>2327</v>
      </c>
      <c r="P220" s="57" t="s">
        <v>2328</v>
      </c>
      <c r="Q220" s="18">
        <f t="shared" si="12"/>
        <v>4</v>
      </c>
      <c r="R220" s="49">
        <v>30</v>
      </c>
      <c r="S220" s="49">
        <f t="shared" si="13"/>
        <v>120</v>
      </c>
      <c r="U220" s="49">
        <f t="shared" si="14"/>
        <v>120</v>
      </c>
      <c r="V220" s="49">
        <f t="shared" si="15"/>
        <v>0</v>
      </c>
    </row>
    <row r="221" spans="1:22" s="49" customFormat="1" ht="14.25" thickBot="1">
      <c r="A221" s="53" t="s">
        <v>2798</v>
      </c>
      <c r="B221" s="54">
        <v>3</v>
      </c>
      <c r="C221" s="54"/>
      <c r="D221" s="54" t="s">
        <v>2800</v>
      </c>
      <c r="E221" s="54" t="s">
        <v>2801</v>
      </c>
      <c r="F221" s="54" t="s">
        <v>2801</v>
      </c>
      <c r="G221" s="54" t="s">
        <v>2801</v>
      </c>
      <c r="H221" s="54" t="s">
        <v>3155</v>
      </c>
      <c r="I221" s="126" t="s">
        <v>1387</v>
      </c>
      <c r="J221" s="126">
        <v>6</v>
      </c>
      <c r="K221" s="126">
        <v>5</v>
      </c>
      <c r="L221" s="54" t="s">
        <v>366</v>
      </c>
      <c r="M221" s="54">
        <v>74</v>
      </c>
      <c r="N221" s="54" t="s">
        <v>923</v>
      </c>
      <c r="O221" s="93" t="s">
        <v>1756</v>
      </c>
      <c r="P221" s="11" t="s">
        <v>1344</v>
      </c>
      <c r="Q221" s="18">
        <f t="shared" si="12"/>
        <v>2</v>
      </c>
      <c r="R221" s="49">
        <v>42</v>
      </c>
      <c r="S221" s="49">
        <f t="shared" si="13"/>
        <v>84</v>
      </c>
      <c r="U221" s="49">
        <f t="shared" si="14"/>
        <v>0</v>
      </c>
      <c r="V221" s="49">
        <f t="shared" si="15"/>
        <v>84</v>
      </c>
    </row>
    <row r="222" spans="1:22" s="49" customFormat="1">
      <c r="A222" s="150"/>
      <c r="B222" s="151"/>
      <c r="C222" s="151"/>
      <c r="D222" s="151"/>
      <c r="E222" s="151"/>
      <c r="F222" s="151"/>
      <c r="G222" s="152"/>
      <c r="H222" s="137" t="s">
        <v>2955</v>
      </c>
      <c r="I222" s="139" t="s">
        <v>2099</v>
      </c>
      <c r="J222" s="139"/>
      <c r="K222" s="139"/>
      <c r="L222" s="138" t="s">
        <v>2098</v>
      </c>
      <c r="M222" s="138"/>
      <c r="N222" s="138" t="s">
        <v>2094</v>
      </c>
      <c r="O222" s="140" t="s">
        <v>2101</v>
      </c>
      <c r="P222" s="141" t="s">
        <v>2102</v>
      </c>
      <c r="Q222" s="18" t="str">
        <f t="shared" si="12"/>
        <v/>
      </c>
      <c r="R222" s="49" t="s">
        <v>3119</v>
      </c>
      <c r="S222" s="49">
        <f t="shared" si="13"/>
        <v>0</v>
      </c>
      <c r="T222" s="49">
        <f>SUM(S222:S235)</f>
        <v>3942</v>
      </c>
      <c r="U222" s="49">
        <f t="shared" si="14"/>
        <v>0</v>
      </c>
      <c r="V222" s="49">
        <f t="shared" si="15"/>
        <v>0</v>
      </c>
    </row>
    <row r="223" spans="1:22" s="49" customFormat="1">
      <c r="A223" s="56" t="s">
        <v>2795</v>
      </c>
      <c r="B223" s="55">
        <v>1</v>
      </c>
      <c r="C223" s="55" t="s">
        <v>2812</v>
      </c>
      <c r="D223" s="55" t="s">
        <v>2812</v>
      </c>
      <c r="E223" s="55" t="s">
        <v>2812</v>
      </c>
      <c r="F223" s="55" t="s">
        <v>2812</v>
      </c>
      <c r="G223" s="55" t="s">
        <v>2812</v>
      </c>
      <c r="H223" s="55" t="s">
        <v>2168</v>
      </c>
      <c r="I223" s="103" t="s">
        <v>2169</v>
      </c>
      <c r="J223" s="103">
        <v>3</v>
      </c>
      <c r="K223" s="103">
        <v>2</v>
      </c>
      <c r="L223" s="55" t="s">
        <v>367</v>
      </c>
      <c r="M223" s="55">
        <v>75</v>
      </c>
      <c r="N223" s="55" t="s">
        <v>1493</v>
      </c>
      <c r="O223" s="85"/>
      <c r="P223" s="57" t="s">
        <v>2170</v>
      </c>
      <c r="Q223" s="18">
        <f t="shared" si="12"/>
        <v>0</v>
      </c>
      <c r="R223" s="49">
        <v>10</v>
      </c>
      <c r="S223" s="49">
        <f t="shared" si="13"/>
        <v>0</v>
      </c>
      <c r="U223" s="49">
        <f t="shared" si="14"/>
        <v>0</v>
      </c>
      <c r="V223" s="49">
        <f t="shared" si="15"/>
        <v>0</v>
      </c>
    </row>
    <row r="224" spans="1:22" s="49" customFormat="1">
      <c r="A224" s="56" t="s">
        <v>2798</v>
      </c>
      <c r="B224" s="55">
        <v>3</v>
      </c>
      <c r="C224" s="55" t="s">
        <v>2812</v>
      </c>
      <c r="D224" s="55" t="s">
        <v>2812</v>
      </c>
      <c r="E224" s="55" t="s">
        <v>2801</v>
      </c>
      <c r="F224" s="55" t="s">
        <v>2801</v>
      </c>
      <c r="G224" s="55" t="s">
        <v>2801</v>
      </c>
      <c r="H224" s="55" t="s">
        <v>2773</v>
      </c>
      <c r="I224" s="103" t="s">
        <v>2169</v>
      </c>
      <c r="J224" s="103">
        <v>3</v>
      </c>
      <c r="K224" s="103">
        <v>2</v>
      </c>
      <c r="L224" s="55" t="s">
        <v>367</v>
      </c>
      <c r="M224" s="55">
        <v>75</v>
      </c>
      <c r="N224" s="55" t="s">
        <v>1490</v>
      </c>
      <c r="O224" s="85"/>
      <c r="P224" s="57" t="s">
        <v>2599</v>
      </c>
      <c r="Q224" s="18">
        <f t="shared" si="12"/>
        <v>0</v>
      </c>
      <c r="R224" s="49">
        <v>10</v>
      </c>
      <c r="S224" s="49">
        <f t="shared" si="13"/>
        <v>0</v>
      </c>
      <c r="U224" s="49">
        <f t="shared" si="14"/>
        <v>0</v>
      </c>
      <c r="V224" s="49">
        <f t="shared" si="15"/>
        <v>0</v>
      </c>
    </row>
    <row r="225" spans="1:22" s="49" customFormat="1">
      <c r="A225" s="56" t="s">
        <v>2795</v>
      </c>
      <c r="B225" s="55">
        <v>1</v>
      </c>
      <c r="C225" s="55" t="s">
        <v>2812</v>
      </c>
      <c r="D225" s="55" t="s">
        <v>2812</v>
      </c>
      <c r="E225" s="55" t="s">
        <v>2812</v>
      </c>
      <c r="F225" s="55" t="s">
        <v>2812</v>
      </c>
      <c r="G225" s="55" t="s">
        <v>2812</v>
      </c>
      <c r="H225" s="55" t="s">
        <v>2185</v>
      </c>
      <c r="I225" s="103" t="s">
        <v>3</v>
      </c>
      <c r="J225" s="103">
        <v>1</v>
      </c>
      <c r="K225" s="103">
        <v>3</v>
      </c>
      <c r="L225" s="55" t="s">
        <v>367</v>
      </c>
      <c r="M225" s="55">
        <v>75</v>
      </c>
      <c r="N225" s="55" t="s">
        <v>1493</v>
      </c>
      <c r="O225" s="85"/>
      <c r="P225" s="57" t="s">
        <v>2186</v>
      </c>
      <c r="Q225" s="18">
        <f t="shared" si="12"/>
        <v>0</v>
      </c>
      <c r="R225" s="49" t="s">
        <v>3119</v>
      </c>
      <c r="S225" s="49">
        <f t="shared" si="13"/>
        <v>0</v>
      </c>
      <c r="U225" s="49">
        <f t="shared" si="14"/>
        <v>0</v>
      </c>
      <c r="V225" s="49">
        <f t="shared" si="15"/>
        <v>0</v>
      </c>
    </row>
    <row r="226" spans="1:22" s="49" customFormat="1">
      <c r="A226" s="56" t="s">
        <v>2798</v>
      </c>
      <c r="B226" s="55">
        <v>3</v>
      </c>
      <c r="C226" s="55" t="s">
        <v>2812</v>
      </c>
      <c r="D226" s="55" t="s">
        <v>2800</v>
      </c>
      <c r="E226" s="55" t="s">
        <v>2801</v>
      </c>
      <c r="F226" s="55" t="s">
        <v>2801</v>
      </c>
      <c r="G226" s="55" t="s">
        <v>2801</v>
      </c>
      <c r="H226" s="55" t="s">
        <v>3156</v>
      </c>
      <c r="I226" s="103" t="s">
        <v>1006</v>
      </c>
      <c r="J226" s="103">
        <v>2</v>
      </c>
      <c r="K226" s="103">
        <v>3</v>
      </c>
      <c r="L226" s="55" t="s">
        <v>367</v>
      </c>
      <c r="M226" s="55">
        <v>75</v>
      </c>
      <c r="N226" s="55" t="s">
        <v>923</v>
      </c>
      <c r="O226" s="85" t="s">
        <v>1680</v>
      </c>
      <c r="P226" s="57" t="s">
        <v>2686</v>
      </c>
      <c r="Q226" s="18">
        <f t="shared" si="12"/>
        <v>1</v>
      </c>
      <c r="R226" s="49">
        <v>10</v>
      </c>
      <c r="S226" s="49">
        <f t="shared" si="13"/>
        <v>10</v>
      </c>
      <c r="U226" s="49">
        <f t="shared" si="14"/>
        <v>0</v>
      </c>
      <c r="V226" s="49">
        <f t="shared" si="15"/>
        <v>10</v>
      </c>
    </row>
    <row r="227" spans="1:22" s="49" customFormat="1" ht="14.25" thickBot="1">
      <c r="A227" s="53" t="s">
        <v>2795</v>
      </c>
      <c r="B227" s="54">
        <v>1</v>
      </c>
      <c r="C227" s="54" t="s">
        <v>2812</v>
      </c>
      <c r="D227" s="54" t="s">
        <v>2812</v>
      </c>
      <c r="E227" s="54" t="s">
        <v>2812</v>
      </c>
      <c r="F227" s="54" t="s">
        <v>2812</v>
      </c>
      <c r="G227" s="54" t="s">
        <v>2812</v>
      </c>
      <c r="H227" s="54" t="s">
        <v>2220</v>
      </c>
      <c r="I227" s="126" t="s">
        <v>1024</v>
      </c>
      <c r="J227" s="126">
        <v>2</v>
      </c>
      <c r="K227" s="126">
        <v>5</v>
      </c>
      <c r="L227" s="54" t="s">
        <v>367</v>
      </c>
      <c r="M227" s="54">
        <v>75</v>
      </c>
      <c r="N227" s="54" t="s">
        <v>1490</v>
      </c>
      <c r="O227" s="93"/>
      <c r="P227" s="11" t="s">
        <v>2221</v>
      </c>
      <c r="Q227" s="18">
        <f t="shared" si="12"/>
        <v>0</v>
      </c>
      <c r="R227" s="49">
        <v>54</v>
      </c>
      <c r="S227" s="49">
        <f t="shared" si="13"/>
        <v>0</v>
      </c>
      <c r="U227" s="49">
        <f t="shared" si="14"/>
        <v>0</v>
      </c>
      <c r="V227" s="49">
        <f t="shared" si="15"/>
        <v>0</v>
      </c>
    </row>
    <row r="228" spans="1:22" s="49" customFormat="1">
      <c r="A228" s="50" t="s">
        <v>2913</v>
      </c>
      <c r="B228" s="51">
        <v>1</v>
      </c>
      <c r="C228" s="51" t="s">
        <v>2812</v>
      </c>
      <c r="D228" s="51"/>
      <c r="E228" s="51"/>
      <c r="F228" s="51"/>
      <c r="G228" s="51"/>
      <c r="H228" s="51" t="s">
        <v>2986</v>
      </c>
      <c r="I228" s="51" t="s">
        <v>979</v>
      </c>
      <c r="J228" s="51">
        <v>3</v>
      </c>
      <c r="K228" s="129">
        <v>1</v>
      </c>
      <c r="L228" s="51" t="s">
        <v>368</v>
      </c>
      <c r="M228" s="51">
        <v>75</v>
      </c>
      <c r="N228" s="129" t="s">
        <v>923</v>
      </c>
      <c r="O228" s="92" t="s">
        <v>1474</v>
      </c>
      <c r="P228" s="52" t="s">
        <v>2911</v>
      </c>
      <c r="Q228" s="18">
        <f t="shared" si="12"/>
        <v>4</v>
      </c>
      <c r="R228" s="49">
        <v>10</v>
      </c>
      <c r="S228" s="49">
        <f t="shared" si="13"/>
        <v>40</v>
      </c>
      <c r="U228" s="49">
        <f t="shared" si="14"/>
        <v>40</v>
      </c>
      <c r="V228" s="49">
        <f t="shared" si="15"/>
        <v>0</v>
      </c>
    </row>
    <row r="229" spans="1:22" s="49" customFormat="1">
      <c r="A229" s="99" t="s">
        <v>2794</v>
      </c>
      <c r="B229" s="60">
        <v>2</v>
      </c>
      <c r="C229" s="60" t="s">
        <v>2812</v>
      </c>
      <c r="D229" s="60" t="s">
        <v>2812</v>
      </c>
      <c r="E229" s="60" t="s">
        <v>2812</v>
      </c>
      <c r="F229" s="60" t="s">
        <v>2812</v>
      </c>
      <c r="G229" s="60" t="s">
        <v>2801</v>
      </c>
      <c r="H229" s="60" t="s">
        <v>2086</v>
      </c>
      <c r="I229" s="128" t="s">
        <v>979</v>
      </c>
      <c r="J229" s="128">
        <v>3</v>
      </c>
      <c r="K229" s="128">
        <v>1</v>
      </c>
      <c r="L229" s="60" t="s">
        <v>368</v>
      </c>
      <c r="M229" s="60">
        <v>76</v>
      </c>
      <c r="N229" s="60" t="s">
        <v>1501</v>
      </c>
      <c r="O229" s="87"/>
      <c r="P229" s="100" t="s">
        <v>2141</v>
      </c>
      <c r="Q229" s="18">
        <f t="shared" si="12"/>
        <v>0</v>
      </c>
      <c r="R229" s="49">
        <v>30</v>
      </c>
      <c r="S229" s="49">
        <f t="shared" si="13"/>
        <v>0</v>
      </c>
      <c r="U229" s="49">
        <f t="shared" si="14"/>
        <v>0</v>
      </c>
      <c r="V229" s="49">
        <f t="shared" si="15"/>
        <v>0</v>
      </c>
    </row>
    <row r="230" spans="1:22" s="49" customFormat="1" ht="14.25" thickBot="1">
      <c r="A230" s="53" t="s">
        <v>2799</v>
      </c>
      <c r="B230" s="54">
        <v>4</v>
      </c>
      <c r="C230" s="54"/>
      <c r="D230" s="54" t="s">
        <v>2801</v>
      </c>
      <c r="E230" s="54" t="s">
        <v>2801</v>
      </c>
      <c r="F230" s="54" t="s">
        <v>2801</v>
      </c>
      <c r="G230" s="54" t="s">
        <v>2801</v>
      </c>
      <c r="H230" s="54" t="s">
        <v>3157</v>
      </c>
      <c r="I230" s="126" t="s">
        <v>2786</v>
      </c>
      <c r="J230" s="126">
        <v>4</v>
      </c>
      <c r="K230" s="126">
        <v>12</v>
      </c>
      <c r="L230" s="54" t="s">
        <v>368</v>
      </c>
      <c r="M230" s="54">
        <v>76</v>
      </c>
      <c r="N230" s="54" t="s">
        <v>923</v>
      </c>
      <c r="O230" s="93" t="s">
        <v>1476</v>
      </c>
      <c r="P230" s="11" t="s">
        <v>2580</v>
      </c>
      <c r="Q230" s="18">
        <f t="shared" si="12"/>
        <v>1</v>
      </c>
      <c r="R230" s="49">
        <v>588</v>
      </c>
      <c r="S230" s="49">
        <f t="shared" si="13"/>
        <v>588</v>
      </c>
      <c r="U230" s="49">
        <f t="shared" si="14"/>
        <v>0</v>
      </c>
      <c r="V230" s="49">
        <f t="shared" si="15"/>
        <v>588</v>
      </c>
    </row>
    <row r="231" spans="1:22" s="49" customFormat="1">
      <c r="A231" s="99" t="s">
        <v>2798</v>
      </c>
      <c r="B231" s="60">
        <v>3</v>
      </c>
      <c r="C231" s="60"/>
      <c r="D231" s="60" t="s">
        <v>2800</v>
      </c>
      <c r="E231" s="60" t="s">
        <v>2801</v>
      </c>
      <c r="F231" s="60" t="s">
        <v>2801</v>
      </c>
      <c r="G231" s="60" t="s">
        <v>2801</v>
      </c>
      <c r="H231" s="60" t="s">
        <v>3158</v>
      </c>
      <c r="I231" s="128" t="s">
        <v>981</v>
      </c>
      <c r="J231" s="128">
        <v>4</v>
      </c>
      <c r="K231" s="128">
        <v>1</v>
      </c>
      <c r="L231" s="60" t="s">
        <v>369</v>
      </c>
      <c r="M231" s="60">
        <v>77</v>
      </c>
      <c r="N231" s="60" t="s">
        <v>923</v>
      </c>
      <c r="O231" s="87" t="s">
        <v>2327</v>
      </c>
      <c r="P231" s="100" t="s">
        <v>2606</v>
      </c>
      <c r="Q231" s="18">
        <f t="shared" si="12"/>
        <v>2</v>
      </c>
      <c r="R231" s="49">
        <v>1592</v>
      </c>
      <c r="S231" s="49">
        <f t="shared" si="13"/>
        <v>3184</v>
      </c>
      <c r="U231" s="49">
        <f t="shared" si="14"/>
        <v>0</v>
      </c>
      <c r="V231" s="49">
        <f t="shared" si="15"/>
        <v>3184</v>
      </c>
    </row>
    <row r="232" spans="1:22" s="49" customFormat="1">
      <c r="A232" s="56" t="s">
        <v>2799</v>
      </c>
      <c r="B232" s="55">
        <v>4</v>
      </c>
      <c r="C232" s="55" t="s">
        <v>2812</v>
      </c>
      <c r="D232" s="55" t="s">
        <v>2801</v>
      </c>
      <c r="E232" s="55" t="s">
        <v>2801</v>
      </c>
      <c r="F232" s="55" t="s">
        <v>2801</v>
      </c>
      <c r="G232" s="55" t="s">
        <v>2801</v>
      </c>
      <c r="H232" s="55" t="s">
        <v>2783</v>
      </c>
      <c r="I232" s="103" t="s">
        <v>2784</v>
      </c>
      <c r="J232" s="103">
        <v>1</v>
      </c>
      <c r="K232" s="103">
        <v>4</v>
      </c>
      <c r="L232" s="55" t="s">
        <v>369</v>
      </c>
      <c r="M232" s="55">
        <v>77</v>
      </c>
      <c r="N232" s="55" t="s">
        <v>1501</v>
      </c>
      <c r="O232" s="85"/>
      <c r="P232" s="57" t="s">
        <v>2651</v>
      </c>
      <c r="Q232" s="18">
        <f t="shared" si="12"/>
        <v>0</v>
      </c>
      <c r="R232" s="49" t="s">
        <v>3119</v>
      </c>
      <c r="S232" s="49">
        <f t="shared" si="13"/>
        <v>0</v>
      </c>
      <c r="U232" s="49">
        <f t="shared" si="14"/>
        <v>0</v>
      </c>
      <c r="V232" s="49">
        <f t="shared" si="15"/>
        <v>0</v>
      </c>
    </row>
    <row r="233" spans="1:22" s="49" customFormat="1">
      <c r="A233" s="56" t="s">
        <v>2913</v>
      </c>
      <c r="B233" s="55">
        <v>1</v>
      </c>
      <c r="C233" s="55" t="s">
        <v>2812</v>
      </c>
      <c r="D233" s="55"/>
      <c r="E233" s="55"/>
      <c r="F233" s="55"/>
      <c r="G233" s="55"/>
      <c r="H233" s="55" t="s">
        <v>2896</v>
      </c>
      <c r="I233" s="55" t="s">
        <v>1014</v>
      </c>
      <c r="J233" s="55">
        <v>3</v>
      </c>
      <c r="K233" s="103">
        <v>4</v>
      </c>
      <c r="L233" s="55" t="s">
        <v>369</v>
      </c>
      <c r="M233" s="55">
        <v>77</v>
      </c>
      <c r="N233" s="103" t="s">
        <v>923</v>
      </c>
      <c r="O233" s="85" t="s">
        <v>1474</v>
      </c>
      <c r="P233" s="57" t="s">
        <v>2835</v>
      </c>
      <c r="Q233" s="18">
        <f t="shared" si="12"/>
        <v>4</v>
      </c>
      <c r="R233" s="49">
        <v>10</v>
      </c>
      <c r="S233" s="49">
        <f t="shared" si="13"/>
        <v>40</v>
      </c>
      <c r="U233" s="49">
        <f t="shared" si="14"/>
        <v>40</v>
      </c>
      <c r="V233" s="49">
        <f t="shared" si="15"/>
        <v>0</v>
      </c>
    </row>
    <row r="234" spans="1:22" s="49" customFormat="1">
      <c r="A234" s="56" t="s">
        <v>2913</v>
      </c>
      <c r="B234" s="55">
        <v>1</v>
      </c>
      <c r="C234" s="55" t="s">
        <v>2812</v>
      </c>
      <c r="D234" s="55"/>
      <c r="E234" s="55"/>
      <c r="F234" s="55"/>
      <c r="G234" s="55"/>
      <c r="H234" s="55" t="s">
        <v>2859</v>
      </c>
      <c r="I234" s="55" t="s">
        <v>1024</v>
      </c>
      <c r="J234" s="55">
        <v>2</v>
      </c>
      <c r="K234" s="103">
        <v>5</v>
      </c>
      <c r="L234" s="55" t="s">
        <v>369</v>
      </c>
      <c r="M234" s="55">
        <v>77</v>
      </c>
      <c r="N234" s="103" t="s">
        <v>923</v>
      </c>
      <c r="O234" s="85" t="s">
        <v>1473</v>
      </c>
      <c r="P234" s="57" t="s">
        <v>2863</v>
      </c>
      <c r="Q234" s="18">
        <f t="shared" si="12"/>
        <v>4</v>
      </c>
      <c r="R234" s="49">
        <v>10</v>
      </c>
      <c r="S234" s="49">
        <f t="shared" si="13"/>
        <v>40</v>
      </c>
      <c r="U234" s="49">
        <f t="shared" si="14"/>
        <v>40</v>
      </c>
      <c r="V234" s="49">
        <f t="shared" si="15"/>
        <v>0</v>
      </c>
    </row>
    <row r="235" spans="1:22" s="49" customFormat="1" ht="14.25" thickBot="1">
      <c r="A235" s="53" t="s">
        <v>2913</v>
      </c>
      <c r="B235" s="54">
        <v>1</v>
      </c>
      <c r="C235" s="54" t="s">
        <v>2812</v>
      </c>
      <c r="D235" s="54"/>
      <c r="E235" s="54"/>
      <c r="F235" s="54"/>
      <c r="G235" s="54"/>
      <c r="H235" s="54" t="s">
        <v>2987</v>
      </c>
      <c r="I235" s="54" t="s">
        <v>1387</v>
      </c>
      <c r="J235" s="54">
        <v>6</v>
      </c>
      <c r="K235" s="126">
        <v>5</v>
      </c>
      <c r="L235" s="54" t="s">
        <v>369</v>
      </c>
      <c r="M235" s="54">
        <v>77</v>
      </c>
      <c r="N235" s="126" t="s">
        <v>923</v>
      </c>
      <c r="O235" s="93" t="s">
        <v>1481</v>
      </c>
      <c r="P235" s="11" t="s">
        <v>2867</v>
      </c>
      <c r="Q235" s="18">
        <f t="shared" si="12"/>
        <v>4</v>
      </c>
      <c r="R235" s="49">
        <v>10</v>
      </c>
      <c r="S235" s="49">
        <f t="shared" si="13"/>
        <v>40</v>
      </c>
      <c r="U235" s="49">
        <f t="shared" si="14"/>
        <v>40</v>
      </c>
      <c r="V235" s="49">
        <f t="shared" si="15"/>
        <v>0</v>
      </c>
    </row>
    <row r="236" spans="1:22" s="49" customFormat="1">
      <c r="A236" s="150"/>
      <c r="B236" s="151"/>
      <c r="C236" s="151"/>
      <c r="D236" s="151"/>
      <c r="E236" s="151"/>
      <c r="F236" s="151"/>
      <c r="G236" s="152"/>
      <c r="H236" s="137" t="s">
        <v>2955</v>
      </c>
      <c r="I236" s="139" t="s">
        <v>2099</v>
      </c>
      <c r="J236" s="139"/>
      <c r="K236" s="139"/>
      <c r="L236" s="138" t="s">
        <v>2098</v>
      </c>
      <c r="M236" s="138"/>
      <c r="N236" s="138" t="s">
        <v>2094</v>
      </c>
      <c r="O236" s="140" t="s">
        <v>2101</v>
      </c>
      <c r="P236" s="141" t="s">
        <v>2102</v>
      </c>
      <c r="Q236" s="18" t="str">
        <f t="shared" si="12"/>
        <v/>
      </c>
      <c r="R236" s="49" t="s">
        <v>3119</v>
      </c>
      <c r="S236" s="49">
        <f t="shared" si="13"/>
        <v>0</v>
      </c>
      <c r="T236" s="49">
        <f>SUM(S236:S273)</f>
        <v>650</v>
      </c>
      <c r="U236" s="49">
        <f t="shared" si="14"/>
        <v>0</v>
      </c>
      <c r="V236" s="49">
        <f t="shared" si="15"/>
        <v>0</v>
      </c>
    </row>
    <row r="237" spans="1:22" s="49" customFormat="1">
      <c r="A237" s="56" t="s">
        <v>2798</v>
      </c>
      <c r="B237" s="55">
        <v>3</v>
      </c>
      <c r="C237" s="55" t="s">
        <v>2812</v>
      </c>
      <c r="D237" s="55" t="s">
        <v>2812</v>
      </c>
      <c r="E237" s="55" t="s">
        <v>2801</v>
      </c>
      <c r="F237" s="55" t="s">
        <v>2801</v>
      </c>
      <c r="G237" s="55" t="s">
        <v>2801</v>
      </c>
      <c r="H237" s="55" t="s">
        <v>2988</v>
      </c>
      <c r="I237" s="103" t="s">
        <v>1012</v>
      </c>
      <c r="J237" s="103">
        <v>2</v>
      </c>
      <c r="K237" s="103">
        <v>4</v>
      </c>
      <c r="L237" s="55" t="s">
        <v>370</v>
      </c>
      <c r="M237" s="55">
        <v>78</v>
      </c>
      <c r="N237" s="55" t="s">
        <v>1501</v>
      </c>
      <c r="O237" s="85"/>
      <c r="P237" s="57" t="s">
        <v>2697</v>
      </c>
      <c r="Q237" s="18">
        <f t="shared" si="12"/>
        <v>0</v>
      </c>
      <c r="R237" s="49" t="s">
        <v>3119</v>
      </c>
      <c r="S237" s="49">
        <f t="shared" si="13"/>
        <v>0</v>
      </c>
      <c r="U237" s="49">
        <f t="shared" si="14"/>
        <v>0</v>
      </c>
      <c r="V237" s="49">
        <f t="shared" si="15"/>
        <v>0</v>
      </c>
    </row>
    <row r="238" spans="1:22" s="49" customFormat="1">
      <c r="A238" s="56" t="s">
        <v>2794</v>
      </c>
      <c r="B238" s="55">
        <v>2</v>
      </c>
      <c r="C238" s="55" t="s">
        <v>2812</v>
      </c>
      <c r="D238" s="55" t="s">
        <v>2812</v>
      </c>
      <c r="E238" s="55" t="s">
        <v>2800</v>
      </c>
      <c r="F238" s="55" t="s">
        <v>2800</v>
      </c>
      <c r="G238" s="55" t="s">
        <v>2801</v>
      </c>
      <c r="H238" s="55" t="s">
        <v>2483</v>
      </c>
      <c r="I238" s="103" t="s">
        <v>1187</v>
      </c>
      <c r="J238" s="103">
        <v>4</v>
      </c>
      <c r="K238" s="103">
        <v>4</v>
      </c>
      <c r="L238" s="55" t="s">
        <v>370</v>
      </c>
      <c r="M238" s="55">
        <v>78</v>
      </c>
      <c r="N238" s="55" t="s">
        <v>923</v>
      </c>
      <c r="O238" s="85" t="s">
        <v>1583</v>
      </c>
      <c r="P238" s="57" t="s">
        <v>2485</v>
      </c>
      <c r="Q238" s="18">
        <f t="shared" si="12"/>
        <v>2</v>
      </c>
      <c r="R238" s="49">
        <v>30</v>
      </c>
      <c r="S238" s="49">
        <f t="shared" si="13"/>
        <v>60</v>
      </c>
      <c r="U238" s="49">
        <f t="shared" si="14"/>
        <v>60</v>
      </c>
      <c r="V238" s="49">
        <f t="shared" si="15"/>
        <v>0</v>
      </c>
    </row>
    <row r="239" spans="1:22" s="49" customFormat="1">
      <c r="A239" s="56" t="s">
        <v>2799</v>
      </c>
      <c r="B239" s="55">
        <v>4</v>
      </c>
      <c r="C239" s="55" t="s">
        <v>2812</v>
      </c>
      <c r="D239" s="55" t="s">
        <v>2801</v>
      </c>
      <c r="E239" s="55" t="s">
        <v>2801</v>
      </c>
      <c r="F239" s="55" t="s">
        <v>2801</v>
      </c>
      <c r="G239" s="55" t="s">
        <v>2801</v>
      </c>
      <c r="H239" s="55" t="s">
        <v>2989</v>
      </c>
      <c r="I239" s="103" t="s">
        <v>2785</v>
      </c>
      <c r="J239" s="103">
        <v>3</v>
      </c>
      <c r="K239" s="103">
        <v>10</v>
      </c>
      <c r="L239" s="55" t="s">
        <v>370</v>
      </c>
      <c r="M239" s="55">
        <v>78</v>
      </c>
      <c r="N239" s="55" t="s">
        <v>1490</v>
      </c>
      <c r="O239" s="85"/>
      <c r="P239" s="57" t="s">
        <v>2583</v>
      </c>
      <c r="Q239" s="18">
        <f t="shared" si="12"/>
        <v>0</v>
      </c>
      <c r="R239" s="49" t="s">
        <v>3119</v>
      </c>
      <c r="S239" s="49">
        <f t="shared" si="13"/>
        <v>0</v>
      </c>
      <c r="U239" s="49">
        <f t="shared" si="14"/>
        <v>0</v>
      </c>
      <c r="V239" s="49">
        <f t="shared" si="15"/>
        <v>0</v>
      </c>
    </row>
    <row r="240" spans="1:22" s="49" customFormat="1">
      <c r="A240" s="56" t="s">
        <v>2795</v>
      </c>
      <c r="B240" s="55">
        <v>1</v>
      </c>
      <c r="C240" s="55" t="s">
        <v>2812</v>
      </c>
      <c r="D240" s="55" t="s">
        <v>2812</v>
      </c>
      <c r="E240" s="55" t="s">
        <v>2812</v>
      </c>
      <c r="F240" s="55" t="s">
        <v>2812</v>
      </c>
      <c r="G240" s="55" t="s">
        <v>2812</v>
      </c>
      <c r="H240" s="55" t="s">
        <v>1560</v>
      </c>
      <c r="I240" s="103" t="s">
        <v>1561</v>
      </c>
      <c r="J240" s="103">
        <v>2</v>
      </c>
      <c r="K240" s="103">
        <v>16</v>
      </c>
      <c r="L240" s="55" t="s">
        <v>370</v>
      </c>
      <c r="M240" s="55">
        <v>78</v>
      </c>
      <c r="N240" s="55" t="s">
        <v>923</v>
      </c>
      <c r="O240" s="85" t="s">
        <v>1477</v>
      </c>
      <c r="P240" s="57" t="s">
        <v>1563</v>
      </c>
      <c r="Q240" s="18">
        <f t="shared" si="12"/>
        <v>0</v>
      </c>
      <c r="R240" s="49">
        <v>10</v>
      </c>
      <c r="S240" s="49">
        <f t="shared" si="13"/>
        <v>0</v>
      </c>
      <c r="U240" s="49">
        <f t="shared" si="14"/>
        <v>0</v>
      </c>
      <c r="V240" s="49">
        <f t="shared" si="15"/>
        <v>0</v>
      </c>
    </row>
    <row r="241" spans="1:22" s="49" customFormat="1">
      <c r="A241" s="56" t="s">
        <v>2913</v>
      </c>
      <c r="B241" s="55">
        <v>1</v>
      </c>
      <c r="C241" s="55" t="s">
        <v>2812</v>
      </c>
      <c r="D241" s="55" t="s">
        <v>2812</v>
      </c>
      <c r="E241" s="55" t="s">
        <v>2812</v>
      </c>
      <c r="F241" s="55" t="s">
        <v>2812</v>
      </c>
      <c r="G241" s="55" t="s">
        <v>2812</v>
      </c>
      <c r="H241" s="55" t="s">
        <v>2990</v>
      </c>
      <c r="I241" s="55" t="s">
        <v>34</v>
      </c>
      <c r="J241" s="55">
        <v>2</v>
      </c>
      <c r="K241" s="103">
        <v>16</v>
      </c>
      <c r="L241" s="55" t="s">
        <v>370</v>
      </c>
      <c r="M241" s="55">
        <v>78</v>
      </c>
      <c r="N241" s="103" t="s">
        <v>923</v>
      </c>
      <c r="O241" s="85" t="s">
        <v>1475</v>
      </c>
      <c r="P241" s="57" t="s">
        <v>1557</v>
      </c>
      <c r="Q241" s="18">
        <f t="shared" si="12"/>
        <v>0</v>
      </c>
      <c r="R241" s="49">
        <v>10</v>
      </c>
      <c r="S241" s="49">
        <f t="shared" si="13"/>
        <v>0</v>
      </c>
      <c r="U241" s="49">
        <f t="shared" si="14"/>
        <v>0</v>
      </c>
      <c r="V241" s="49">
        <f t="shared" si="15"/>
        <v>0</v>
      </c>
    </row>
    <row r="242" spans="1:22" s="49" customFormat="1">
      <c r="A242" s="56" t="s">
        <v>2940</v>
      </c>
      <c r="B242" s="55">
        <v>3</v>
      </c>
      <c r="C242" s="55" t="s">
        <v>2812</v>
      </c>
      <c r="D242" s="55" t="s">
        <v>2812</v>
      </c>
      <c r="E242" s="55" t="s">
        <v>2801</v>
      </c>
      <c r="F242" s="55" t="s">
        <v>2801</v>
      </c>
      <c r="G242" s="55" t="s">
        <v>2801</v>
      </c>
      <c r="H242" s="55" t="s">
        <v>829</v>
      </c>
      <c r="I242" s="103" t="s">
        <v>2928</v>
      </c>
      <c r="J242" s="103">
        <v>3</v>
      </c>
      <c r="K242" s="103">
        <v>16</v>
      </c>
      <c r="L242" s="55" t="s">
        <v>370</v>
      </c>
      <c r="M242" s="55">
        <v>78</v>
      </c>
      <c r="N242" s="55" t="s">
        <v>1490</v>
      </c>
      <c r="O242" s="55"/>
      <c r="P242" s="57" t="s">
        <v>2932</v>
      </c>
      <c r="Q242" s="18">
        <f t="shared" si="12"/>
        <v>0</v>
      </c>
      <c r="R242" s="49" t="s">
        <v>3119</v>
      </c>
      <c r="S242" s="49">
        <f t="shared" si="13"/>
        <v>0</v>
      </c>
      <c r="U242" s="49">
        <f t="shared" si="14"/>
        <v>0</v>
      </c>
      <c r="V242" s="49">
        <f t="shared" si="15"/>
        <v>0</v>
      </c>
    </row>
    <row r="243" spans="1:22" s="49" customFormat="1">
      <c r="A243" s="56" t="s">
        <v>2795</v>
      </c>
      <c r="B243" s="55">
        <v>1</v>
      </c>
      <c r="C243" s="55" t="s">
        <v>2812</v>
      </c>
      <c r="D243" s="55" t="s">
        <v>2812</v>
      </c>
      <c r="E243" s="55" t="s">
        <v>2812</v>
      </c>
      <c r="F243" s="55" t="s">
        <v>2812</v>
      </c>
      <c r="G243" s="55" t="s">
        <v>2812</v>
      </c>
      <c r="H243" s="55" t="s">
        <v>1575</v>
      </c>
      <c r="I243" s="103" t="s">
        <v>1576</v>
      </c>
      <c r="J243" s="103">
        <v>4</v>
      </c>
      <c r="K243" s="103">
        <v>16</v>
      </c>
      <c r="L243" s="55" t="s">
        <v>370</v>
      </c>
      <c r="M243" s="55">
        <v>78</v>
      </c>
      <c r="N243" s="55" t="s">
        <v>1490</v>
      </c>
      <c r="O243" s="85"/>
      <c r="P243" s="57" t="s">
        <v>1577</v>
      </c>
      <c r="Q243" s="18">
        <f t="shared" si="12"/>
        <v>0</v>
      </c>
      <c r="R243" s="49">
        <v>10</v>
      </c>
      <c r="S243" s="49">
        <f t="shared" si="13"/>
        <v>0</v>
      </c>
      <c r="U243" s="49">
        <f t="shared" si="14"/>
        <v>0</v>
      </c>
      <c r="V243" s="49">
        <f t="shared" si="15"/>
        <v>0</v>
      </c>
    </row>
    <row r="244" spans="1:22" s="49" customFormat="1">
      <c r="A244" s="56" t="s">
        <v>2795</v>
      </c>
      <c r="B244" s="55">
        <v>1</v>
      </c>
      <c r="C244" s="55" t="s">
        <v>2812</v>
      </c>
      <c r="D244" s="55" t="s">
        <v>2812</v>
      </c>
      <c r="E244" s="55" t="s">
        <v>2812</v>
      </c>
      <c r="F244" s="55" t="s">
        <v>2812</v>
      </c>
      <c r="G244" s="55" t="s">
        <v>2812</v>
      </c>
      <c r="H244" s="55" t="s">
        <v>1604</v>
      </c>
      <c r="I244" s="103" t="s">
        <v>35</v>
      </c>
      <c r="J244" s="103">
        <v>2</v>
      </c>
      <c r="K244" s="103">
        <v>17</v>
      </c>
      <c r="L244" s="55" t="s">
        <v>370</v>
      </c>
      <c r="M244" s="55">
        <v>78</v>
      </c>
      <c r="N244" s="55" t="s">
        <v>1490</v>
      </c>
      <c r="O244" s="85"/>
      <c r="P244" s="57" t="s">
        <v>1605</v>
      </c>
      <c r="Q244" s="18">
        <f t="shared" si="12"/>
        <v>0</v>
      </c>
      <c r="R244" s="49">
        <v>10</v>
      </c>
      <c r="S244" s="49">
        <f t="shared" si="13"/>
        <v>0</v>
      </c>
      <c r="U244" s="49">
        <f t="shared" si="14"/>
        <v>0</v>
      </c>
      <c r="V244" s="49">
        <f t="shared" si="15"/>
        <v>0</v>
      </c>
    </row>
    <row r="245" spans="1:22" s="49" customFormat="1" ht="14.25" thickBot="1">
      <c r="A245" s="53" t="s">
        <v>2940</v>
      </c>
      <c r="B245" s="54">
        <v>3</v>
      </c>
      <c r="C245" s="54"/>
      <c r="D245" s="54" t="s">
        <v>2800</v>
      </c>
      <c r="E245" s="54" t="s">
        <v>2801</v>
      </c>
      <c r="F245" s="54" t="s">
        <v>2801</v>
      </c>
      <c r="G245" s="54" t="s">
        <v>2801</v>
      </c>
      <c r="H245" s="54" t="s">
        <v>3159</v>
      </c>
      <c r="I245" s="126" t="s">
        <v>1626</v>
      </c>
      <c r="J245" s="126">
        <v>4</v>
      </c>
      <c r="K245" s="126">
        <v>17</v>
      </c>
      <c r="L245" s="54" t="s">
        <v>370</v>
      </c>
      <c r="M245" s="54">
        <v>78</v>
      </c>
      <c r="N245" s="54" t="s">
        <v>1501</v>
      </c>
      <c r="O245" s="54"/>
      <c r="P245" s="11" t="s">
        <v>2935</v>
      </c>
      <c r="Q245" s="18">
        <f t="shared" si="12"/>
        <v>2</v>
      </c>
      <c r="R245" s="49">
        <v>38</v>
      </c>
      <c r="S245" s="49">
        <f t="shared" si="13"/>
        <v>76</v>
      </c>
      <c r="U245" s="49">
        <f t="shared" si="14"/>
        <v>0</v>
      </c>
      <c r="V245" s="49">
        <f t="shared" si="15"/>
        <v>76</v>
      </c>
    </row>
    <row r="246" spans="1:22" s="49" customFormat="1">
      <c r="A246" s="50" t="s">
        <v>2795</v>
      </c>
      <c r="B246" s="51">
        <v>1</v>
      </c>
      <c r="C246" s="51" t="s">
        <v>2812</v>
      </c>
      <c r="D246" s="51" t="s">
        <v>2800</v>
      </c>
      <c r="E246" s="51" t="s">
        <v>2800</v>
      </c>
      <c r="F246" s="51" t="s">
        <v>2800</v>
      </c>
      <c r="G246" s="51" t="s">
        <v>2800</v>
      </c>
      <c r="H246" s="51" t="s">
        <v>2991</v>
      </c>
      <c r="I246" s="129" t="s">
        <v>1000</v>
      </c>
      <c r="J246" s="129">
        <v>4</v>
      </c>
      <c r="K246" s="129">
        <v>2</v>
      </c>
      <c r="L246" s="51" t="s">
        <v>371</v>
      </c>
      <c r="M246" s="51">
        <v>79</v>
      </c>
      <c r="N246" s="51" t="s">
        <v>923</v>
      </c>
      <c r="O246" s="92" t="s">
        <v>1477</v>
      </c>
      <c r="P246" s="52" t="s">
        <v>2171</v>
      </c>
      <c r="Q246" s="18">
        <f t="shared" si="12"/>
        <v>4</v>
      </c>
      <c r="R246" s="49">
        <v>10</v>
      </c>
      <c r="S246" s="49">
        <f t="shared" si="13"/>
        <v>40</v>
      </c>
      <c r="U246" s="49">
        <f t="shared" si="14"/>
        <v>40</v>
      </c>
      <c r="V246" s="49">
        <f t="shared" si="15"/>
        <v>0</v>
      </c>
    </row>
    <row r="247" spans="1:22" s="49" customFormat="1">
      <c r="A247" s="56" t="s">
        <v>2794</v>
      </c>
      <c r="B247" s="55">
        <v>2</v>
      </c>
      <c r="C247" s="55" t="s">
        <v>2812</v>
      </c>
      <c r="D247" s="55" t="s">
        <v>2812</v>
      </c>
      <c r="E247" s="55" t="s">
        <v>2800</v>
      </c>
      <c r="F247" s="55" t="s">
        <v>2800</v>
      </c>
      <c r="G247" s="55" t="s">
        <v>2801</v>
      </c>
      <c r="H247" s="55" t="s">
        <v>2992</v>
      </c>
      <c r="I247" s="103" t="s">
        <v>2472</v>
      </c>
      <c r="J247" s="103">
        <v>6</v>
      </c>
      <c r="K247" s="103">
        <v>2</v>
      </c>
      <c r="L247" s="55" t="s">
        <v>371</v>
      </c>
      <c r="M247" s="55">
        <v>79</v>
      </c>
      <c r="N247" s="55" t="s">
        <v>923</v>
      </c>
      <c r="O247" s="85" t="s">
        <v>1482</v>
      </c>
      <c r="P247" s="57" t="s">
        <v>2473</v>
      </c>
      <c r="Q247" s="18">
        <f t="shared" si="12"/>
        <v>2</v>
      </c>
      <c r="R247" s="49">
        <v>30</v>
      </c>
      <c r="S247" s="49">
        <f t="shared" si="13"/>
        <v>60</v>
      </c>
      <c r="U247" s="49">
        <f t="shared" si="14"/>
        <v>60</v>
      </c>
      <c r="V247" s="49">
        <f t="shared" si="15"/>
        <v>0</v>
      </c>
    </row>
    <row r="248" spans="1:22" s="49" customFormat="1">
      <c r="A248" s="56" t="s">
        <v>2794</v>
      </c>
      <c r="B248" s="55">
        <v>2</v>
      </c>
      <c r="C248" s="55" t="s">
        <v>2812</v>
      </c>
      <c r="D248" s="55" t="s">
        <v>2812</v>
      </c>
      <c r="E248" s="55" t="s">
        <v>2812</v>
      </c>
      <c r="F248" s="55" t="s">
        <v>2812</v>
      </c>
      <c r="G248" s="55" t="s">
        <v>2801</v>
      </c>
      <c r="H248" s="55" t="s">
        <v>2329</v>
      </c>
      <c r="I248" s="103" t="s">
        <v>28</v>
      </c>
      <c r="J248" s="103">
        <v>1</v>
      </c>
      <c r="K248" s="103">
        <v>5</v>
      </c>
      <c r="L248" s="55" t="s">
        <v>371</v>
      </c>
      <c r="M248" s="55">
        <v>79</v>
      </c>
      <c r="N248" s="55" t="s">
        <v>923</v>
      </c>
      <c r="O248" s="85" t="s">
        <v>1473</v>
      </c>
      <c r="P248" s="57" t="s">
        <v>2331</v>
      </c>
      <c r="Q248" s="18">
        <f t="shared" si="12"/>
        <v>0</v>
      </c>
      <c r="R248" s="49">
        <v>30</v>
      </c>
      <c r="S248" s="49">
        <f t="shared" si="13"/>
        <v>0</v>
      </c>
      <c r="U248" s="49">
        <f t="shared" si="14"/>
        <v>0</v>
      </c>
      <c r="V248" s="49">
        <f t="shared" si="15"/>
        <v>0</v>
      </c>
    </row>
    <row r="249" spans="1:22" s="49" customFormat="1">
      <c r="A249" s="56" t="s">
        <v>2795</v>
      </c>
      <c r="B249" s="55">
        <v>1</v>
      </c>
      <c r="C249" s="55" t="s">
        <v>2812</v>
      </c>
      <c r="D249" s="55" t="s">
        <v>2800</v>
      </c>
      <c r="E249" s="55" t="s">
        <v>2800</v>
      </c>
      <c r="F249" s="55" t="s">
        <v>2800</v>
      </c>
      <c r="G249" s="55" t="s">
        <v>2800</v>
      </c>
      <c r="H249" s="55" t="s">
        <v>2228</v>
      </c>
      <c r="I249" s="103" t="s">
        <v>1028</v>
      </c>
      <c r="J249" s="103">
        <v>5</v>
      </c>
      <c r="K249" s="103">
        <v>5</v>
      </c>
      <c r="L249" s="55" t="s">
        <v>371</v>
      </c>
      <c r="M249" s="55">
        <v>79</v>
      </c>
      <c r="N249" s="55" t="s">
        <v>923</v>
      </c>
      <c r="O249" s="85" t="s">
        <v>2247</v>
      </c>
      <c r="P249" s="57" t="s">
        <v>2229</v>
      </c>
      <c r="Q249" s="18">
        <f t="shared" si="12"/>
        <v>4</v>
      </c>
      <c r="R249" s="49">
        <v>10</v>
      </c>
      <c r="S249" s="49">
        <f t="shared" si="13"/>
        <v>40</v>
      </c>
      <c r="U249" s="49">
        <f t="shared" si="14"/>
        <v>40</v>
      </c>
      <c r="V249" s="49">
        <f t="shared" si="15"/>
        <v>0</v>
      </c>
    </row>
    <row r="250" spans="1:22" s="49" customFormat="1">
      <c r="A250" s="56" t="s">
        <v>2913</v>
      </c>
      <c r="B250" s="55">
        <v>1</v>
      </c>
      <c r="C250" s="55" t="s">
        <v>2812</v>
      </c>
      <c r="D250" s="55" t="s">
        <v>2812</v>
      </c>
      <c r="E250" s="55" t="s">
        <v>2812</v>
      </c>
      <c r="F250" s="55" t="s">
        <v>2812</v>
      </c>
      <c r="G250" s="55" t="s">
        <v>2812</v>
      </c>
      <c r="H250" s="55" t="s">
        <v>2993</v>
      </c>
      <c r="I250" s="55" t="s">
        <v>1044</v>
      </c>
      <c r="J250" s="55">
        <v>3</v>
      </c>
      <c r="K250" s="103">
        <v>15</v>
      </c>
      <c r="L250" s="55" t="s">
        <v>371</v>
      </c>
      <c r="M250" s="55">
        <v>79</v>
      </c>
      <c r="N250" s="103" t="s">
        <v>923</v>
      </c>
      <c r="O250" s="85" t="s">
        <v>1475</v>
      </c>
      <c r="P250" s="57" t="s">
        <v>1526</v>
      </c>
      <c r="Q250" s="18">
        <f t="shared" si="12"/>
        <v>0</v>
      </c>
      <c r="R250" s="49">
        <v>10</v>
      </c>
      <c r="S250" s="49">
        <f t="shared" si="13"/>
        <v>0</v>
      </c>
      <c r="U250" s="49">
        <f t="shared" si="14"/>
        <v>0</v>
      </c>
      <c r="V250" s="49">
        <f t="shared" si="15"/>
        <v>0</v>
      </c>
    </row>
    <row r="251" spans="1:22" s="49" customFormat="1">
      <c r="A251" s="56" t="s">
        <v>2799</v>
      </c>
      <c r="B251" s="55">
        <v>4</v>
      </c>
      <c r="C251" s="55"/>
      <c r="D251" s="55" t="s">
        <v>2801</v>
      </c>
      <c r="E251" s="55" t="s">
        <v>2801</v>
      </c>
      <c r="F251" s="55" t="s">
        <v>2801</v>
      </c>
      <c r="G251" s="55" t="s">
        <v>2801</v>
      </c>
      <c r="H251" s="55" t="s">
        <v>3160</v>
      </c>
      <c r="I251" s="103" t="s">
        <v>2790</v>
      </c>
      <c r="J251" s="103">
        <v>5</v>
      </c>
      <c r="K251" s="103">
        <v>15</v>
      </c>
      <c r="L251" s="55" t="s">
        <v>371</v>
      </c>
      <c r="M251" s="55">
        <v>79</v>
      </c>
      <c r="N251" s="55" t="s">
        <v>923</v>
      </c>
      <c r="O251" s="85" t="s">
        <v>1482</v>
      </c>
      <c r="P251" s="57" t="s">
        <v>2571</v>
      </c>
      <c r="Q251" s="18">
        <f t="shared" si="12"/>
        <v>1</v>
      </c>
      <c r="R251" s="49">
        <v>298</v>
      </c>
      <c r="S251" s="49">
        <f t="shared" si="13"/>
        <v>298</v>
      </c>
      <c r="U251" s="49">
        <f t="shared" si="14"/>
        <v>0</v>
      </c>
      <c r="V251" s="49">
        <f t="shared" si="15"/>
        <v>298</v>
      </c>
    </row>
    <row r="252" spans="1:22" s="49" customFormat="1">
      <c r="A252" s="56" t="s">
        <v>787</v>
      </c>
      <c r="B252" s="55">
        <v>2</v>
      </c>
      <c r="C252" s="55" t="s">
        <v>2812</v>
      </c>
      <c r="D252" s="55" t="s">
        <v>2812</v>
      </c>
      <c r="E252" s="55" t="s">
        <v>2812</v>
      </c>
      <c r="F252" s="55" t="s">
        <v>2812</v>
      </c>
      <c r="G252" s="55" t="s">
        <v>2801</v>
      </c>
      <c r="H252" s="55" t="s">
        <v>2994</v>
      </c>
      <c r="I252" s="103" t="s">
        <v>34</v>
      </c>
      <c r="J252" s="103">
        <v>2</v>
      </c>
      <c r="K252" s="103">
        <v>16</v>
      </c>
      <c r="L252" s="55" t="s">
        <v>371</v>
      </c>
      <c r="M252" s="55">
        <v>79</v>
      </c>
      <c r="N252" s="55" t="s">
        <v>1490</v>
      </c>
      <c r="O252" s="55"/>
      <c r="P252" s="57" t="s">
        <v>2905</v>
      </c>
      <c r="Q252" s="18">
        <f t="shared" si="12"/>
        <v>0</v>
      </c>
      <c r="R252" s="49">
        <v>30</v>
      </c>
      <c r="S252" s="49">
        <f t="shared" si="13"/>
        <v>0</v>
      </c>
      <c r="U252" s="49">
        <f t="shared" si="14"/>
        <v>0</v>
      </c>
      <c r="V252" s="49">
        <f t="shared" si="15"/>
        <v>0</v>
      </c>
    </row>
    <row r="253" spans="1:22" s="49" customFormat="1">
      <c r="A253" s="56" t="s">
        <v>2913</v>
      </c>
      <c r="B253" s="55">
        <v>1</v>
      </c>
      <c r="C253" s="55" t="s">
        <v>2812</v>
      </c>
      <c r="D253" s="55" t="s">
        <v>2812</v>
      </c>
      <c r="E253" s="55" t="s">
        <v>2812</v>
      </c>
      <c r="F253" s="55" t="s">
        <v>2812</v>
      </c>
      <c r="G253" s="55" t="s">
        <v>2812</v>
      </c>
      <c r="H253" s="55" t="s">
        <v>2995</v>
      </c>
      <c r="I253" s="55" t="s">
        <v>36</v>
      </c>
      <c r="J253" s="55">
        <v>2</v>
      </c>
      <c r="K253" s="103">
        <v>18</v>
      </c>
      <c r="L253" s="55" t="s">
        <v>371</v>
      </c>
      <c r="M253" s="55">
        <v>79</v>
      </c>
      <c r="N253" s="103" t="s">
        <v>923</v>
      </c>
      <c r="O253" s="85" t="s">
        <v>1483</v>
      </c>
      <c r="P253" s="57" t="s">
        <v>1666</v>
      </c>
      <c r="Q253" s="18">
        <f t="shared" si="12"/>
        <v>0</v>
      </c>
      <c r="R253" s="49">
        <v>10</v>
      </c>
      <c r="S253" s="49">
        <f t="shared" si="13"/>
        <v>0</v>
      </c>
      <c r="U253" s="49">
        <f t="shared" si="14"/>
        <v>0</v>
      </c>
      <c r="V253" s="49">
        <f t="shared" si="15"/>
        <v>0</v>
      </c>
    </row>
    <row r="254" spans="1:22" s="49" customFormat="1">
      <c r="A254" s="56" t="s">
        <v>787</v>
      </c>
      <c r="B254" s="55">
        <v>2</v>
      </c>
      <c r="C254" s="55" t="s">
        <v>2812</v>
      </c>
      <c r="D254" s="55" t="s">
        <v>2812</v>
      </c>
      <c r="E254" s="55" t="s">
        <v>2812</v>
      </c>
      <c r="F254" s="55" t="s">
        <v>2812</v>
      </c>
      <c r="G254" s="55" t="s">
        <v>2801</v>
      </c>
      <c r="H254" s="55" t="s">
        <v>2996</v>
      </c>
      <c r="I254" s="103" t="s">
        <v>1686</v>
      </c>
      <c r="J254" s="103">
        <v>4</v>
      </c>
      <c r="K254" s="103">
        <v>18</v>
      </c>
      <c r="L254" s="55" t="s">
        <v>371</v>
      </c>
      <c r="M254" s="55">
        <v>79</v>
      </c>
      <c r="N254" s="55" t="s">
        <v>1490</v>
      </c>
      <c r="O254" s="55"/>
      <c r="P254" s="57" t="s">
        <v>2880</v>
      </c>
      <c r="Q254" s="18">
        <f t="shared" si="12"/>
        <v>0</v>
      </c>
      <c r="R254" s="49">
        <v>30</v>
      </c>
      <c r="S254" s="49">
        <f t="shared" si="13"/>
        <v>0</v>
      </c>
      <c r="U254" s="49">
        <f t="shared" si="14"/>
        <v>0</v>
      </c>
      <c r="V254" s="49">
        <f t="shared" si="15"/>
        <v>0</v>
      </c>
    </row>
    <row r="255" spans="1:22" s="49" customFormat="1">
      <c r="A255" s="56" t="s">
        <v>2798</v>
      </c>
      <c r="B255" s="55">
        <v>3</v>
      </c>
      <c r="C255" s="55" t="s">
        <v>2812</v>
      </c>
      <c r="D255" s="55" t="s">
        <v>2812</v>
      </c>
      <c r="E255" s="55" t="s">
        <v>2801</v>
      </c>
      <c r="F255" s="55" t="s">
        <v>2801</v>
      </c>
      <c r="G255" s="55" t="s">
        <v>2801</v>
      </c>
      <c r="H255" s="55" t="s">
        <v>2514</v>
      </c>
      <c r="I255" s="103" t="s">
        <v>1686</v>
      </c>
      <c r="J255" s="103">
        <v>4</v>
      </c>
      <c r="K255" s="103">
        <v>18</v>
      </c>
      <c r="L255" s="55" t="s">
        <v>371</v>
      </c>
      <c r="M255" s="55">
        <v>79</v>
      </c>
      <c r="N255" s="55" t="s">
        <v>923</v>
      </c>
      <c r="O255" s="85" t="s">
        <v>1479</v>
      </c>
      <c r="P255" s="57" t="s">
        <v>2515</v>
      </c>
      <c r="Q255" s="18">
        <f t="shared" si="12"/>
        <v>0</v>
      </c>
      <c r="R255" s="49" t="s">
        <v>3119</v>
      </c>
      <c r="S255" s="49">
        <f t="shared" si="13"/>
        <v>0</v>
      </c>
      <c r="U255" s="49">
        <f t="shared" si="14"/>
        <v>0</v>
      </c>
      <c r="V255" s="49">
        <f t="shared" si="15"/>
        <v>0</v>
      </c>
    </row>
    <row r="256" spans="1:22" s="49" customFormat="1">
      <c r="A256" s="56" t="s">
        <v>2940</v>
      </c>
      <c r="B256" s="55">
        <v>3</v>
      </c>
      <c r="C256" s="55" t="s">
        <v>2812</v>
      </c>
      <c r="D256" s="55" t="s">
        <v>2812</v>
      </c>
      <c r="E256" s="55" t="s">
        <v>2801</v>
      </c>
      <c r="F256" s="55" t="s">
        <v>2801</v>
      </c>
      <c r="G256" s="55" t="s">
        <v>2801</v>
      </c>
      <c r="H256" s="55" t="s">
        <v>2920</v>
      </c>
      <c r="I256" s="103" t="s">
        <v>2922</v>
      </c>
      <c r="J256" s="103">
        <v>5</v>
      </c>
      <c r="K256" s="103">
        <v>18</v>
      </c>
      <c r="L256" s="55" t="s">
        <v>371</v>
      </c>
      <c r="M256" s="55">
        <v>79</v>
      </c>
      <c r="N256" s="55" t="s">
        <v>1493</v>
      </c>
      <c r="O256" s="55"/>
      <c r="P256" s="57" t="s">
        <v>2926</v>
      </c>
      <c r="Q256" s="18">
        <f t="shared" si="12"/>
        <v>0</v>
      </c>
      <c r="R256" s="49" t="s">
        <v>3119</v>
      </c>
      <c r="S256" s="49">
        <f t="shared" si="13"/>
        <v>0</v>
      </c>
      <c r="U256" s="49">
        <f t="shared" si="14"/>
        <v>0</v>
      </c>
      <c r="V256" s="49">
        <f t="shared" si="15"/>
        <v>0</v>
      </c>
    </row>
    <row r="257" spans="1:22" s="49" customFormat="1">
      <c r="A257" s="56" t="s">
        <v>2799</v>
      </c>
      <c r="B257" s="55">
        <v>4</v>
      </c>
      <c r="C257" s="55" t="s">
        <v>2812</v>
      </c>
      <c r="D257" s="55" t="s">
        <v>2801</v>
      </c>
      <c r="E257" s="55" t="s">
        <v>2801</v>
      </c>
      <c r="F257" s="55" t="s">
        <v>2801</v>
      </c>
      <c r="G257" s="55" t="s">
        <v>2801</v>
      </c>
      <c r="H257" s="55" t="s">
        <v>2997</v>
      </c>
      <c r="I257" s="103" t="s">
        <v>2791</v>
      </c>
      <c r="J257" s="103">
        <v>6</v>
      </c>
      <c r="K257" s="103">
        <v>18</v>
      </c>
      <c r="L257" s="55" t="s">
        <v>371</v>
      </c>
      <c r="M257" s="55">
        <v>79</v>
      </c>
      <c r="N257" s="55" t="s">
        <v>923</v>
      </c>
      <c r="O257" s="85" t="s">
        <v>2327</v>
      </c>
      <c r="P257" s="57" t="s">
        <v>2699</v>
      </c>
      <c r="Q257" s="18">
        <f t="shared" si="12"/>
        <v>0</v>
      </c>
      <c r="R257" s="49" t="s">
        <v>3119</v>
      </c>
      <c r="S257" s="49">
        <f t="shared" si="13"/>
        <v>0</v>
      </c>
      <c r="U257" s="49">
        <f t="shared" si="14"/>
        <v>0</v>
      </c>
      <c r="V257" s="49">
        <f t="shared" si="15"/>
        <v>0</v>
      </c>
    </row>
    <row r="258" spans="1:22" s="49" customFormat="1">
      <c r="A258" s="56" t="s">
        <v>2795</v>
      </c>
      <c r="B258" s="55">
        <v>1</v>
      </c>
      <c r="C258" s="55" t="s">
        <v>2812</v>
      </c>
      <c r="D258" s="55" t="s">
        <v>2812</v>
      </c>
      <c r="E258" s="55" t="s">
        <v>2812</v>
      </c>
      <c r="F258" s="55" t="s">
        <v>2812</v>
      </c>
      <c r="G258" s="55" t="s">
        <v>2812</v>
      </c>
      <c r="H258" s="55" t="s">
        <v>1689</v>
      </c>
      <c r="I258" s="103" t="s">
        <v>1690</v>
      </c>
      <c r="J258" s="103">
        <v>1</v>
      </c>
      <c r="K258" s="103">
        <v>19</v>
      </c>
      <c r="L258" s="55" t="s">
        <v>371</v>
      </c>
      <c r="M258" s="55">
        <v>79</v>
      </c>
      <c r="N258" s="55" t="s">
        <v>1490</v>
      </c>
      <c r="O258" s="85"/>
      <c r="P258" s="57" t="s">
        <v>1691</v>
      </c>
      <c r="Q258" s="18">
        <f t="shared" si="12"/>
        <v>0</v>
      </c>
      <c r="R258" s="49">
        <v>10</v>
      </c>
      <c r="S258" s="49">
        <f t="shared" si="13"/>
        <v>0</v>
      </c>
      <c r="U258" s="49">
        <f t="shared" si="14"/>
        <v>0</v>
      </c>
      <c r="V258" s="49">
        <f t="shared" si="15"/>
        <v>0</v>
      </c>
    </row>
    <row r="259" spans="1:22" s="49" customFormat="1" ht="14.25" thickBot="1">
      <c r="A259" s="53" t="s">
        <v>2799</v>
      </c>
      <c r="B259" s="54">
        <v>4</v>
      </c>
      <c r="C259" s="54" t="s">
        <v>2812</v>
      </c>
      <c r="D259" s="54" t="s">
        <v>2801</v>
      </c>
      <c r="E259" s="54" t="s">
        <v>2801</v>
      </c>
      <c r="F259" s="54" t="s">
        <v>2801</v>
      </c>
      <c r="G259" s="54" t="s">
        <v>2801</v>
      </c>
      <c r="H259" s="54" t="s">
        <v>797</v>
      </c>
      <c r="I259" s="126" t="s">
        <v>1728</v>
      </c>
      <c r="J259" s="126">
        <v>4</v>
      </c>
      <c r="K259" s="126">
        <v>19</v>
      </c>
      <c r="L259" s="54" t="s">
        <v>371</v>
      </c>
      <c r="M259" s="54">
        <v>79</v>
      </c>
      <c r="N259" s="54" t="s">
        <v>923</v>
      </c>
      <c r="O259" s="93" t="s">
        <v>1539</v>
      </c>
      <c r="P259" s="11" t="s">
        <v>2572</v>
      </c>
      <c r="Q259" s="18">
        <f t="shared" ref="Q259:Q322" si="16">IF(ISBLANK(A259),"",COUNTBLANK(C259:G259))</f>
        <v>0</v>
      </c>
      <c r="R259" s="49" t="s">
        <v>3119</v>
      </c>
      <c r="S259" s="49">
        <f t="shared" ref="S259:S322" si="17">IF(R259="#",0,Q259*R259)</f>
        <v>0</v>
      </c>
      <c r="U259" s="49">
        <f t="shared" ref="U259:U322" si="18">IF(AND(OR(A259="Co",A259="UC"),Q259&gt;0),S259,0)</f>
        <v>0</v>
      </c>
      <c r="V259" s="49">
        <f t="shared" ref="V259:V322" si="19">IF(AND(OR(A259="Re",A259="MR"),Q259&gt;0),S259,0)</f>
        <v>0</v>
      </c>
    </row>
    <row r="260" spans="1:22" s="49" customFormat="1">
      <c r="A260" s="56" t="s">
        <v>2795</v>
      </c>
      <c r="B260" s="55">
        <v>1</v>
      </c>
      <c r="C260" s="55" t="s">
        <v>2812</v>
      </c>
      <c r="D260" s="55" t="s">
        <v>2812</v>
      </c>
      <c r="E260" s="55" t="s">
        <v>2812</v>
      </c>
      <c r="F260" s="55" t="s">
        <v>2812</v>
      </c>
      <c r="G260" s="55" t="s">
        <v>2812</v>
      </c>
      <c r="H260" s="55" t="s">
        <v>2998</v>
      </c>
      <c r="I260" s="103">
        <v>3</v>
      </c>
      <c r="J260" s="103">
        <v>3</v>
      </c>
      <c r="K260" s="103">
        <v>6</v>
      </c>
      <c r="L260" s="55" t="s">
        <v>2948</v>
      </c>
      <c r="M260" s="55">
        <v>79</v>
      </c>
      <c r="N260" s="55" t="s">
        <v>2237</v>
      </c>
      <c r="O260" s="85"/>
      <c r="P260" s="57" t="s">
        <v>2238</v>
      </c>
      <c r="Q260" s="18">
        <f t="shared" si="16"/>
        <v>0</v>
      </c>
      <c r="R260" s="49">
        <v>10</v>
      </c>
      <c r="S260" s="49">
        <f t="shared" si="17"/>
        <v>0</v>
      </c>
      <c r="U260" s="49">
        <f t="shared" si="18"/>
        <v>0</v>
      </c>
      <c r="V260" s="49">
        <f t="shared" si="19"/>
        <v>0</v>
      </c>
    </row>
    <row r="261" spans="1:22" s="49" customFormat="1">
      <c r="A261" s="56" t="s">
        <v>2795</v>
      </c>
      <c r="B261" s="55">
        <v>1</v>
      </c>
      <c r="C261" s="55" t="s">
        <v>2812</v>
      </c>
      <c r="D261" s="55" t="s">
        <v>2812</v>
      </c>
      <c r="E261" s="55" t="s">
        <v>2812</v>
      </c>
      <c r="F261" s="55" t="s">
        <v>2812</v>
      </c>
      <c r="G261" s="55" t="s">
        <v>2812</v>
      </c>
      <c r="H261" s="55" t="s">
        <v>2999</v>
      </c>
      <c r="I261" s="103">
        <v>3</v>
      </c>
      <c r="J261" s="103">
        <v>3</v>
      </c>
      <c r="K261" s="103">
        <v>6</v>
      </c>
      <c r="L261" s="55" t="s">
        <v>2948</v>
      </c>
      <c r="M261" s="55">
        <v>79</v>
      </c>
      <c r="N261" s="55" t="s">
        <v>2237</v>
      </c>
      <c r="O261" s="85"/>
      <c r="P261" s="57" t="s">
        <v>2239</v>
      </c>
      <c r="Q261" s="18">
        <f t="shared" si="16"/>
        <v>0</v>
      </c>
      <c r="R261" s="49">
        <v>10</v>
      </c>
      <c r="S261" s="49">
        <f t="shared" si="17"/>
        <v>0</v>
      </c>
      <c r="U261" s="49">
        <f t="shared" si="18"/>
        <v>0</v>
      </c>
      <c r="V261" s="49">
        <f t="shared" si="19"/>
        <v>0</v>
      </c>
    </row>
    <row r="262" spans="1:22" s="49" customFormat="1">
      <c r="A262" s="56" t="s">
        <v>2795</v>
      </c>
      <c r="B262" s="55">
        <v>1</v>
      </c>
      <c r="C262" s="55" t="s">
        <v>2812</v>
      </c>
      <c r="D262" s="55" t="s">
        <v>2812</v>
      </c>
      <c r="E262" s="55" t="s">
        <v>2812</v>
      </c>
      <c r="F262" s="55" t="s">
        <v>2812</v>
      </c>
      <c r="G262" s="55" t="s">
        <v>2812</v>
      </c>
      <c r="H262" s="55" t="s">
        <v>3000</v>
      </c>
      <c r="I262" s="103">
        <v>3</v>
      </c>
      <c r="J262" s="103">
        <v>3</v>
      </c>
      <c r="K262" s="103">
        <v>6</v>
      </c>
      <c r="L262" s="55" t="s">
        <v>2948</v>
      </c>
      <c r="M262" s="55">
        <v>79</v>
      </c>
      <c r="N262" s="55" t="s">
        <v>2237</v>
      </c>
      <c r="O262" s="85"/>
      <c r="P262" s="57" t="s">
        <v>2240</v>
      </c>
      <c r="Q262" s="18">
        <f t="shared" si="16"/>
        <v>0</v>
      </c>
      <c r="R262" s="49">
        <v>10</v>
      </c>
      <c r="S262" s="49">
        <f t="shared" si="17"/>
        <v>0</v>
      </c>
      <c r="U262" s="49">
        <f t="shared" si="18"/>
        <v>0</v>
      </c>
      <c r="V262" s="49">
        <f t="shared" si="19"/>
        <v>0</v>
      </c>
    </row>
    <row r="263" spans="1:22" s="49" customFormat="1">
      <c r="A263" s="56" t="s">
        <v>2795</v>
      </c>
      <c r="B263" s="55">
        <v>1</v>
      </c>
      <c r="C263" s="55" t="s">
        <v>2812</v>
      </c>
      <c r="D263" s="55" t="s">
        <v>2812</v>
      </c>
      <c r="E263" s="55" t="s">
        <v>2812</v>
      </c>
      <c r="F263" s="55" t="s">
        <v>2812</v>
      </c>
      <c r="G263" s="55" t="s">
        <v>2812</v>
      </c>
      <c r="H263" s="55" t="s">
        <v>3001</v>
      </c>
      <c r="I263" s="103">
        <v>3</v>
      </c>
      <c r="J263" s="103">
        <v>3</v>
      </c>
      <c r="K263" s="103">
        <v>6</v>
      </c>
      <c r="L263" s="55" t="s">
        <v>2948</v>
      </c>
      <c r="M263" s="55">
        <v>79</v>
      </c>
      <c r="N263" s="55" t="s">
        <v>2237</v>
      </c>
      <c r="O263" s="85"/>
      <c r="P263" s="57" t="s">
        <v>2241</v>
      </c>
      <c r="Q263" s="18">
        <f t="shared" si="16"/>
        <v>0</v>
      </c>
      <c r="R263" s="49">
        <v>10</v>
      </c>
      <c r="S263" s="49">
        <f t="shared" si="17"/>
        <v>0</v>
      </c>
      <c r="U263" s="49">
        <f t="shared" si="18"/>
        <v>0</v>
      </c>
      <c r="V263" s="49">
        <f t="shared" si="19"/>
        <v>0</v>
      </c>
    </row>
    <row r="264" spans="1:22" s="49" customFormat="1">
      <c r="A264" s="56" t="s">
        <v>2795</v>
      </c>
      <c r="B264" s="55">
        <v>1</v>
      </c>
      <c r="C264" s="55" t="s">
        <v>2812</v>
      </c>
      <c r="D264" s="55" t="s">
        <v>2812</v>
      </c>
      <c r="E264" s="55" t="s">
        <v>2812</v>
      </c>
      <c r="F264" s="55" t="s">
        <v>2812</v>
      </c>
      <c r="G264" s="55" t="s">
        <v>2812</v>
      </c>
      <c r="H264" s="55" t="s">
        <v>3002</v>
      </c>
      <c r="I264" s="103">
        <v>3</v>
      </c>
      <c r="J264" s="103">
        <v>3</v>
      </c>
      <c r="K264" s="103">
        <v>6</v>
      </c>
      <c r="L264" s="55" t="s">
        <v>2948</v>
      </c>
      <c r="M264" s="55">
        <v>79</v>
      </c>
      <c r="N264" s="55" t="s">
        <v>2237</v>
      </c>
      <c r="O264" s="85"/>
      <c r="P264" s="57" t="s">
        <v>2242</v>
      </c>
      <c r="Q264" s="18">
        <f t="shared" si="16"/>
        <v>0</v>
      </c>
      <c r="R264" s="49">
        <v>10</v>
      </c>
      <c r="S264" s="49">
        <f t="shared" si="17"/>
        <v>0</v>
      </c>
      <c r="U264" s="49">
        <f t="shared" si="18"/>
        <v>0</v>
      </c>
      <c r="V264" s="49">
        <f t="shared" si="19"/>
        <v>0</v>
      </c>
    </row>
    <row r="265" spans="1:22" s="49" customFormat="1">
      <c r="A265" s="99" t="s">
        <v>2795</v>
      </c>
      <c r="B265" s="60">
        <v>1</v>
      </c>
      <c r="C265" s="60" t="s">
        <v>2812</v>
      </c>
      <c r="D265" s="60" t="s">
        <v>2812</v>
      </c>
      <c r="E265" s="60" t="s">
        <v>2812</v>
      </c>
      <c r="F265" s="60" t="s">
        <v>2812</v>
      </c>
      <c r="G265" s="60" t="s">
        <v>2812</v>
      </c>
      <c r="H265" s="60" t="s">
        <v>1503</v>
      </c>
      <c r="I265" s="128" t="s">
        <v>33</v>
      </c>
      <c r="J265" s="128">
        <v>2</v>
      </c>
      <c r="K265" s="128">
        <v>15</v>
      </c>
      <c r="L265" s="60" t="s">
        <v>1504</v>
      </c>
      <c r="M265" s="60">
        <v>80</v>
      </c>
      <c r="N265" s="60" t="s">
        <v>923</v>
      </c>
      <c r="O265" s="87" t="s">
        <v>1474</v>
      </c>
      <c r="P265" s="100" t="s">
        <v>1506</v>
      </c>
      <c r="Q265" s="18">
        <f t="shared" si="16"/>
        <v>0</v>
      </c>
      <c r="R265" s="49">
        <v>10</v>
      </c>
      <c r="S265" s="49">
        <f t="shared" si="17"/>
        <v>0</v>
      </c>
      <c r="U265" s="49">
        <f t="shared" si="18"/>
        <v>0</v>
      </c>
      <c r="V265" s="49">
        <f t="shared" si="19"/>
        <v>0</v>
      </c>
    </row>
    <row r="266" spans="1:22" s="49" customFormat="1">
      <c r="A266" s="56" t="s">
        <v>2794</v>
      </c>
      <c r="B266" s="55">
        <v>2</v>
      </c>
      <c r="C266" s="55" t="s">
        <v>2812</v>
      </c>
      <c r="D266" s="55" t="s">
        <v>2812</v>
      </c>
      <c r="E266" s="55" t="s">
        <v>2812</v>
      </c>
      <c r="F266" s="55" t="s">
        <v>2812</v>
      </c>
      <c r="G266" s="55" t="s">
        <v>2801</v>
      </c>
      <c r="H266" s="55" t="s">
        <v>2344</v>
      </c>
      <c r="I266" s="103" t="s">
        <v>2345</v>
      </c>
      <c r="J266" s="103">
        <v>2</v>
      </c>
      <c r="K266" s="103">
        <v>15</v>
      </c>
      <c r="L266" s="55" t="s">
        <v>1504</v>
      </c>
      <c r="M266" s="55">
        <v>80</v>
      </c>
      <c r="N266" s="55" t="s">
        <v>1490</v>
      </c>
      <c r="O266" s="85"/>
      <c r="P266" s="57" t="s">
        <v>2346</v>
      </c>
      <c r="Q266" s="18">
        <f t="shared" si="16"/>
        <v>0</v>
      </c>
      <c r="R266" s="49">
        <v>30</v>
      </c>
      <c r="S266" s="49">
        <f t="shared" si="17"/>
        <v>0</v>
      </c>
      <c r="U266" s="49">
        <f t="shared" si="18"/>
        <v>0</v>
      </c>
      <c r="V266" s="49">
        <f t="shared" si="19"/>
        <v>0</v>
      </c>
    </row>
    <row r="267" spans="1:22" s="49" customFormat="1">
      <c r="A267" s="56" t="s">
        <v>2940</v>
      </c>
      <c r="B267" s="55">
        <v>3</v>
      </c>
      <c r="C267" s="55" t="s">
        <v>2812</v>
      </c>
      <c r="D267" s="55" t="s">
        <v>2812</v>
      </c>
      <c r="E267" s="55" t="s">
        <v>2801</v>
      </c>
      <c r="F267" s="55" t="s">
        <v>2801</v>
      </c>
      <c r="G267" s="55" t="s">
        <v>2801</v>
      </c>
      <c r="H267" s="55" t="s">
        <v>3003</v>
      </c>
      <c r="I267" s="103" t="s">
        <v>2790</v>
      </c>
      <c r="J267" s="103">
        <v>5</v>
      </c>
      <c r="K267" s="103">
        <v>15</v>
      </c>
      <c r="L267" s="55" t="s">
        <v>1504</v>
      </c>
      <c r="M267" s="55">
        <v>80</v>
      </c>
      <c r="N267" s="55" t="s">
        <v>1501</v>
      </c>
      <c r="O267" s="55"/>
      <c r="P267" s="57" t="s">
        <v>2919</v>
      </c>
      <c r="Q267" s="18">
        <f t="shared" si="16"/>
        <v>0</v>
      </c>
      <c r="R267" s="49" t="s">
        <v>3119</v>
      </c>
      <c r="S267" s="49">
        <f t="shared" si="17"/>
        <v>0</v>
      </c>
      <c r="U267" s="49">
        <f t="shared" si="18"/>
        <v>0</v>
      </c>
      <c r="V267" s="49">
        <f t="shared" si="19"/>
        <v>0</v>
      </c>
    </row>
    <row r="268" spans="1:22" s="49" customFormat="1">
      <c r="A268" s="56" t="s">
        <v>2794</v>
      </c>
      <c r="B268" s="55">
        <v>2</v>
      </c>
      <c r="C268" s="55" t="s">
        <v>2812</v>
      </c>
      <c r="D268" s="55" t="s">
        <v>2812</v>
      </c>
      <c r="E268" s="55" t="s">
        <v>2812</v>
      </c>
      <c r="F268" s="55" t="s">
        <v>2812</v>
      </c>
      <c r="G268" s="55" t="s">
        <v>2801</v>
      </c>
      <c r="H268" s="55" t="s">
        <v>2348</v>
      </c>
      <c r="I268" s="103" t="s">
        <v>2349</v>
      </c>
      <c r="J268" s="103">
        <v>3</v>
      </c>
      <c r="K268" s="103">
        <v>16</v>
      </c>
      <c r="L268" s="55" t="s">
        <v>1504</v>
      </c>
      <c r="M268" s="55">
        <v>80</v>
      </c>
      <c r="N268" s="55" t="s">
        <v>1490</v>
      </c>
      <c r="O268" s="85"/>
      <c r="P268" s="57" t="s">
        <v>2350</v>
      </c>
      <c r="Q268" s="18">
        <f t="shared" si="16"/>
        <v>0</v>
      </c>
      <c r="R268" s="49">
        <v>30</v>
      </c>
      <c r="S268" s="49">
        <f t="shared" si="17"/>
        <v>0</v>
      </c>
      <c r="U268" s="49">
        <f t="shared" si="18"/>
        <v>0</v>
      </c>
      <c r="V268" s="49">
        <f t="shared" si="19"/>
        <v>0</v>
      </c>
    </row>
    <row r="269" spans="1:22" s="49" customFormat="1">
      <c r="A269" s="56" t="s">
        <v>2798</v>
      </c>
      <c r="B269" s="55">
        <v>3</v>
      </c>
      <c r="C269" s="55" t="s">
        <v>2812</v>
      </c>
      <c r="D269" s="55" t="s">
        <v>2800</v>
      </c>
      <c r="E269" s="55" t="s">
        <v>2801</v>
      </c>
      <c r="F269" s="55" t="s">
        <v>2801</v>
      </c>
      <c r="G269" s="55" t="s">
        <v>2801</v>
      </c>
      <c r="H269" s="55" t="s">
        <v>3161</v>
      </c>
      <c r="I269" s="103" t="s">
        <v>2512</v>
      </c>
      <c r="J269" s="103">
        <v>3</v>
      </c>
      <c r="K269" s="103">
        <v>17</v>
      </c>
      <c r="L269" s="55" t="s">
        <v>1504</v>
      </c>
      <c r="M269" s="55">
        <v>80</v>
      </c>
      <c r="N269" s="55" t="s">
        <v>1501</v>
      </c>
      <c r="O269" s="85"/>
      <c r="P269" s="57" t="s">
        <v>2513</v>
      </c>
      <c r="Q269" s="18">
        <f t="shared" si="16"/>
        <v>1</v>
      </c>
      <c r="R269" s="49">
        <v>76</v>
      </c>
      <c r="S269" s="49">
        <f t="shared" si="17"/>
        <v>76</v>
      </c>
      <c r="U269" s="49">
        <f t="shared" si="18"/>
        <v>0</v>
      </c>
      <c r="V269" s="49">
        <f t="shared" si="19"/>
        <v>76</v>
      </c>
    </row>
    <row r="270" spans="1:22" s="49" customFormat="1">
      <c r="A270" s="56" t="s">
        <v>2794</v>
      </c>
      <c r="B270" s="55">
        <v>2</v>
      </c>
      <c r="C270" s="55" t="s">
        <v>2812</v>
      </c>
      <c r="D270" s="55" t="s">
        <v>2812</v>
      </c>
      <c r="E270" s="55" t="s">
        <v>2812</v>
      </c>
      <c r="F270" s="55" t="s">
        <v>2812</v>
      </c>
      <c r="G270" s="55" t="s">
        <v>2801</v>
      </c>
      <c r="H270" s="55" t="s">
        <v>2352</v>
      </c>
      <c r="I270" s="103" t="s">
        <v>2353</v>
      </c>
      <c r="J270" s="103">
        <v>4</v>
      </c>
      <c r="K270" s="103">
        <v>17</v>
      </c>
      <c r="L270" s="55" t="s">
        <v>1504</v>
      </c>
      <c r="M270" s="55">
        <v>80</v>
      </c>
      <c r="N270" s="55" t="s">
        <v>1501</v>
      </c>
      <c r="O270" s="85"/>
      <c r="P270" s="57" t="s">
        <v>2354</v>
      </c>
      <c r="Q270" s="18">
        <f t="shared" si="16"/>
        <v>0</v>
      </c>
      <c r="R270" s="49">
        <v>30</v>
      </c>
      <c r="S270" s="49">
        <f t="shared" si="17"/>
        <v>0</v>
      </c>
      <c r="U270" s="49">
        <f t="shared" si="18"/>
        <v>0</v>
      </c>
      <c r="V270" s="49">
        <f t="shared" si="19"/>
        <v>0</v>
      </c>
    </row>
    <row r="271" spans="1:22" s="49" customFormat="1">
      <c r="A271" s="56" t="s">
        <v>2794</v>
      </c>
      <c r="B271" s="55">
        <v>2</v>
      </c>
      <c r="C271" s="55" t="s">
        <v>2812</v>
      </c>
      <c r="D271" s="55" t="s">
        <v>2812</v>
      </c>
      <c r="E271" s="55" t="s">
        <v>2812</v>
      </c>
      <c r="F271" s="55" t="s">
        <v>2812</v>
      </c>
      <c r="G271" s="55" t="s">
        <v>2801</v>
      </c>
      <c r="H271" s="55" t="s">
        <v>2358</v>
      </c>
      <c r="I271" s="103" t="s">
        <v>2359</v>
      </c>
      <c r="J271" s="103">
        <v>2</v>
      </c>
      <c r="K271" s="103">
        <v>18</v>
      </c>
      <c r="L271" s="55" t="s">
        <v>1504</v>
      </c>
      <c r="M271" s="55">
        <v>80</v>
      </c>
      <c r="N271" s="55" t="s">
        <v>1490</v>
      </c>
      <c r="O271" s="85"/>
      <c r="P271" s="57" t="s">
        <v>2360</v>
      </c>
      <c r="Q271" s="18">
        <f t="shared" si="16"/>
        <v>0</v>
      </c>
      <c r="R271" s="49">
        <v>30</v>
      </c>
      <c r="S271" s="49">
        <f t="shared" si="17"/>
        <v>0</v>
      </c>
      <c r="U271" s="49">
        <f t="shared" si="18"/>
        <v>0</v>
      </c>
      <c r="V271" s="49">
        <f t="shared" si="19"/>
        <v>0</v>
      </c>
    </row>
    <row r="272" spans="1:22" s="49" customFormat="1">
      <c r="A272" s="56" t="s">
        <v>2913</v>
      </c>
      <c r="B272" s="55">
        <v>1</v>
      </c>
      <c r="C272" s="55" t="s">
        <v>2812</v>
      </c>
      <c r="D272" s="55" t="s">
        <v>2812</v>
      </c>
      <c r="E272" s="55" t="s">
        <v>2812</v>
      </c>
      <c r="F272" s="55" t="s">
        <v>2812</v>
      </c>
      <c r="G272" s="55" t="s">
        <v>2812</v>
      </c>
      <c r="H272" s="55" t="s">
        <v>3004</v>
      </c>
      <c r="I272" s="55" t="s">
        <v>1668</v>
      </c>
      <c r="J272" s="55">
        <v>3</v>
      </c>
      <c r="K272" s="103">
        <v>18</v>
      </c>
      <c r="L272" s="55" t="s">
        <v>1504</v>
      </c>
      <c r="M272" s="55">
        <v>80</v>
      </c>
      <c r="N272" s="103" t="s">
        <v>923</v>
      </c>
      <c r="O272" s="85" t="s">
        <v>1475</v>
      </c>
      <c r="P272" s="57" t="s">
        <v>1675</v>
      </c>
      <c r="Q272" s="18">
        <f t="shared" si="16"/>
        <v>0</v>
      </c>
      <c r="R272" s="49">
        <v>10</v>
      </c>
      <c r="S272" s="49">
        <f t="shared" si="17"/>
        <v>0</v>
      </c>
      <c r="U272" s="49">
        <f t="shared" si="18"/>
        <v>0</v>
      </c>
      <c r="V272" s="49">
        <f t="shared" si="19"/>
        <v>0</v>
      </c>
    </row>
    <row r="273" spans="1:22" s="49" customFormat="1" ht="14.25" thickBot="1">
      <c r="A273" s="53" t="s">
        <v>2794</v>
      </c>
      <c r="B273" s="54">
        <v>2</v>
      </c>
      <c r="C273" s="54" t="s">
        <v>2812</v>
      </c>
      <c r="D273" s="54" t="s">
        <v>2812</v>
      </c>
      <c r="E273" s="54" t="s">
        <v>2812</v>
      </c>
      <c r="F273" s="54" t="s">
        <v>2812</v>
      </c>
      <c r="G273" s="54" t="s">
        <v>2801</v>
      </c>
      <c r="H273" s="54" t="s">
        <v>2362</v>
      </c>
      <c r="I273" s="126" t="s">
        <v>2363</v>
      </c>
      <c r="J273" s="126">
        <v>3</v>
      </c>
      <c r="K273" s="126">
        <v>19</v>
      </c>
      <c r="L273" s="54" t="s">
        <v>1504</v>
      </c>
      <c r="M273" s="54">
        <v>80</v>
      </c>
      <c r="N273" s="54" t="s">
        <v>1501</v>
      </c>
      <c r="O273" s="93"/>
      <c r="P273" s="11" t="s">
        <v>2364</v>
      </c>
      <c r="Q273" s="18">
        <f t="shared" si="16"/>
        <v>0</v>
      </c>
      <c r="R273" s="49">
        <v>30</v>
      </c>
      <c r="S273" s="49">
        <f t="shared" si="17"/>
        <v>0</v>
      </c>
      <c r="U273" s="49">
        <f t="shared" si="18"/>
        <v>0</v>
      </c>
      <c r="V273" s="49">
        <f t="shared" si="19"/>
        <v>0</v>
      </c>
    </row>
    <row r="274" spans="1:22" s="49" customFormat="1">
      <c r="A274" s="150"/>
      <c r="B274" s="151"/>
      <c r="C274" s="151"/>
      <c r="D274" s="151"/>
      <c r="E274" s="151"/>
      <c r="F274" s="151"/>
      <c r="G274" s="152"/>
      <c r="H274" s="137" t="s">
        <v>2955</v>
      </c>
      <c r="I274" s="139" t="s">
        <v>2099</v>
      </c>
      <c r="J274" s="139"/>
      <c r="K274" s="139"/>
      <c r="L274" s="138" t="s">
        <v>2098</v>
      </c>
      <c r="M274" s="138"/>
      <c r="N274" s="138" t="s">
        <v>2094</v>
      </c>
      <c r="O274" s="140" t="s">
        <v>2101</v>
      </c>
      <c r="P274" s="141" t="s">
        <v>2102</v>
      </c>
      <c r="Q274" s="18" t="str">
        <f t="shared" si="16"/>
        <v/>
      </c>
      <c r="R274" s="49" t="s">
        <v>3119</v>
      </c>
      <c r="S274" s="49">
        <f t="shared" si="17"/>
        <v>0</v>
      </c>
      <c r="T274" s="49">
        <f>SUM(S274:S286)</f>
        <v>2427</v>
      </c>
      <c r="U274" s="49">
        <f t="shared" si="18"/>
        <v>0</v>
      </c>
      <c r="V274" s="49">
        <f t="shared" si="19"/>
        <v>0</v>
      </c>
    </row>
    <row r="275" spans="1:22" s="49" customFormat="1">
      <c r="A275" s="56" t="s">
        <v>2798</v>
      </c>
      <c r="B275" s="55">
        <v>3</v>
      </c>
      <c r="C275" s="55" t="s">
        <v>2812</v>
      </c>
      <c r="D275" s="55" t="s">
        <v>2800</v>
      </c>
      <c r="E275" s="55" t="s">
        <v>2801</v>
      </c>
      <c r="F275" s="55" t="s">
        <v>2801</v>
      </c>
      <c r="G275" s="55" t="s">
        <v>2801</v>
      </c>
      <c r="H275" s="55" t="s">
        <v>3162</v>
      </c>
      <c r="I275" s="103" t="s">
        <v>1183</v>
      </c>
      <c r="J275" s="103">
        <v>3</v>
      </c>
      <c r="K275" s="103">
        <v>1</v>
      </c>
      <c r="L275" s="55" t="s">
        <v>282</v>
      </c>
      <c r="M275" s="55">
        <v>81</v>
      </c>
      <c r="N275" s="55" t="s">
        <v>1493</v>
      </c>
      <c r="O275" s="85"/>
      <c r="P275" s="57" t="s">
        <v>2663</v>
      </c>
      <c r="Q275" s="18">
        <f t="shared" si="16"/>
        <v>1</v>
      </c>
      <c r="R275" s="49">
        <v>69</v>
      </c>
      <c r="S275" s="49">
        <f t="shared" si="17"/>
        <v>69</v>
      </c>
      <c r="U275" s="49">
        <f t="shared" si="18"/>
        <v>0</v>
      </c>
      <c r="V275" s="49">
        <f t="shared" si="19"/>
        <v>69</v>
      </c>
    </row>
    <row r="276" spans="1:22" s="49" customFormat="1">
      <c r="A276" s="56" t="s">
        <v>2799</v>
      </c>
      <c r="B276" s="55">
        <v>4</v>
      </c>
      <c r="C276" s="55" t="s">
        <v>2812</v>
      </c>
      <c r="D276" s="55" t="s">
        <v>2801</v>
      </c>
      <c r="E276" s="55" t="s">
        <v>2801</v>
      </c>
      <c r="F276" s="55" t="s">
        <v>2801</v>
      </c>
      <c r="G276" s="55" t="s">
        <v>2801</v>
      </c>
      <c r="H276" s="55" t="s">
        <v>3005</v>
      </c>
      <c r="I276" s="103" t="s">
        <v>1000</v>
      </c>
      <c r="J276" s="103">
        <v>4</v>
      </c>
      <c r="K276" s="103">
        <v>2</v>
      </c>
      <c r="L276" s="55" t="s">
        <v>282</v>
      </c>
      <c r="M276" s="55">
        <v>81</v>
      </c>
      <c r="N276" s="55" t="s">
        <v>923</v>
      </c>
      <c r="O276" s="85" t="s">
        <v>1474</v>
      </c>
      <c r="P276" s="57" t="s">
        <v>2576</v>
      </c>
      <c r="Q276" s="18">
        <f t="shared" si="16"/>
        <v>0</v>
      </c>
      <c r="R276" s="49" t="s">
        <v>3119</v>
      </c>
      <c r="S276" s="49">
        <f t="shared" si="17"/>
        <v>0</v>
      </c>
      <c r="U276" s="49">
        <f t="shared" si="18"/>
        <v>0</v>
      </c>
      <c r="V276" s="49">
        <f t="shared" si="19"/>
        <v>0</v>
      </c>
    </row>
    <row r="277" spans="1:22" s="49" customFormat="1">
      <c r="A277" s="56" t="s">
        <v>2798</v>
      </c>
      <c r="B277" s="55">
        <v>3</v>
      </c>
      <c r="C277" s="55" t="s">
        <v>2812</v>
      </c>
      <c r="D277" s="55" t="s">
        <v>2812</v>
      </c>
      <c r="E277" s="55" t="s">
        <v>2801</v>
      </c>
      <c r="F277" s="55" t="s">
        <v>2801</v>
      </c>
      <c r="G277" s="55" t="s">
        <v>2801</v>
      </c>
      <c r="H277" s="55" t="s">
        <v>2777</v>
      </c>
      <c r="I277" s="103" t="s">
        <v>1191</v>
      </c>
      <c r="J277" s="103">
        <v>3</v>
      </c>
      <c r="K277" s="103">
        <v>3</v>
      </c>
      <c r="L277" s="55" t="s">
        <v>282</v>
      </c>
      <c r="M277" s="55">
        <v>81</v>
      </c>
      <c r="N277" s="55" t="s">
        <v>1490</v>
      </c>
      <c r="O277" s="85"/>
      <c r="P277" s="57" t="s">
        <v>2693</v>
      </c>
      <c r="Q277" s="18">
        <f t="shared" si="16"/>
        <v>0</v>
      </c>
      <c r="R277" s="49" t="s">
        <v>3119</v>
      </c>
      <c r="S277" s="49">
        <f t="shared" si="17"/>
        <v>0</v>
      </c>
      <c r="U277" s="49">
        <f t="shared" si="18"/>
        <v>0</v>
      </c>
      <c r="V277" s="49">
        <f t="shared" si="19"/>
        <v>0</v>
      </c>
    </row>
    <row r="278" spans="1:22" s="49" customFormat="1">
      <c r="A278" s="56" t="s">
        <v>2799</v>
      </c>
      <c r="B278" s="55">
        <v>4</v>
      </c>
      <c r="C278" s="55" t="s">
        <v>2812</v>
      </c>
      <c r="D278" s="55" t="s">
        <v>2801</v>
      </c>
      <c r="E278" s="55" t="s">
        <v>2801</v>
      </c>
      <c r="F278" s="55" t="s">
        <v>2801</v>
      </c>
      <c r="G278" s="55" t="s">
        <v>2801</v>
      </c>
      <c r="H278" s="55" t="s">
        <v>3006</v>
      </c>
      <c r="I278" s="103" t="s">
        <v>1367</v>
      </c>
      <c r="J278" s="103">
        <v>4</v>
      </c>
      <c r="K278" s="103">
        <v>5</v>
      </c>
      <c r="L278" s="55" t="s">
        <v>282</v>
      </c>
      <c r="M278" s="55">
        <v>81</v>
      </c>
      <c r="N278" s="55" t="s">
        <v>923</v>
      </c>
      <c r="O278" s="85" t="s">
        <v>1482</v>
      </c>
      <c r="P278" s="57" t="s">
        <v>2639</v>
      </c>
      <c r="Q278" s="18">
        <f t="shared" si="16"/>
        <v>0</v>
      </c>
      <c r="R278" s="49" t="s">
        <v>3119</v>
      </c>
      <c r="S278" s="49">
        <f t="shared" si="17"/>
        <v>0</v>
      </c>
      <c r="U278" s="49">
        <f t="shared" si="18"/>
        <v>0</v>
      </c>
      <c r="V278" s="49">
        <f t="shared" si="19"/>
        <v>0</v>
      </c>
    </row>
    <row r="279" spans="1:22" s="49" customFormat="1">
      <c r="A279" s="56" t="s">
        <v>2795</v>
      </c>
      <c r="B279" s="55">
        <v>1</v>
      </c>
      <c r="C279" s="55" t="s">
        <v>2812</v>
      </c>
      <c r="D279" s="55" t="s">
        <v>2812</v>
      </c>
      <c r="E279" s="55" t="s">
        <v>2812</v>
      </c>
      <c r="F279" s="55" t="s">
        <v>2812</v>
      </c>
      <c r="G279" s="55" t="s">
        <v>2812</v>
      </c>
      <c r="H279" s="55" t="s">
        <v>2752</v>
      </c>
      <c r="I279" s="103"/>
      <c r="J279" s="103">
        <v>0</v>
      </c>
      <c r="K279" s="103">
        <v>7</v>
      </c>
      <c r="L279" s="55" t="s">
        <v>282</v>
      </c>
      <c r="M279" s="55">
        <v>81</v>
      </c>
      <c r="N279" s="55" t="s">
        <v>249</v>
      </c>
      <c r="O279" s="85"/>
      <c r="P279" s="57" t="s">
        <v>2769</v>
      </c>
      <c r="Q279" s="18">
        <f t="shared" si="16"/>
        <v>0</v>
      </c>
      <c r="R279" s="49">
        <v>10</v>
      </c>
      <c r="S279" s="49">
        <f t="shared" si="17"/>
        <v>0</v>
      </c>
      <c r="U279" s="49">
        <f t="shared" si="18"/>
        <v>0</v>
      </c>
      <c r="V279" s="49">
        <f t="shared" si="19"/>
        <v>0</v>
      </c>
    </row>
    <row r="280" spans="1:22" s="49" customFormat="1" ht="14.25" thickBot="1">
      <c r="A280" s="53" t="s">
        <v>2798</v>
      </c>
      <c r="B280" s="54">
        <v>3</v>
      </c>
      <c r="C280" s="54" t="s">
        <v>2812</v>
      </c>
      <c r="D280" s="54" t="s">
        <v>2812</v>
      </c>
      <c r="E280" s="54" t="s">
        <v>2801</v>
      </c>
      <c r="F280" s="54" t="s">
        <v>2801</v>
      </c>
      <c r="G280" s="54" t="s">
        <v>2801</v>
      </c>
      <c r="H280" s="54" t="s">
        <v>3007</v>
      </c>
      <c r="I280" s="126"/>
      <c r="J280" s="126">
        <v>0</v>
      </c>
      <c r="K280" s="126">
        <v>7</v>
      </c>
      <c r="L280" s="54" t="s">
        <v>282</v>
      </c>
      <c r="M280" s="54">
        <v>81</v>
      </c>
      <c r="N280" s="54" t="s">
        <v>249</v>
      </c>
      <c r="O280" s="93"/>
      <c r="P280" s="11"/>
      <c r="Q280" s="18">
        <f t="shared" si="16"/>
        <v>0</v>
      </c>
      <c r="R280" s="49" t="s">
        <v>3119</v>
      </c>
      <c r="S280" s="49">
        <f t="shared" si="17"/>
        <v>0</v>
      </c>
      <c r="U280" s="49">
        <f t="shared" si="18"/>
        <v>0</v>
      </c>
      <c r="V280" s="49">
        <f t="shared" si="19"/>
        <v>0</v>
      </c>
    </row>
    <row r="281" spans="1:22" s="49" customFormat="1">
      <c r="A281" s="50" t="s">
        <v>2794</v>
      </c>
      <c r="B281" s="51">
        <v>2</v>
      </c>
      <c r="C281" s="51"/>
      <c r="D281" s="51" t="s">
        <v>2800</v>
      </c>
      <c r="E281" s="51" t="s">
        <v>2800</v>
      </c>
      <c r="F281" s="51" t="s">
        <v>2800</v>
      </c>
      <c r="G281" s="51" t="s">
        <v>2801</v>
      </c>
      <c r="H281" s="51" t="s">
        <v>2474</v>
      </c>
      <c r="I281" s="129" t="s">
        <v>1006</v>
      </c>
      <c r="J281" s="129">
        <v>2</v>
      </c>
      <c r="K281" s="129">
        <v>3</v>
      </c>
      <c r="L281" s="51" t="s">
        <v>373</v>
      </c>
      <c r="M281" s="51">
        <v>82</v>
      </c>
      <c r="N281" s="51" t="s">
        <v>923</v>
      </c>
      <c r="O281" s="92" t="s">
        <v>1473</v>
      </c>
      <c r="P281" s="52" t="s">
        <v>2475</v>
      </c>
      <c r="Q281" s="18">
        <f t="shared" si="16"/>
        <v>4</v>
      </c>
      <c r="R281" s="49">
        <v>30</v>
      </c>
      <c r="S281" s="49">
        <f t="shared" si="17"/>
        <v>120</v>
      </c>
      <c r="U281" s="49">
        <f t="shared" si="18"/>
        <v>120</v>
      </c>
      <c r="V281" s="49">
        <f t="shared" si="19"/>
        <v>0</v>
      </c>
    </row>
    <row r="282" spans="1:22" s="49" customFormat="1" ht="14.25" thickBot="1">
      <c r="A282" s="53" t="s">
        <v>2794</v>
      </c>
      <c r="B282" s="54">
        <v>2</v>
      </c>
      <c r="C282" s="54" t="s">
        <v>2812</v>
      </c>
      <c r="D282" s="54" t="s">
        <v>2800</v>
      </c>
      <c r="E282" s="54" t="s">
        <v>2800</v>
      </c>
      <c r="F282" s="54" t="s">
        <v>2800</v>
      </c>
      <c r="G282" s="54" t="s">
        <v>2801</v>
      </c>
      <c r="H282" s="54" t="s">
        <v>2313</v>
      </c>
      <c r="I282" s="126" t="s">
        <v>2314</v>
      </c>
      <c r="J282" s="126">
        <v>3</v>
      </c>
      <c r="K282" s="126">
        <v>4</v>
      </c>
      <c r="L282" s="54" t="s">
        <v>373</v>
      </c>
      <c r="M282" s="54">
        <v>82</v>
      </c>
      <c r="N282" s="54" t="s">
        <v>2762</v>
      </c>
      <c r="O282" s="93" t="s">
        <v>1483</v>
      </c>
      <c r="P282" s="11" t="s">
        <v>2315</v>
      </c>
      <c r="Q282" s="18">
        <f t="shared" si="16"/>
        <v>3</v>
      </c>
      <c r="R282" s="49">
        <v>30</v>
      </c>
      <c r="S282" s="49">
        <f t="shared" si="17"/>
        <v>90</v>
      </c>
      <c r="U282" s="49">
        <f t="shared" si="18"/>
        <v>90</v>
      </c>
      <c r="V282" s="49">
        <f t="shared" si="19"/>
        <v>0</v>
      </c>
    </row>
    <row r="283" spans="1:22" s="49" customFormat="1">
      <c r="A283" s="99" t="s">
        <v>2794</v>
      </c>
      <c r="B283" s="60">
        <v>2</v>
      </c>
      <c r="C283" s="60" t="s">
        <v>2812</v>
      </c>
      <c r="D283" s="60" t="s">
        <v>2812</v>
      </c>
      <c r="E283" s="60" t="s">
        <v>2812</v>
      </c>
      <c r="F283" s="60" t="s">
        <v>2812</v>
      </c>
      <c r="G283" s="60" t="s">
        <v>2801</v>
      </c>
      <c r="H283" s="60" t="s">
        <v>2270</v>
      </c>
      <c r="I283" s="128" t="s">
        <v>979</v>
      </c>
      <c r="J283" s="128">
        <v>3</v>
      </c>
      <c r="K283" s="128">
        <v>1</v>
      </c>
      <c r="L283" s="60" t="s">
        <v>374</v>
      </c>
      <c r="M283" s="60">
        <v>83</v>
      </c>
      <c r="N283" s="60" t="s">
        <v>1493</v>
      </c>
      <c r="O283" s="87"/>
      <c r="P283" s="100" t="s">
        <v>2285</v>
      </c>
      <c r="Q283" s="18">
        <f t="shared" si="16"/>
        <v>0</v>
      </c>
      <c r="R283" s="49">
        <v>30</v>
      </c>
      <c r="S283" s="49">
        <f t="shared" si="17"/>
        <v>0</v>
      </c>
      <c r="U283" s="49">
        <f t="shared" si="18"/>
        <v>0</v>
      </c>
      <c r="V283" s="49">
        <f t="shared" si="19"/>
        <v>0</v>
      </c>
    </row>
    <row r="284" spans="1:22" s="49" customFormat="1">
      <c r="A284" s="56" t="s">
        <v>2798</v>
      </c>
      <c r="B284" s="55">
        <v>3</v>
      </c>
      <c r="C284" s="55" t="s">
        <v>2812</v>
      </c>
      <c r="D284" s="55" t="s">
        <v>2812</v>
      </c>
      <c r="E284" s="55" t="s">
        <v>2801</v>
      </c>
      <c r="F284" s="55" t="s">
        <v>2801</v>
      </c>
      <c r="G284" s="55" t="s">
        <v>2801</v>
      </c>
      <c r="H284" s="55" t="s">
        <v>3008</v>
      </c>
      <c r="I284" s="103" t="s">
        <v>4</v>
      </c>
      <c r="J284" s="103">
        <v>1</v>
      </c>
      <c r="K284" s="103">
        <v>2</v>
      </c>
      <c r="L284" s="55" t="s">
        <v>374</v>
      </c>
      <c r="M284" s="55">
        <v>83</v>
      </c>
      <c r="N284" s="55" t="s">
        <v>2762</v>
      </c>
      <c r="O284" s="85" t="s">
        <v>1473</v>
      </c>
      <c r="P284" s="57" t="s">
        <v>2536</v>
      </c>
      <c r="Q284" s="18">
        <f t="shared" si="16"/>
        <v>0</v>
      </c>
      <c r="R284" s="49" t="s">
        <v>3119</v>
      </c>
      <c r="S284" s="49">
        <f t="shared" si="17"/>
        <v>0</v>
      </c>
      <c r="U284" s="49">
        <f t="shared" si="18"/>
        <v>0</v>
      </c>
      <c r="V284" s="49">
        <f t="shared" si="19"/>
        <v>0</v>
      </c>
    </row>
    <row r="285" spans="1:22" s="49" customFormat="1">
      <c r="A285" s="56" t="s">
        <v>2798</v>
      </c>
      <c r="B285" s="55">
        <v>3</v>
      </c>
      <c r="C285" s="55" t="s">
        <v>2812</v>
      </c>
      <c r="D285" s="55" t="s">
        <v>2812</v>
      </c>
      <c r="E285" s="55" t="s">
        <v>2801</v>
      </c>
      <c r="F285" s="55" t="s">
        <v>2801</v>
      </c>
      <c r="G285" s="55" t="s">
        <v>2801</v>
      </c>
      <c r="H285" s="55" t="s">
        <v>3009</v>
      </c>
      <c r="I285" s="103" t="s">
        <v>1024</v>
      </c>
      <c r="J285" s="103">
        <v>2</v>
      </c>
      <c r="K285" s="103">
        <v>5</v>
      </c>
      <c r="L285" s="55" t="s">
        <v>374</v>
      </c>
      <c r="M285" s="55">
        <v>83</v>
      </c>
      <c r="N285" s="55" t="s">
        <v>1490</v>
      </c>
      <c r="O285" s="85"/>
      <c r="P285" s="57" t="s">
        <v>2738</v>
      </c>
      <c r="Q285" s="18">
        <f t="shared" si="16"/>
        <v>0</v>
      </c>
      <c r="R285" s="49" t="s">
        <v>3119</v>
      </c>
      <c r="S285" s="49">
        <f t="shared" si="17"/>
        <v>0</v>
      </c>
      <c r="U285" s="49">
        <f t="shared" si="18"/>
        <v>0</v>
      </c>
      <c r="V285" s="49">
        <f t="shared" si="19"/>
        <v>0</v>
      </c>
    </row>
    <row r="286" spans="1:22" s="49" customFormat="1" ht="14.25" thickBot="1">
      <c r="A286" s="53" t="s">
        <v>2798</v>
      </c>
      <c r="B286" s="54">
        <v>3</v>
      </c>
      <c r="C286" s="54"/>
      <c r="D286" s="54" t="s">
        <v>2800</v>
      </c>
      <c r="E286" s="54" t="s">
        <v>2801</v>
      </c>
      <c r="F286" s="54" t="s">
        <v>2801</v>
      </c>
      <c r="G286" s="54" t="s">
        <v>2801</v>
      </c>
      <c r="H286" s="54" t="s">
        <v>3163</v>
      </c>
      <c r="I286" s="126"/>
      <c r="J286" s="126">
        <v>0</v>
      </c>
      <c r="K286" s="126">
        <v>7</v>
      </c>
      <c r="L286" s="54" t="s">
        <v>374</v>
      </c>
      <c r="M286" s="54">
        <v>83</v>
      </c>
      <c r="N286" s="54" t="s">
        <v>249</v>
      </c>
      <c r="O286" s="93"/>
      <c r="P286" s="11"/>
      <c r="Q286" s="18">
        <f t="shared" si="16"/>
        <v>2</v>
      </c>
      <c r="R286" s="49">
        <v>1074</v>
      </c>
      <c r="S286" s="49">
        <f t="shared" si="17"/>
        <v>2148</v>
      </c>
      <c r="U286" s="49">
        <f t="shared" si="18"/>
        <v>0</v>
      </c>
      <c r="V286" s="49">
        <f t="shared" si="19"/>
        <v>2148</v>
      </c>
    </row>
    <row r="287" spans="1:22" s="49" customFormat="1">
      <c r="A287" s="150"/>
      <c r="B287" s="151"/>
      <c r="C287" s="151"/>
      <c r="D287" s="151"/>
      <c r="E287" s="151"/>
      <c r="F287" s="151"/>
      <c r="G287" s="152"/>
      <c r="H287" s="137" t="s">
        <v>2955</v>
      </c>
      <c r="I287" s="139" t="s">
        <v>2099</v>
      </c>
      <c r="J287" s="139"/>
      <c r="K287" s="139"/>
      <c r="L287" s="138" t="s">
        <v>2098</v>
      </c>
      <c r="M287" s="138"/>
      <c r="N287" s="138" t="s">
        <v>2094</v>
      </c>
      <c r="O287" s="140" t="s">
        <v>2101</v>
      </c>
      <c r="P287" s="141" t="s">
        <v>2102</v>
      </c>
      <c r="Q287" s="18" t="str">
        <f t="shared" si="16"/>
        <v/>
      </c>
      <c r="R287" s="49" t="s">
        <v>3119</v>
      </c>
      <c r="S287" s="49">
        <f t="shared" si="17"/>
        <v>0</v>
      </c>
      <c r="T287" s="49">
        <f>SUM(S287:S318)</f>
        <v>340</v>
      </c>
      <c r="U287" s="49">
        <f t="shared" si="18"/>
        <v>0</v>
      </c>
      <c r="V287" s="49">
        <f t="shared" si="19"/>
        <v>0</v>
      </c>
    </row>
    <row r="288" spans="1:22" s="49" customFormat="1">
      <c r="A288" s="56" t="s">
        <v>2795</v>
      </c>
      <c r="B288" s="55">
        <v>1</v>
      </c>
      <c r="C288" s="55" t="s">
        <v>2812</v>
      </c>
      <c r="D288" s="55" t="s">
        <v>2812</v>
      </c>
      <c r="E288" s="55" t="s">
        <v>2812</v>
      </c>
      <c r="F288" s="55" t="s">
        <v>2812</v>
      </c>
      <c r="G288" s="55" t="s">
        <v>2812</v>
      </c>
      <c r="H288" s="55" t="s">
        <v>3010</v>
      </c>
      <c r="I288" s="103" t="s">
        <v>979</v>
      </c>
      <c r="J288" s="103">
        <v>3</v>
      </c>
      <c r="K288" s="103">
        <v>1</v>
      </c>
      <c r="L288" s="55" t="s">
        <v>283</v>
      </c>
      <c r="M288" s="55">
        <v>84</v>
      </c>
      <c r="N288" s="55" t="s">
        <v>1490</v>
      </c>
      <c r="O288" s="85"/>
      <c r="P288" s="57" t="s">
        <v>2136</v>
      </c>
      <c r="Q288" s="18">
        <f t="shared" si="16"/>
        <v>0</v>
      </c>
      <c r="R288" s="49">
        <v>10</v>
      </c>
      <c r="S288" s="49">
        <f t="shared" si="17"/>
        <v>0</v>
      </c>
      <c r="U288" s="49">
        <f t="shared" si="18"/>
        <v>0</v>
      </c>
      <c r="V288" s="49">
        <f t="shared" si="19"/>
        <v>0</v>
      </c>
    </row>
    <row r="289" spans="1:22" s="49" customFormat="1">
      <c r="A289" s="56" t="s">
        <v>2794</v>
      </c>
      <c r="B289" s="55">
        <v>2</v>
      </c>
      <c r="C289" s="55" t="s">
        <v>2812</v>
      </c>
      <c r="D289" s="55" t="s">
        <v>2812</v>
      </c>
      <c r="E289" s="55" t="s">
        <v>2812</v>
      </c>
      <c r="F289" s="55" t="s">
        <v>2812</v>
      </c>
      <c r="G289" s="55" t="s">
        <v>2801</v>
      </c>
      <c r="H289" s="55" t="s">
        <v>2296</v>
      </c>
      <c r="I289" s="103" t="s">
        <v>3</v>
      </c>
      <c r="J289" s="103">
        <v>1</v>
      </c>
      <c r="K289" s="103">
        <v>3</v>
      </c>
      <c r="L289" s="55" t="s">
        <v>283</v>
      </c>
      <c r="M289" s="55">
        <v>84</v>
      </c>
      <c r="N289" s="55" t="s">
        <v>1501</v>
      </c>
      <c r="O289" s="85"/>
      <c r="P289" s="57" t="s">
        <v>2297</v>
      </c>
      <c r="Q289" s="18">
        <f t="shared" si="16"/>
        <v>0</v>
      </c>
      <c r="R289" s="49">
        <v>30</v>
      </c>
      <c r="S289" s="49">
        <f t="shared" si="17"/>
        <v>0</v>
      </c>
      <c r="U289" s="49">
        <f t="shared" si="18"/>
        <v>0</v>
      </c>
      <c r="V289" s="49">
        <f t="shared" si="19"/>
        <v>0</v>
      </c>
    </row>
    <row r="290" spans="1:22" s="49" customFormat="1">
      <c r="A290" s="56" t="s">
        <v>2795</v>
      </c>
      <c r="B290" s="55">
        <v>1</v>
      </c>
      <c r="C290" s="55" t="s">
        <v>2812</v>
      </c>
      <c r="D290" s="55" t="s">
        <v>2812</v>
      </c>
      <c r="E290" s="55" t="s">
        <v>2812</v>
      </c>
      <c r="F290" s="55" t="s">
        <v>2812</v>
      </c>
      <c r="G290" s="55" t="s">
        <v>2812</v>
      </c>
      <c r="H290" s="55" t="s">
        <v>3011</v>
      </c>
      <c r="I290" s="103" t="s">
        <v>1006</v>
      </c>
      <c r="J290" s="103">
        <v>2</v>
      </c>
      <c r="K290" s="103">
        <v>3</v>
      </c>
      <c r="L290" s="55" t="s">
        <v>283</v>
      </c>
      <c r="M290" s="55">
        <v>84</v>
      </c>
      <c r="N290" s="55" t="s">
        <v>923</v>
      </c>
      <c r="O290" s="85" t="s">
        <v>1474</v>
      </c>
      <c r="P290" s="57" t="s">
        <v>2188</v>
      </c>
      <c r="Q290" s="18">
        <f t="shared" si="16"/>
        <v>0</v>
      </c>
      <c r="R290" s="49">
        <v>10</v>
      </c>
      <c r="S290" s="49">
        <f t="shared" si="17"/>
        <v>0</v>
      </c>
      <c r="U290" s="49">
        <f t="shared" si="18"/>
        <v>0</v>
      </c>
      <c r="V290" s="49">
        <f t="shared" si="19"/>
        <v>0</v>
      </c>
    </row>
    <row r="291" spans="1:22" s="49" customFormat="1">
      <c r="A291" s="56" t="s">
        <v>2795</v>
      </c>
      <c r="B291" s="55">
        <v>1</v>
      </c>
      <c r="C291" s="55" t="s">
        <v>2812</v>
      </c>
      <c r="D291" s="55" t="s">
        <v>2812</v>
      </c>
      <c r="E291" s="55" t="s">
        <v>2812</v>
      </c>
      <c r="F291" s="55" t="s">
        <v>2812</v>
      </c>
      <c r="G291" s="55" t="s">
        <v>2812</v>
      </c>
      <c r="H291" s="55" t="s">
        <v>2124</v>
      </c>
      <c r="I291" s="103" t="s">
        <v>1011</v>
      </c>
      <c r="J291" s="103">
        <v>5</v>
      </c>
      <c r="K291" s="103">
        <v>3</v>
      </c>
      <c r="L291" s="55" t="s">
        <v>283</v>
      </c>
      <c r="M291" s="55">
        <v>84</v>
      </c>
      <c r="N291" s="55" t="s">
        <v>1490</v>
      </c>
      <c r="O291" s="85"/>
      <c r="P291" s="57" t="s">
        <v>2198</v>
      </c>
      <c r="Q291" s="18">
        <f t="shared" si="16"/>
        <v>0</v>
      </c>
      <c r="R291" s="49">
        <v>10</v>
      </c>
      <c r="S291" s="49">
        <f t="shared" si="17"/>
        <v>0</v>
      </c>
      <c r="U291" s="49">
        <f t="shared" si="18"/>
        <v>0</v>
      </c>
      <c r="V291" s="49">
        <f t="shared" si="19"/>
        <v>0</v>
      </c>
    </row>
    <row r="292" spans="1:22" s="49" customFormat="1">
      <c r="A292" s="56" t="s">
        <v>2798</v>
      </c>
      <c r="B292" s="55">
        <v>3</v>
      </c>
      <c r="C292" s="55" t="s">
        <v>2812</v>
      </c>
      <c r="D292" s="55" t="s">
        <v>2812</v>
      </c>
      <c r="E292" s="55" t="s">
        <v>2801</v>
      </c>
      <c r="F292" s="55" t="s">
        <v>2801</v>
      </c>
      <c r="G292" s="55" t="s">
        <v>2801</v>
      </c>
      <c r="H292" s="55" t="s">
        <v>2778</v>
      </c>
      <c r="I292" s="103" t="s">
        <v>2779</v>
      </c>
      <c r="J292" s="103">
        <v>1</v>
      </c>
      <c r="K292" s="103">
        <v>4</v>
      </c>
      <c r="L292" s="55" t="s">
        <v>283</v>
      </c>
      <c r="M292" s="55">
        <v>84</v>
      </c>
      <c r="N292" s="55" t="s">
        <v>1501</v>
      </c>
      <c r="O292" s="85"/>
      <c r="P292" s="57" t="s">
        <v>2611</v>
      </c>
      <c r="Q292" s="18">
        <f t="shared" si="16"/>
        <v>0</v>
      </c>
      <c r="R292" s="49" t="s">
        <v>3119</v>
      </c>
      <c r="S292" s="49">
        <f t="shared" si="17"/>
        <v>0</v>
      </c>
      <c r="U292" s="49">
        <f t="shared" si="18"/>
        <v>0</v>
      </c>
      <c r="V292" s="49">
        <f t="shared" si="19"/>
        <v>0</v>
      </c>
    </row>
    <row r="293" spans="1:22" s="49" customFormat="1">
      <c r="A293" s="56" t="s">
        <v>2795</v>
      </c>
      <c r="B293" s="55">
        <v>1</v>
      </c>
      <c r="C293" s="55" t="s">
        <v>2812</v>
      </c>
      <c r="D293" s="55" t="s">
        <v>2812</v>
      </c>
      <c r="E293" s="55" t="s">
        <v>2812</v>
      </c>
      <c r="F293" s="55" t="s">
        <v>2812</v>
      </c>
      <c r="G293" s="55" t="s">
        <v>2812</v>
      </c>
      <c r="H293" s="55" t="s">
        <v>3012</v>
      </c>
      <c r="I293" s="103" t="s">
        <v>1014</v>
      </c>
      <c r="J293" s="103">
        <v>3</v>
      </c>
      <c r="K293" s="103">
        <v>4</v>
      </c>
      <c r="L293" s="55" t="s">
        <v>283</v>
      </c>
      <c r="M293" s="55">
        <v>84</v>
      </c>
      <c r="N293" s="55" t="s">
        <v>1490</v>
      </c>
      <c r="O293" s="85"/>
      <c r="P293" s="57" t="s">
        <v>2209</v>
      </c>
      <c r="Q293" s="18">
        <f t="shared" si="16"/>
        <v>0</v>
      </c>
      <c r="R293" s="49">
        <v>10</v>
      </c>
      <c r="S293" s="49">
        <f t="shared" si="17"/>
        <v>0</v>
      </c>
      <c r="U293" s="49">
        <f t="shared" si="18"/>
        <v>0</v>
      </c>
      <c r="V293" s="49">
        <f t="shared" si="19"/>
        <v>0</v>
      </c>
    </row>
    <row r="294" spans="1:22" s="49" customFormat="1">
      <c r="A294" s="56" t="s">
        <v>2795</v>
      </c>
      <c r="B294" s="55">
        <v>1</v>
      </c>
      <c r="C294" s="55" t="s">
        <v>2812</v>
      </c>
      <c r="D294" s="55" t="s">
        <v>2812</v>
      </c>
      <c r="E294" s="55" t="s">
        <v>2812</v>
      </c>
      <c r="F294" s="55" t="s">
        <v>2812</v>
      </c>
      <c r="G294" s="55" t="s">
        <v>2812</v>
      </c>
      <c r="H294" s="55" t="s">
        <v>2106</v>
      </c>
      <c r="I294" s="103" t="s">
        <v>1016</v>
      </c>
      <c r="J294" s="103">
        <v>4</v>
      </c>
      <c r="K294" s="103">
        <v>4</v>
      </c>
      <c r="L294" s="55" t="s">
        <v>283</v>
      </c>
      <c r="M294" s="55">
        <v>84</v>
      </c>
      <c r="N294" s="55" t="s">
        <v>1490</v>
      </c>
      <c r="O294" s="85"/>
      <c r="P294" s="57" t="s">
        <v>2211</v>
      </c>
      <c r="Q294" s="18">
        <f t="shared" si="16"/>
        <v>0</v>
      </c>
      <c r="R294" s="49">
        <v>10</v>
      </c>
      <c r="S294" s="49">
        <f t="shared" si="17"/>
        <v>0</v>
      </c>
      <c r="U294" s="49">
        <f t="shared" si="18"/>
        <v>0</v>
      </c>
      <c r="V294" s="49">
        <f t="shared" si="19"/>
        <v>0</v>
      </c>
    </row>
    <row r="295" spans="1:22" s="49" customFormat="1">
      <c r="A295" s="56" t="s">
        <v>2798</v>
      </c>
      <c r="B295" s="55">
        <v>3</v>
      </c>
      <c r="C295" s="55" t="s">
        <v>2812</v>
      </c>
      <c r="D295" s="55" t="s">
        <v>2812</v>
      </c>
      <c r="E295" s="55" t="s">
        <v>2801</v>
      </c>
      <c r="F295" s="55" t="s">
        <v>2801</v>
      </c>
      <c r="G295" s="55" t="s">
        <v>2801</v>
      </c>
      <c r="H295" s="55" t="s">
        <v>3013</v>
      </c>
      <c r="I295" s="103" t="s">
        <v>28</v>
      </c>
      <c r="J295" s="103">
        <v>1</v>
      </c>
      <c r="K295" s="103">
        <v>5</v>
      </c>
      <c r="L295" s="55" t="s">
        <v>283</v>
      </c>
      <c r="M295" s="55">
        <v>84</v>
      </c>
      <c r="N295" s="55" t="s">
        <v>1493</v>
      </c>
      <c r="O295" s="85"/>
      <c r="P295" s="57" t="s">
        <v>2540</v>
      </c>
      <c r="Q295" s="18">
        <f t="shared" si="16"/>
        <v>0</v>
      </c>
      <c r="R295" s="49" t="s">
        <v>3119</v>
      </c>
      <c r="S295" s="49">
        <f t="shared" si="17"/>
        <v>0</v>
      </c>
      <c r="U295" s="49">
        <f t="shared" si="18"/>
        <v>0</v>
      </c>
      <c r="V295" s="49">
        <f t="shared" si="19"/>
        <v>0</v>
      </c>
    </row>
    <row r="296" spans="1:22" s="49" customFormat="1">
      <c r="A296" s="56" t="s">
        <v>2795</v>
      </c>
      <c r="B296" s="55">
        <v>1</v>
      </c>
      <c r="C296" s="55" t="s">
        <v>2812</v>
      </c>
      <c r="D296" s="55" t="s">
        <v>2812</v>
      </c>
      <c r="E296" s="55" t="s">
        <v>2812</v>
      </c>
      <c r="F296" s="55" t="s">
        <v>2812</v>
      </c>
      <c r="G296" s="55" t="s">
        <v>2812</v>
      </c>
      <c r="H296" s="55" t="s">
        <v>2078</v>
      </c>
      <c r="I296" s="103"/>
      <c r="J296" s="103">
        <v>0</v>
      </c>
      <c r="K296" s="103">
        <v>7</v>
      </c>
      <c r="L296" s="55" t="s">
        <v>2796</v>
      </c>
      <c r="M296" s="55">
        <v>84</v>
      </c>
      <c r="N296" s="55" t="s">
        <v>249</v>
      </c>
      <c r="O296" s="85"/>
      <c r="P296" s="57"/>
      <c r="Q296" s="18">
        <f t="shared" si="16"/>
        <v>0</v>
      </c>
      <c r="R296" s="49">
        <v>10</v>
      </c>
      <c r="S296" s="49">
        <f t="shared" si="17"/>
        <v>0</v>
      </c>
      <c r="U296" s="49">
        <f t="shared" si="18"/>
        <v>0</v>
      </c>
      <c r="V296" s="49">
        <f t="shared" si="19"/>
        <v>0</v>
      </c>
    </row>
    <row r="297" spans="1:22" s="49" customFormat="1">
      <c r="A297" s="56" t="s">
        <v>2795</v>
      </c>
      <c r="B297" s="55">
        <v>1</v>
      </c>
      <c r="C297" s="55" t="s">
        <v>2812</v>
      </c>
      <c r="D297" s="55" t="s">
        <v>2812</v>
      </c>
      <c r="E297" s="55" t="s">
        <v>2812</v>
      </c>
      <c r="F297" s="55" t="s">
        <v>2812</v>
      </c>
      <c r="G297" s="55" t="s">
        <v>2812</v>
      </c>
      <c r="H297" s="55" t="s">
        <v>2079</v>
      </c>
      <c r="I297" s="103"/>
      <c r="J297" s="103">
        <v>0</v>
      </c>
      <c r="K297" s="103">
        <v>7</v>
      </c>
      <c r="L297" s="55" t="s">
        <v>2796</v>
      </c>
      <c r="M297" s="55">
        <v>84</v>
      </c>
      <c r="N297" s="55" t="s">
        <v>249</v>
      </c>
      <c r="O297" s="85"/>
      <c r="P297" s="57"/>
      <c r="Q297" s="18">
        <f t="shared" si="16"/>
        <v>0</v>
      </c>
      <c r="R297" s="49">
        <v>10</v>
      </c>
      <c r="S297" s="49">
        <f t="shared" si="17"/>
        <v>0</v>
      </c>
      <c r="U297" s="49">
        <f t="shared" si="18"/>
        <v>0</v>
      </c>
      <c r="V297" s="49">
        <f t="shared" si="19"/>
        <v>0</v>
      </c>
    </row>
    <row r="298" spans="1:22" s="49" customFormat="1">
      <c r="A298" s="56" t="s">
        <v>2795</v>
      </c>
      <c r="B298" s="55">
        <v>1</v>
      </c>
      <c r="C298" s="55" t="s">
        <v>2812</v>
      </c>
      <c r="D298" s="55" t="s">
        <v>2812</v>
      </c>
      <c r="E298" s="55" t="s">
        <v>2812</v>
      </c>
      <c r="F298" s="55" t="s">
        <v>2812</v>
      </c>
      <c r="G298" s="55" t="s">
        <v>2812</v>
      </c>
      <c r="H298" s="55" t="s">
        <v>2080</v>
      </c>
      <c r="I298" s="103"/>
      <c r="J298" s="103">
        <v>0</v>
      </c>
      <c r="K298" s="103">
        <v>7</v>
      </c>
      <c r="L298" s="55" t="s">
        <v>2796</v>
      </c>
      <c r="M298" s="55">
        <v>84</v>
      </c>
      <c r="N298" s="55" t="s">
        <v>249</v>
      </c>
      <c r="O298" s="85"/>
      <c r="P298" s="57"/>
      <c r="Q298" s="18">
        <f t="shared" si="16"/>
        <v>0</v>
      </c>
      <c r="R298" s="49">
        <v>10</v>
      </c>
      <c r="S298" s="49">
        <f t="shared" si="17"/>
        <v>0</v>
      </c>
      <c r="U298" s="49">
        <f t="shared" si="18"/>
        <v>0</v>
      </c>
      <c r="V298" s="49">
        <f t="shared" si="19"/>
        <v>0</v>
      </c>
    </row>
    <row r="299" spans="1:22" s="49" customFormat="1">
      <c r="A299" s="56" t="s">
        <v>2795</v>
      </c>
      <c r="B299" s="55">
        <v>1</v>
      </c>
      <c r="C299" s="55" t="s">
        <v>2812</v>
      </c>
      <c r="D299" s="55" t="s">
        <v>2812</v>
      </c>
      <c r="E299" s="55" t="s">
        <v>2812</v>
      </c>
      <c r="F299" s="55" t="s">
        <v>2812</v>
      </c>
      <c r="G299" s="55" t="s">
        <v>2812</v>
      </c>
      <c r="H299" s="55" t="s">
        <v>2081</v>
      </c>
      <c r="I299" s="103"/>
      <c r="J299" s="103">
        <v>0</v>
      </c>
      <c r="K299" s="103">
        <v>7</v>
      </c>
      <c r="L299" s="55" t="s">
        <v>2796</v>
      </c>
      <c r="M299" s="55">
        <v>84</v>
      </c>
      <c r="N299" s="55" t="s">
        <v>249</v>
      </c>
      <c r="O299" s="85"/>
      <c r="P299" s="57"/>
      <c r="Q299" s="18">
        <f t="shared" si="16"/>
        <v>0</v>
      </c>
      <c r="R299" s="49">
        <v>10</v>
      </c>
      <c r="S299" s="49">
        <f t="shared" si="17"/>
        <v>0</v>
      </c>
      <c r="U299" s="49">
        <f t="shared" si="18"/>
        <v>0</v>
      </c>
      <c r="V299" s="49">
        <f t="shared" si="19"/>
        <v>0</v>
      </c>
    </row>
    <row r="300" spans="1:22" s="49" customFormat="1">
      <c r="A300" s="56" t="s">
        <v>2795</v>
      </c>
      <c r="B300" s="55">
        <v>1</v>
      </c>
      <c r="C300" s="55" t="s">
        <v>2812</v>
      </c>
      <c r="D300" s="55" t="s">
        <v>2812</v>
      </c>
      <c r="E300" s="55" t="s">
        <v>2812</v>
      </c>
      <c r="F300" s="55" t="s">
        <v>2812</v>
      </c>
      <c r="G300" s="55" t="s">
        <v>2812</v>
      </c>
      <c r="H300" s="55" t="s">
        <v>2082</v>
      </c>
      <c r="I300" s="103"/>
      <c r="J300" s="103">
        <v>0</v>
      </c>
      <c r="K300" s="103">
        <v>7</v>
      </c>
      <c r="L300" s="55" t="s">
        <v>2796</v>
      </c>
      <c r="M300" s="55">
        <v>84</v>
      </c>
      <c r="N300" s="55" t="s">
        <v>249</v>
      </c>
      <c r="O300" s="85"/>
      <c r="P300" s="57"/>
      <c r="Q300" s="18">
        <f t="shared" si="16"/>
        <v>0</v>
      </c>
      <c r="R300" s="49">
        <v>10</v>
      </c>
      <c r="S300" s="49">
        <f t="shared" si="17"/>
        <v>0</v>
      </c>
      <c r="U300" s="49">
        <f t="shared" si="18"/>
        <v>0</v>
      </c>
      <c r="V300" s="49">
        <f t="shared" si="19"/>
        <v>0</v>
      </c>
    </row>
    <row r="301" spans="1:22" s="49" customFormat="1">
      <c r="A301" s="56" t="s">
        <v>2794</v>
      </c>
      <c r="B301" s="55">
        <v>2</v>
      </c>
      <c r="C301" s="55" t="s">
        <v>2812</v>
      </c>
      <c r="D301" s="55" t="s">
        <v>2812</v>
      </c>
      <c r="E301" s="55" t="s">
        <v>2812</v>
      </c>
      <c r="F301" s="55" t="s">
        <v>2812</v>
      </c>
      <c r="G301" s="55" t="s">
        <v>2801</v>
      </c>
      <c r="H301" s="55" t="s">
        <v>3014</v>
      </c>
      <c r="I301" s="103"/>
      <c r="J301" s="103">
        <v>0</v>
      </c>
      <c r="K301" s="103">
        <v>7</v>
      </c>
      <c r="L301" s="55" t="s">
        <v>2793</v>
      </c>
      <c r="M301" s="55">
        <v>84</v>
      </c>
      <c r="N301" s="55" t="s">
        <v>249</v>
      </c>
      <c r="O301" s="85"/>
      <c r="P301" s="57"/>
      <c r="Q301" s="18">
        <f t="shared" si="16"/>
        <v>0</v>
      </c>
      <c r="R301" s="49">
        <v>30</v>
      </c>
      <c r="S301" s="49">
        <f t="shared" si="17"/>
        <v>0</v>
      </c>
      <c r="U301" s="49">
        <f t="shared" si="18"/>
        <v>0</v>
      </c>
      <c r="V301" s="49">
        <f t="shared" si="19"/>
        <v>0</v>
      </c>
    </row>
    <row r="302" spans="1:22" s="49" customFormat="1">
      <c r="A302" s="56" t="s">
        <v>2794</v>
      </c>
      <c r="B302" s="55">
        <v>2</v>
      </c>
      <c r="C302" s="55" t="s">
        <v>2812</v>
      </c>
      <c r="D302" s="55" t="s">
        <v>2812</v>
      </c>
      <c r="E302" s="55" t="s">
        <v>2812</v>
      </c>
      <c r="F302" s="55" t="s">
        <v>2812</v>
      </c>
      <c r="G302" s="55" t="s">
        <v>2801</v>
      </c>
      <c r="H302" s="55" t="s">
        <v>3015</v>
      </c>
      <c r="I302" s="103"/>
      <c r="J302" s="103">
        <v>0</v>
      </c>
      <c r="K302" s="103">
        <v>7</v>
      </c>
      <c r="L302" s="55" t="s">
        <v>2793</v>
      </c>
      <c r="M302" s="55">
        <v>84</v>
      </c>
      <c r="N302" s="55" t="s">
        <v>249</v>
      </c>
      <c r="O302" s="85"/>
      <c r="P302" s="57"/>
      <c r="Q302" s="18">
        <f t="shared" si="16"/>
        <v>0</v>
      </c>
      <c r="R302" s="49">
        <v>30</v>
      </c>
      <c r="S302" s="49">
        <f t="shared" si="17"/>
        <v>0</v>
      </c>
      <c r="U302" s="49">
        <f t="shared" si="18"/>
        <v>0</v>
      </c>
      <c r="V302" s="49">
        <f t="shared" si="19"/>
        <v>0</v>
      </c>
    </row>
    <row r="303" spans="1:22" s="49" customFormat="1">
      <c r="A303" s="56" t="s">
        <v>2794</v>
      </c>
      <c r="B303" s="55">
        <v>2</v>
      </c>
      <c r="C303" s="55" t="s">
        <v>2812</v>
      </c>
      <c r="D303" s="55" t="s">
        <v>2812</v>
      </c>
      <c r="E303" s="55" t="s">
        <v>2800</v>
      </c>
      <c r="F303" s="55" t="s">
        <v>2800</v>
      </c>
      <c r="G303" s="55" t="s">
        <v>2801</v>
      </c>
      <c r="H303" s="55" t="s">
        <v>3016</v>
      </c>
      <c r="I303" s="103"/>
      <c r="J303" s="103">
        <v>0</v>
      </c>
      <c r="K303" s="103">
        <v>7</v>
      </c>
      <c r="L303" s="55" t="s">
        <v>2793</v>
      </c>
      <c r="M303" s="55">
        <v>84</v>
      </c>
      <c r="N303" s="55" t="s">
        <v>249</v>
      </c>
      <c r="O303" s="85"/>
      <c r="P303" s="57"/>
      <c r="Q303" s="18">
        <f t="shared" si="16"/>
        <v>2</v>
      </c>
      <c r="R303" s="49">
        <v>30</v>
      </c>
      <c r="S303" s="49">
        <f t="shared" si="17"/>
        <v>60</v>
      </c>
      <c r="U303" s="49">
        <f t="shared" si="18"/>
        <v>60</v>
      </c>
      <c r="V303" s="49">
        <f t="shared" si="19"/>
        <v>0</v>
      </c>
    </row>
    <row r="304" spans="1:22" s="49" customFormat="1">
      <c r="A304" s="56" t="s">
        <v>2794</v>
      </c>
      <c r="B304" s="55">
        <v>2</v>
      </c>
      <c r="C304" s="55" t="s">
        <v>2812</v>
      </c>
      <c r="D304" s="55" t="s">
        <v>2812</v>
      </c>
      <c r="E304" s="55" t="s">
        <v>2812</v>
      </c>
      <c r="F304" s="55" t="s">
        <v>2812</v>
      </c>
      <c r="G304" s="55" t="s">
        <v>2801</v>
      </c>
      <c r="H304" s="55" t="s">
        <v>3017</v>
      </c>
      <c r="I304" s="103"/>
      <c r="J304" s="103">
        <v>0</v>
      </c>
      <c r="K304" s="103">
        <v>7</v>
      </c>
      <c r="L304" s="55" t="s">
        <v>2793</v>
      </c>
      <c r="M304" s="55">
        <v>84</v>
      </c>
      <c r="N304" s="55" t="s">
        <v>249</v>
      </c>
      <c r="O304" s="85"/>
      <c r="P304" s="57"/>
      <c r="Q304" s="18">
        <f t="shared" si="16"/>
        <v>0</v>
      </c>
      <c r="R304" s="49">
        <v>30</v>
      </c>
      <c r="S304" s="49">
        <f t="shared" si="17"/>
        <v>0</v>
      </c>
      <c r="U304" s="49">
        <f t="shared" si="18"/>
        <v>0</v>
      </c>
      <c r="V304" s="49">
        <f t="shared" si="19"/>
        <v>0</v>
      </c>
    </row>
    <row r="305" spans="1:22" s="49" customFormat="1">
      <c r="A305" s="56" t="s">
        <v>2794</v>
      </c>
      <c r="B305" s="55">
        <v>2</v>
      </c>
      <c r="C305" s="55" t="s">
        <v>2812</v>
      </c>
      <c r="D305" s="55" t="s">
        <v>2812</v>
      </c>
      <c r="E305" s="55" t="s">
        <v>2812</v>
      </c>
      <c r="F305" s="55" t="s">
        <v>2812</v>
      </c>
      <c r="G305" s="55" t="s">
        <v>2801</v>
      </c>
      <c r="H305" s="55" t="s">
        <v>3018</v>
      </c>
      <c r="I305" s="103"/>
      <c r="J305" s="103">
        <v>0</v>
      </c>
      <c r="K305" s="103">
        <v>7</v>
      </c>
      <c r="L305" s="55" t="s">
        <v>2793</v>
      </c>
      <c r="M305" s="55">
        <v>84</v>
      </c>
      <c r="N305" s="55" t="s">
        <v>249</v>
      </c>
      <c r="O305" s="85"/>
      <c r="P305" s="57"/>
      <c r="Q305" s="18">
        <f t="shared" si="16"/>
        <v>0</v>
      </c>
      <c r="R305" s="49">
        <v>30</v>
      </c>
      <c r="S305" s="49">
        <f t="shared" si="17"/>
        <v>0</v>
      </c>
      <c r="U305" s="49">
        <f t="shared" si="18"/>
        <v>0</v>
      </c>
      <c r="V305" s="49">
        <f t="shared" si="19"/>
        <v>0</v>
      </c>
    </row>
    <row r="306" spans="1:22" s="49" customFormat="1" ht="14.25" thickBot="1">
      <c r="A306" s="53" t="s">
        <v>787</v>
      </c>
      <c r="B306" s="54">
        <v>2</v>
      </c>
      <c r="C306" s="54" t="s">
        <v>2812</v>
      </c>
      <c r="D306" s="54" t="s">
        <v>2812</v>
      </c>
      <c r="E306" s="54"/>
      <c r="F306" s="54"/>
      <c r="G306" s="54" t="s">
        <v>2801</v>
      </c>
      <c r="H306" s="54" t="s">
        <v>2906</v>
      </c>
      <c r="I306" s="126" t="s">
        <v>1640</v>
      </c>
      <c r="J306" s="126">
        <v>5</v>
      </c>
      <c r="K306" s="126">
        <v>17</v>
      </c>
      <c r="L306" s="54" t="s">
        <v>283</v>
      </c>
      <c r="M306" s="54">
        <v>84</v>
      </c>
      <c r="N306" s="54" t="s">
        <v>1501</v>
      </c>
      <c r="O306" s="54"/>
      <c r="P306" s="11" t="s">
        <v>2910</v>
      </c>
      <c r="Q306" s="18">
        <f t="shared" si="16"/>
        <v>2</v>
      </c>
      <c r="R306" s="49">
        <v>30</v>
      </c>
      <c r="S306" s="49">
        <f t="shared" si="17"/>
        <v>60</v>
      </c>
      <c r="U306" s="49">
        <f t="shared" si="18"/>
        <v>60</v>
      </c>
      <c r="V306" s="49">
        <f t="shared" si="19"/>
        <v>0</v>
      </c>
    </row>
    <row r="307" spans="1:22" s="49" customFormat="1">
      <c r="A307" s="50" t="s">
        <v>2794</v>
      </c>
      <c r="B307" s="51">
        <v>2</v>
      </c>
      <c r="C307" s="51" t="s">
        <v>2812</v>
      </c>
      <c r="D307" s="51" t="s">
        <v>2812</v>
      </c>
      <c r="E307" s="51" t="s">
        <v>2812</v>
      </c>
      <c r="F307" s="51" t="s">
        <v>2812</v>
      </c>
      <c r="G307" s="51" t="s">
        <v>2801</v>
      </c>
      <c r="H307" s="51" t="s">
        <v>2758</v>
      </c>
      <c r="I307" s="129" t="s">
        <v>2169</v>
      </c>
      <c r="J307" s="129">
        <v>3</v>
      </c>
      <c r="K307" s="129">
        <v>2</v>
      </c>
      <c r="L307" s="51" t="s">
        <v>375</v>
      </c>
      <c r="M307" s="51">
        <v>85</v>
      </c>
      <c r="N307" s="51" t="s">
        <v>1493</v>
      </c>
      <c r="O307" s="92"/>
      <c r="P307" s="52" t="s">
        <v>2759</v>
      </c>
      <c r="Q307" s="18">
        <f t="shared" si="16"/>
        <v>0</v>
      </c>
      <c r="R307" s="49">
        <v>30</v>
      </c>
      <c r="S307" s="49">
        <f t="shared" si="17"/>
        <v>0</v>
      </c>
      <c r="U307" s="49">
        <f t="shared" si="18"/>
        <v>0</v>
      </c>
      <c r="V307" s="49">
        <f t="shared" si="19"/>
        <v>0</v>
      </c>
    </row>
    <row r="308" spans="1:22" s="49" customFormat="1">
      <c r="A308" s="56" t="s">
        <v>2795</v>
      </c>
      <c r="B308" s="55">
        <v>1</v>
      </c>
      <c r="C308" s="55" t="s">
        <v>2812</v>
      </c>
      <c r="D308" s="55" t="s">
        <v>2812</v>
      </c>
      <c r="E308" s="55" t="s">
        <v>2812</v>
      </c>
      <c r="F308" s="55" t="s">
        <v>2812</v>
      </c>
      <c r="G308" s="55" t="s">
        <v>2812</v>
      </c>
      <c r="H308" s="55" t="s">
        <v>3019</v>
      </c>
      <c r="I308" s="103" t="s">
        <v>2182</v>
      </c>
      <c r="J308" s="103">
        <v>5</v>
      </c>
      <c r="K308" s="103">
        <v>2</v>
      </c>
      <c r="L308" s="55" t="s">
        <v>375</v>
      </c>
      <c r="M308" s="55">
        <v>85</v>
      </c>
      <c r="N308" s="55" t="s">
        <v>923</v>
      </c>
      <c r="O308" s="85" t="s">
        <v>1475</v>
      </c>
      <c r="P308" s="57" t="s">
        <v>2183</v>
      </c>
      <c r="Q308" s="18">
        <f t="shared" si="16"/>
        <v>0</v>
      </c>
      <c r="R308" s="49">
        <v>10</v>
      </c>
      <c r="S308" s="49">
        <f t="shared" si="17"/>
        <v>0</v>
      </c>
      <c r="U308" s="49">
        <f t="shared" si="18"/>
        <v>0</v>
      </c>
      <c r="V308" s="49">
        <f t="shared" si="19"/>
        <v>0</v>
      </c>
    </row>
    <row r="309" spans="1:22" s="49" customFormat="1">
      <c r="A309" s="56" t="s">
        <v>2913</v>
      </c>
      <c r="B309" s="55">
        <v>1</v>
      </c>
      <c r="C309" s="55" t="s">
        <v>2812</v>
      </c>
      <c r="D309" s="55" t="s">
        <v>2812</v>
      </c>
      <c r="E309" s="55" t="s">
        <v>2812</v>
      </c>
      <c r="F309" s="55" t="s">
        <v>2812</v>
      </c>
      <c r="G309" s="55" t="s">
        <v>2812</v>
      </c>
      <c r="H309" s="55" t="s">
        <v>3020</v>
      </c>
      <c r="I309" s="55" t="s">
        <v>1021</v>
      </c>
      <c r="J309" s="55">
        <v>6</v>
      </c>
      <c r="K309" s="103">
        <v>4</v>
      </c>
      <c r="L309" s="55" t="s">
        <v>375</v>
      </c>
      <c r="M309" s="55">
        <v>85</v>
      </c>
      <c r="N309" s="103" t="s">
        <v>923</v>
      </c>
      <c r="O309" s="85" t="s">
        <v>1484</v>
      </c>
      <c r="P309" s="57" t="s">
        <v>2839</v>
      </c>
      <c r="Q309" s="18">
        <f t="shared" si="16"/>
        <v>0</v>
      </c>
      <c r="R309" s="49">
        <v>10</v>
      </c>
      <c r="S309" s="49">
        <f t="shared" si="17"/>
        <v>0</v>
      </c>
      <c r="U309" s="49">
        <f t="shared" si="18"/>
        <v>0</v>
      </c>
      <c r="V309" s="49">
        <f t="shared" si="19"/>
        <v>0</v>
      </c>
    </row>
    <row r="310" spans="1:22" s="49" customFormat="1">
      <c r="A310" s="56" t="s">
        <v>2794</v>
      </c>
      <c r="B310" s="55">
        <v>2</v>
      </c>
      <c r="C310" s="55"/>
      <c r="D310" s="55" t="s">
        <v>2800</v>
      </c>
      <c r="E310" s="55" t="s">
        <v>2800</v>
      </c>
      <c r="F310" s="55" t="s">
        <v>2800</v>
      </c>
      <c r="G310" s="55" t="s">
        <v>2801</v>
      </c>
      <c r="H310" s="55" t="s">
        <v>3021</v>
      </c>
      <c r="I310" s="103" t="s">
        <v>1024</v>
      </c>
      <c r="J310" s="103">
        <v>2</v>
      </c>
      <c r="K310" s="103">
        <v>5</v>
      </c>
      <c r="L310" s="55" t="s">
        <v>375</v>
      </c>
      <c r="M310" s="55">
        <v>85</v>
      </c>
      <c r="N310" s="55" t="s">
        <v>1490</v>
      </c>
      <c r="O310" s="85"/>
      <c r="P310" s="57" t="s">
        <v>2487</v>
      </c>
      <c r="Q310" s="18">
        <f t="shared" si="16"/>
        <v>4</v>
      </c>
      <c r="R310" s="49">
        <v>30</v>
      </c>
      <c r="S310" s="49">
        <f t="shared" si="17"/>
        <v>120</v>
      </c>
      <c r="U310" s="49">
        <f t="shared" si="18"/>
        <v>120</v>
      </c>
      <c r="V310" s="49">
        <f t="shared" si="19"/>
        <v>0</v>
      </c>
    </row>
    <row r="311" spans="1:22" s="49" customFormat="1">
      <c r="A311" s="56" t="s">
        <v>2913</v>
      </c>
      <c r="B311" s="55">
        <v>1</v>
      </c>
      <c r="C311" s="55" t="s">
        <v>2812</v>
      </c>
      <c r="D311" s="55" t="s">
        <v>2812</v>
      </c>
      <c r="E311" s="55" t="s">
        <v>2812</v>
      </c>
      <c r="F311" s="55" t="s">
        <v>2812</v>
      </c>
      <c r="G311" s="55" t="s">
        <v>2812</v>
      </c>
      <c r="H311" s="55" t="s">
        <v>1588</v>
      </c>
      <c r="I311" s="55" t="s">
        <v>1586</v>
      </c>
      <c r="J311" s="55">
        <v>5</v>
      </c>
      <c r="K311" s="103">
        <v>16</v>
      </c>
      <c r="L311" s="55" t="s">
        <v>375</v>
      </c>
      <c r="M311" s="55">
        <v>85</v>
      </c>
      <c r="N311" s="103" t="s">
        <v>1490</v>
      </c>
      <c r="O311" s="85"/>
      <c r="P311" s="57" t="s">
        <v>1589</v>
      </c>
      <c r="Q311" s="18">
        <f t="shared" si="16"/>
        <v>0</v>
      </c>
      <c r="R311" s="49">
        <v>10</v>
      </c>
      <c r="S311" s="49">
        <f t="shared" si="17"/>
        <v>0</v>
      </c>
      <c r="U311" s="49">
        <f t="shared" si="18"/>
        <v>0</v>
      </c>
      <c r="V311" s="49">
        <f t="shared" si="19"/>
        <v>0</v>
      </c>
    </row>
    <row r="312" spans="1:22" s="49" customFormat="1">
      <c r="A312" s="56" t="s">
        <v>2795</v>
      </c>
      <c r="B312" s="55">
        <v>1</v>
      </c>
      <c r="C312" s="55" t="s">
        <v>2812</v>
      </c>
      <c r="D312" s="55" t="s">
        <v>2812</v>
      </c>
      <c r="E312" s="55" t="s">
        <v>2812</v>
      </c>
      <c r="F312" s="55" t="s">
        <v>2812</v>
      </c>
      <c r="G312" s="55" t="s">
        <v>2812</v>
      </c>
      <c r="H312" s="55" t="s">
        <v>1685</v>
      </c>
      <c r="I312" s="103" t="s">
        <v>1686</v>
      </c>
      <c r="J312" s="103">
        <v>4</v>
      </c>
      <c r="K312" s="103">
        <v>18</v>
      </c>
      <c r="L312" s="55" t="s">
        <v>375</v>
      </c>
      <c r="M312" s="55">
        <v>85</v>
      </c>
      <c r="N312" s="55" t="s">
        <v>1490</v>
      </c>
      <c r="O312" s="85"/>
      <c r="P312" s="57" t="s">
        <v>1687</v>
      </c>
      <c r="Q312" s="18">
        <f t="shared" si="16"/>
        <v>0</v>
      </c>
      <c r="R312" s="49">
        <v>10</v>
      </c>
      <c r="S312" s="49">
        <f t="shared" si="17"/>
        <v>0</v>
      </c>
      <c r="U312" s="49">
        <f t="shared" si="18"/>
        <v>0</v>
      </c>
      <c r="V312" s="49">
        <f t="shared" si="19"/>
        <v>0</v>
      </c>
    </row>
    <row r="313" spans="1:22" s="49" customFormat="1" ht="14.25" thickBot="1">
      <c r="A313" s="53" t="s">
        <v>2913</v>
      </c>
      <c r="B313" s="54">
        <v>1</v>
      </c>
      <c r="C313" s="54" t="s">
        <v>2812</v>
      </c>
      <c r="D313" s="54" t="s">
        <v>2812</v>
      </c>
      <c r="E313" s="54" t="s">
        <v>2812</v>
      </c>
      <c r="F313" s="54" t="s">
        <v>2812</v>
      </c>
      <c r="G313" s="54" t="s">
        <v>2812</v>
      </c>
      <c r="H313" s="54" t="s">
        <v>1733</v>
      </c>
      <c r="I313" s="54" t="s">
        <v>1734</v>
      </c>
      <c r="J313" s="54">
        <v>5</v>
      </c>
      <c r="K313" s="126">
        <v>19</v>
      </c>
      <c r="L313" s="54" t="s">
        <v>375</v>
      </c>
      <c r="M313" s="54">
        <v>85</v>
      </c>
      <c r="N313" s="126" t="s">
        <v>1490</v>
      </c>
      <c r="O313" s="93"/>
      <c r="P313" s="11" t="s">
        <v>1735</v>
      </c>
      <c r="Q313" s="18">
        <f t="shared" si="16"/>
        <v>0</v>
      </c>
      <c r="R313" s="49">
        <v>10</v>
      </c>
      <c r="S313" s="49">
        <f t="shared" si="17"/>
        <v>0</v>
      </c>
      <c r="U313" s="49">
        <f t="shared" si="18"/>
        <v>0</v>
      </c>
      <c r="V313" s="49">
        <f t="shared" si="19"/>
        <v>0</v>
      </c>
    </row>
    <row r="314" spans="1:22" s="49" customFormat="1">
      <c r="A314" s="99" t="s">
        <v>2798</v>
      </c>
      <c r="B314" s="60">
        <v>3</v>
      </c>
      <c r="C314" s="60" t="s">
        <v>2812</v>
      </c>
      <c r="D314" s="60" t="s">
        <v>2812</v>
      </c>
      <c r="E314" s="60" t="s">
        <v>2801</v>
      </c>
      <c r="F314" s="60" t="s">
        <v>2801</v>
      </c>
      <c r="G314" s="60" t="s">
        <v>2801</v>
      </c>
      <c r="H314" s="60" t="s">
        <v>2797</v>
      </c>
      <c r="I314" s="128" t="s">
        <v>1182</v>
      </c>
      <c r="J314" s="128">
        <v>2</v>
      </c>
      <c r="K314" s="128">
        <v>1</v>
      </c>
      <c r="L314" s="60" t="s">
        <v>376</v>
      </c>
      <c r="M314" s="60">
        <v>86</v>
      </c>
      <c r="N314" s="60" t="s">
        <v>923</v>
      </c>
      <c r="O314" s="87" t="s">
        <v>1475</v>
      </c>
      <c r="P314" s="100" t="s">
        <v>2593</v>
      </c>
      <c r="Q314" s="18">
        <f t="shared" si="16"/>
        <v>0</v>
      </c>
      <c r="R314" s="49" t="s">
        <v>3119</v>
      </c>
      <c r="S314" s="49">
        <f t="shared" si="17"/>
        <v>0</v>
      </c>
      <c r="U314" s="49">
        <f t="shared" si="18"/>
        <v>0</v>
      </c>
      <c r="V314" s="49">
        <f t="shared" si="19"/>
        <v>0</v>
      </c>
    </row>
    <row r="315" spans="1:22" s="49" customFormat="1">
      <c r="A315" s="56" t="s">
        <v>2795</v>
      </c>
      <c r="B315" s="55">
        <v>1</v>
      </c>
      <c r="C315" s="55" t="s">
        <v>2812</v>
      </c>
      <c r="D315" s="55" t="s">
        <v>2812</v>
      </c>
      <c r="E315" s="55" t="s">
        <v>2812</v>
      </c>
      <c r="F315" s="55" t="s">
        <v>2812</v>
      </c>
      <c r="G315" s="55" t="s">
        <v>2800</v>
      </c>
      <c r="H315" s="55" t="s">
        <v>2127</v>
      </c>
      <c r="I315" s="103" t="s">
        <v>996</v>
      </c>
      <c r="J315" s="103">
        <v>3</v>
      </c>
      <c r="K315" s="103">
        <v>2</v>
      </c>
      <c r="L315" s="55" t="s">
        <v>376</v>
      </c>
      <c r="M315" s="55">
        <v>86</v>
      </c>
      <c r="N315" s="55" t="s">
        <v>923</v>
      </c>
      <c r="O315" s="85" t="s">
        <v>1477</v>
      </c>
      <c r="P315" s="57" t="s">
        <v>2144</v>
      </c>
      <c r="Q315" s="18">
        <f t="shared" si="16"/>
        <v>1</v>
      </c>
      <c r="R315" s="49">
        <v>10</v>
      </c>
      <c r="S315" s="49">
        <f t="shared" si="17"/>
        <v>10</v>
      </c>
      <c r="U315" s="49">
        <f t="shared" si="18"/>
        <v>10</v>
      </c>
      <c r="V315" s="49">
        <f t="shared" si="19"/>
        <v>0</v>
      </c>
    </row>
    <row r="316" spans="1:22" s="49" customFormat="1">
      <c r="A316" s="56" t="s">
        <v>787</v>
      </c>
      <c r="B316" s="55">
        <v>2</v>
      </c>
      <c r="C316" s="55" t="s">
        <v>2812</v>
      </c>
      <c r="D316" s="55" t="s">
        <v>2812</v>
      </c>
      <c r="E316" s="55" t="s">
        <v>2812</v>
      </c>
      <c r="F316" s="55" t="s">
        <v>2812</v>
      </c>
      <c r="G316" s="55" t="s">
        <v>2801</v>
      </c>
      <c r="H316" s="55" t="s">
        <v>3022</v>
      </c>
      <c r="I316" s="103" t="s">
        <v>2169</v>
      </c>
      <c r="J316" s="103">
        <v>3</v>
      </c>
      <c r="K316" s="103">
        <v>2</v>
      </c>
      <c r="L316" s="55" t="s">
        <v>376</v>
      </c>
      <c r="M316" s="55">
        <v>86</v>
      </c>
      <c r="N316" s="55" t="s">
        <v>923</v>
      </c>
      <c r="O316" s="55" t="s">
        <v>1474</v>
      </c>
      <c r="P316" s="57" t="s">
        <v>2893</v>
      </c>
      <c r="Q316" s="18">
        <f t="shared" si="16"/>
        <v>0</v>
      </c>
      <c r="R316" s="49">
        <v>30</v>
      </c>
      <c r="S316" s="49">
        <f t="shared" si="17"/>
        <v>0</v>
      </c>
      <c r="U316" s="49">
        <f t="shared" si="18"/>
        <v>0</v>
      </c>
      <c r="V316" s="49">
        <f t="shared" si="19"/>
        <v>0</v>
      </c>
    </row>
    <row r="317" spans="1:22" s="49" customFormat="1">
      <c r="A317" s="56" t="s">
        <v>2795</v>
      </c>
      <c r="B317" s="55">
        <v>1</v>
      </c>
      <c r="C317" s="55" t="s">
        <v>2812</v>
      </c>
      <c r="D317" s="55" t="s">
        <v>2812</v>
      </c>
      <c r="E317" s="55" t="s">
        <v>2812</v>
      </c>
      <c r="F317" s="55" t="s">
        <v>2812</v>
      </c>
      <c r="G317" s="55" t="s">
        <v>2812</v>
      </c>
      <c r="H317" s="55" t="s">
        <v>3023</v>
      </c>
      <c r="I317" s="103" t="s">
        <v>1016</v>
      </c>
      <c r="J317" s="103">
        <v>4</v>
      </c>
      <c r="K317" s="103">
        <v>4</v>
      </c>
      <c r="L317" s="55" t="s">
        <v>376</v>
      </c>
      <c r="M317" s="55">
        <v>86</v>
      </c>
      <c r="N317" s="55" t="s">
        <v>923</v>
      </c>
      <c r="O317" s="85" t="s">
        <v>2245</v>
      </c>
      <c r="P317" s="57" t="s">
        <v>2210</v>
      </c>
      <c r="Q317" s="18">
        <f t="shared" si="16"/>
        <v>0</v>
      </c>
      <c r="R317" s="49">
        <v>10</v>
      </c>
      <c r="S317" s="49">
        <f t="shared" si="17"/>
        <v>0</v>
      </c>
      <c r="U317" s="49">
        <f t="shared" si="18"/>
        <v>0</v>
      </c>
      <c r="V317" s="49">
        <f t="shared" si="19"/>
        <v>0</v>
      </c>
    </row>
    <row r="318" spans="1:22" s="49" customFormat="1" ht="14.25" thickBot="1">
      <c r="A318" s="53" t="s">
        <v>2794</v>
      </c>
      <c r="B318" s="54">
        <v>2</v>
      </c>
      <c r="C318" s="54" t="s">
        <v>2812</v>
      </c>
      <c r="D318" s="54" t="s">
        <v>2800</v>
      </c>
      <c r="E318" s="54" t="s">
        <v>2800</v>
      </c>
      <c r="F318" s="54" t="s">
        <v>2800</v>
      </c>
      <c r="G318" s="54" t="s">
        <v>2801</v>
      </c>
      <c r="H318" s="54" t="s">
        <v>2320</v>
      </c>
      <c r="I318" s="126" t="s">
        <v>1027</v>
      </c>
      <c r="J318" s="126">
        <v>4</v>
      </c>
      <c r="K318" s="126">
        <v>5</v>
      </c>
      <c r="L318" s="54" t="s">
        <v>376</v>
      </c>
      <c r="M318" s="54">
        <v>86</v>
      </c>
      <c r="N318" s="54" t="s">
        <v>1501</v>
      </c>
      <c r="O318" s="93"/>
      <c r="P318" s="11" t="s">
        <v>2321</v>
      </c>
      <c r="Q318" s="18">
        <f t="shared" si="16"/>
        <v>3</v>
      </c>
      <c r="R318" s="49">
        <v>30</v>
      </c>
      <c r="S318" s="49">
        <f t="shared" si="17"/>
        <v>90</v>
      </c>
      <c r="U318" s="49">
        <f t="shared" si="18"/>
        <v>90</v>
      </c>
      <c r="V318" s="49">
        <f t="shared" si="19"/>
        <v>0</v>
      </c>
    </row>
    <row r="319" spans="1:22" s="49" customFormat="1">
      <c r="A319" s="150"/>
      <c r="B319" s="151"/>
      <c r="C319" s="151"/>
      <c r="D319" s="151"/>
      <c r="E319" s="151"/>
      <c r="F319" s="151"/>
      <c r="G319" s="152"/>
      <c r="H319" s="137" t="s">
        <v>2955</v>
      </c>
      <c r="I319" s="139" t="s">
        <v>2099</v>
      </c>
      <c r="J319" s="139"/>
      <c r="K319" s="139"/>
      <c r="L319" s="138" t="s">
        <v>2098</v>
      </c>
      <c r="M319" s="138"/>
      <c r="N319" s="138" t="s">
        <v>2094</v>
      </c>
      <c r="O319" s="140" t="s">
        <v>2101</v>
      </c>
      <c r="P319" s="141" t="s">
        <v>2102</v>
      </c>
      <c r="Q319" s="18" t="str">
        <f t="shared" si="16"/>
        <v/>
      </c>
      <c r="R319" s="49" t="s">
        <v>3119</v>
      </c>
      <c r="S319" s="49">
        <f t="shared" si="17"/>
        <v>0</v>
      </c>
      <c r="T319" s="49">
        <f>SUM(S319:S333)</f>
        <v>631</v>
      </c>
      <c r="U319" s="49">
        <f t="shared" si="18"/>
        <v>0</v>
      </c>
      <c r="V319" s="49">
        <f t="shared" si="19"/>
        <v>0</v>
      </c>
    </row>
    <row r="320" spans="1:22" s="49" customFormat="1">
      <c r="A320" s="56" t="s">
        <v>2795</v>
      </c>
      <c r="B320" s="55">
        <v>1</v>
      </c>
      <c r="C320" s="55" t="s">
        <v>2812</v>
      </c>
      <c r="D320" s="55" t="s">
        <v>2812</v>
      </c>
      <c r="E320" s="55" t="s">
        <v>2812</v>
      </c>
      <c r="F320" s="55" t="s">
        <v>2812</v>
      </c>
      <c r="G320" s="55" t="s">
        <v>2812</v>
      </c>
      <c r="H320" s="55" t="s">
        <v>2091</v>
      </c>
      <c r="I320" s="103" t="s">
        <v>977</v>
      </c>
      <c r="J320" s="103">
        <v>2</v>
      </c>
      <c r="K320" s="103">
        <v>1</v>
      </c>
      <c r="L320" s="55" t="s">
        <v>378</v>
      </c>
      <c r="M320" s="55">
        <v>87</v>
      </c>
      <c r="N320" s="55" t="s">
        <v>1490</v>
      </c>
      <c r="O320" s="85"/>
      <c r="P320" s="57" t="s">
        <v>2137</v>
      </c>
      <c r="Q320" s="18">
        <f t="shared" si="16"/>
        <v>0</v>
      </c>
      <c r="R320" s="49">
        <v>10</v>
      </c>
      <c r="S320" s="49">
        <f t="shared" si="17"/>
        <v>0</v>
      </c>
      <c r="U320" s="49">
        <f t="shared" si="18"/>
        <v>0</v>
      </c>
      <c r="V320" s="49">
        <f t="shared" si="19"/>
        <v>0</v>
      </c>
    </row>
    <row r="321" spans="1:22" s="49" customFormat="1">
      <c r="A321" s="56" t="s">
        <v>2795</v>
      </c>
      <c r="B321" s="55">
        <v>1</v>
      </c>
      <c r="C321" s="55" t="s">
        <v>2812</v>
      </c>
      <c r="D321" s="55" t="s">
        <v>2812</v>
      </c>
      <c r="E321" s="55" t="s">
        <v>2812</v>
      </c>
      <c r="F321" s="55" t="s">
        <v>2812</v>
      </c>
      <c r="G321" s="55" t="s">
        <v>2812</v>
      </c>
      <c r="H321" s="55" t="s">
        <v>2275</v>
      </c>
      <c r="I321" s="103" t="s">
        <v>977</v>
      </c>
      <c r="J321" s="103">
        <v>2</v>
      </c>
      <c r="K321" s="103">
        <v>1</v>
      </c>
      <c r="L321" s="55" t="s">
        <v>378</v>
      </c>
      <c r="M321" s="55">
        <v>87</v>
      </c>
      <c r="N321" s="55" t="s">
        <v>1493</v>
      </c>
      <c r="O321" s="85"/>
      <c r="P321" s="57" t="s">
        <v>2276</v>
      </c>
      <c r="Q321" s="18">
        <f t="shared" si="16"/>
        <v>0</v>
      </c>
      <c r="R321" s="49">
        <v>10</v>
      </c>
      <c r="S321" s="49">
        <f t="shared" si="17"/>
        <v>0</v>
      </c>
      <c r="U321" s="49">
        <f t="shared" si="18"/>
        <v>0</v>
      </c>
      <c r="V321" s="49">
        <f t="shared" si="19"/>
        <v>0</v>
      </c>
    </row>
    <row r="322" spans="1:22" s="49" customFormat="1">
      <c r="A322" s="56" t="s">
        <v>2795</v>
      </c>
      <c r="B322" s="55">
        <v>1</v>
      </c>
      <c r="C322" s="55" t="s">
        <v>2812</v>
      </c>
      <c r="D322" s="55" t="s">
        <v>2812</v>
      </c>
      <c r="E322" s="55" t="s">
        <v>2812</v>
      </c>
      <c r="F322" s="55" t="s">
        <v>2812</v>
      </c>
      <c r="G322" s="55" t="s">
        <v>2812</v>
      </c>
      <c r="H322" s="55" t="s">
        <v>2089</v>
      </c>
      <c r="I322" s="103" t="s">
        <v>979</v>
      </c>
      <c r="J322" s="103">
        <v>3</v>
      </c>
      <c r="K322" s="103">
        <v>1</v>
      </c>
      <c r="L322" s="55" t="s">
        <v>378</v>
      </c>
      <c r="M322" s="55">
        <v>87</v>
      </c>
      <c r="N322" s="55" t="s">
        <v>1501</v>
      </c>
      <c r="O322" s="85"/>
      <c r="P322" s="57" t="s">
        <v>2142</v>
      </c>
      <c r="Q322" s="18">
        <f t="shared" si="16"/>
        <v>0</v>
      </c>
      <c r="R322" s="49">
        <v>10</v>
      </c>
      <c r="S322" s="49">
        <f t="shared" si="17"/>
        <v>0</v>
      </c>
      <c r="U322" s="49">
        <f t="shared" si="18"/>
        <v>0</v>
      </c>
      <c r="V322" s="49">
        <f t="shared" si="19"/>
        <v>0</v>
      </c>
    </row>
    <row r="323" spans="1:22" s="49" customFormat="1">
      <c r="A323" s="56" t="s">
        <v>2794</v>
      </c>
      <c r="B323" s="55">
        <v>2</v>
      </c>
      <c r="C323" s="55" t="s">
        <v>2812</v>
      </c>
      <c r="D323" s="55" t="s">
        <v>2812</v>
      </c>
      <c r="E323" s="55" t="s">
        <v>2812</v>
      </c>
      <c r="F323" s="55" t="s">
        <v>2812</v>
      </c>
      <c r="G323" s="55" t="s">
        <v>2801</v>
      </c>
      <c r="H323" s="55" t="s">
        <v>2272</v>
      </c>
      <c r="I323" s="103" t="s">
        <v>979</v>
      </c>
      <c r="J323" s="103">
        <v>3</v>
      </c>
      <c r="K323" s="103">
        <v>1</v>
      </c>
      <c r="L323" s="55" t="s">
        <v>378</v>
      </c>
      <c r="M323" s="55">
        <v>87</v>
      </c>
      <c r="N323" s="55" t="s">
        <v>1490</v>
      </c>
      <c r="O323" s="85"/>
      <c r="P323" s="57" t="s">
        <v>2286</v>
      </c>
      <c r="Q323" s="18">
        <f t="shared" ref="Q323:Q342" si="20">IF(ISBLANK(A323),"",COUNTBLANK(C323:G323))</f>
        <v>0</v>
      </c>
      <c r="R323" s="49">
        <v>30</v>
      </c>
      <c r="S323" s="49">
        <f t="shared" ref="S323:S342" si="21">IF(R323="#",0,Q323*R323)</f>
        <v>0</v>
      </c>
      <c r="U323" s="49">
        <f t="shared" ref="U323:U342" si="22">IF(AND(OR(A323="Co",A323="UC"),Q323&gt;0),S323,0)</f>
        <v>0</v>
      </c>
      <c r="V323" s="49">
        <f t="shared" ref="V323:V342" si="23">IF(AND(OR(A323="Re",A323="MR"),Q323&gt;0),S323,0)</f>
        <v>0</v>
      </c>
    </row>
    <row r="324" spans="1:22" s="49" customFormat="1">
      <c r="A324" s="56" t="s">
        <v>2795</v>
      </c>
      <c r="B324" s="55">
        <v>1</v>
      </c>
      <c r="C324" s="55" t="s">
        <v>2812</v>
      </c>
      <c r="D324" s="55" t="s">
        <v>2812</v>
      </c>
      <c r="E324" s="55" t="s">
        <v>2812</v>
      </c>
      <c r="F324" s="55" t="s">
        <v>2812</v>
      </c>
      <c r="G324" s="55" t="s">
        <v>2812</v>
      </c>
      <c r="H324" s="55" t="s">
        <v>2130</v>
      </c>
      <c r="I324" s="103" t="s">
        <v>4</v>
      </c>
      <c r="J324" s="103">
        <v>1</v>
      </c>
      <c r="K324" s="103">
        <v>2</v>
      </c>
      <c r="L324" s="55" t="s">
        <v>378</v>
      </c>
      <c r="M324" s="55">
        <v>87</v>
      </c>
      <c r="N324" s="55" t="s">
        <v>1501</v>
      </c>
      <c r="O324" s="85"/>
      <c r="P324" s="57" t="s">
        <v>2152</v>
      </c>
      <c r="Q324" s="18">
        <f t="shared" si="20"/>
        <v>0</v>
      </c>
      <c r="R324" s="49">
        <v>10</v>
      </c>
      <c r="S324" s="49">
        <f t="shared" si="21"/>
        <v>0</v>
      </c>
      <c r="U324" s="49">
        <f t="shared" si="22"/>
        <v>0</v>
      </c>
      <c r="V324" s="49">
        <f t="shared" si="23"/>
        <v>0</v>
      </c>
    </row>
    <row r="325" spans="1:22" s="49" customFormat="1">
      <c r="A325" s="56" t="s">
        <v>2798</v>
      </c>
      <c r="B325" s="55">
        <v>3</v>
      </c>
      <c r="C325" s="55"/>
      <c r="D325" s="55" t="s">
        <v>2800</v>
      </c>
      <c r="E325" s="55" t="s">
        <v>2801</v>
      </c>
      <c r="F325" s="55" t="s">
        <v>2801</v>
      </c>
      <c r="G325" s="55" t="s">
        <v>2801</v>
      </c>
      <c r="H325" s="55" t="s">
        <v>3164</v>
      </c>
      <c r="I325" s="103" t="s">
        <v>2169</v>
      </c>
      <c r="J325" s="103">
        <v>3</v>
      </c>
      <c r="K325" s="103">
        <v>2</v>
      </c>
      <c r="L325" s="55" t="s">
        <v>378</v>
      </c>
      <c r="M325" s="55">
        <v>87</v>
      </c>
      <c r="N325" s="55" t="s">
        <v>1490</v>
      </c>
      <c r="O325" s="85"/>
      <c r="P325" s="57" t="s">
        <v>2586</v>
      </c>
      <c r="Q325" s="18">
        <f t="shared" si="20"/>
        <v>2</v>
      </c>
      <c r="R325" s="49">
        <v>92</v>
      </c>
      <c r="S325" s="49">
        <f t="shared" si="21"/>
        <v>184</v>
      </c>
      <c r="U325" s="49">
        <f t="shared" si="22"/>
        <v>0</v>
      </c>
      <c r="V325" s="49">
        <f t="shared" si="23"/>
        <v>184</v>
      </c>
    </row>
    <row r="326" spans="1:22" s="49" customFormat="1">
      <c r="A326" s="56" t="s">
        <v>2795</v>
      </c>
      <c r="B326" s="55">
        <v>1</v>
      </c>
      <c r="C326" s="55" t="s">
        <v>2812</v>
      </c>
      <c r="D326" s="55" t="s">
        <v>2812</v>
      </c>
      <c r="E326" s="55" t="s">
        <v>2812</v>
      </c>
      <c r="F326" s="55" t="s">
        <v>2812</v>
      </c>
      <c r="G326" s="55" t="s">
        <v>2812</v>
      </c>
      <c r="H326" s="55" t="s">
        <v>2129</v>
      </c>
      <c r="I326" s="103" t="s">
        <v>1000</v>
      </c>
      <c r="J326" s="103">
        <v>4</v>
      </c>
      <c r="K326" s="103">
        <v>2</v>
      </c>
      <c r="L326" s="55" t="s">
        <v>378</v>
      </c>
      <c r="M326" s="55">
        <v>87</v>
      </c>
      <c r="N326" s="55" t="s">
        <v>1501</v>
      </c>
      <c r="O326" s="85"/>
      <c r="P326" s="57" t="s">
        <v>2173</v>
      </c>
      <c r="Q326" s="18">
        <f t="shared" si="20"/>
        <v>0</v>
      </c>
      <c r="R326" s="49">
        <v>10</v>
      </c>
      <c r="S326" s="49">
        <f t="shared" si="21"/>
        <v>0</v>
      </c>
      <c r="U326" s="49">
        <f t="shared" si="22"/>
        <v>0</v>
      </c>
      <c r="V326" s="49">
        <f t="shared" si="23"/>
        <v>0</v>
      </c>
    </row>
    <row r="327" spans="1:22" s="49" customFormat="1">
      <c r="A327" s="56" t="s">
        <v>2794</v>
      </c>
      <c r="B327" s="55">
        <v>2</v>
      </c>
      <c r="C327" s="55" t="s">
        <v>2812</v>
      </c>
      <c r="D327" s="55" t="s">
        <v>2812</v>
      </c>
      <c r="E327" s="55" t="s">
        <v>2812</v>
      </c>
      <c r="F327" s="55" t="s">
        <v>2812</v>
      </c>
      <c r="G327" s="55" t="s">
        <v>2801</v>
      </c>
      <c r="H327" s="55" t="s">
        <v>2264</v>
      </c>
      <c r="I327" s="103" t="s">
        <v>1000</v>
      </c>
      <c r="J327" s="103">
        <v>4</v>
      </c>
      <c r="K327" s="103">
        <v>2</v>
      </c>
      <c r="L327" s="55" t="s">
        <v>378</v>
      </c>
      <c r="M327" s="55">
        <v>87</v>
      </c>
      <c r="N327" s="55" t="s">
        <v>1501</v>
      </c>
      <c r="O327" s="85"/>
      <c r="P327" s="57" t="s">
        <v>2294</v>
      </c>
      <c r="Q327" s="18">
        <f t="shared" si="20"/>
        <v>0</v>
      </c>
      <c r="R327" s="49">
        <v>30</v>
      </c>
      <c r="S327" s="49">
        <f t="shared" si="21"/>
        <v>0</v>
      </c>
      <c r="U327" s="49">
        <f t="shared" si="22"/>
        <v>0</v>
      </c>
      <c r="V327" s="49">
        <f t="shared" si="23"/>
        <v>0</v>
      </c>
    </row>
    <row r="328" spans="1:22" s="49" customFormat="1">
      <c r="A328" s="56" t="s">
        <v>2795</v>
      </c>
      <c r="B328" s="55">
        <v>1</v>
      </c>
      <c r="C328" s="55" t="s">
        <v>2812</v>
      </c>
      <c r="D328" s="55" t="s">
        <v>2812</v>
      </c>
      <c r="E328" s="55" t="s">
        <v>2812</v>
      </c>
      <c r="F328" s="55" t="s">
        <v>2812</v>
      </c>
      <c r="G328" s="55" t="s">
        <v>2812</v>
      </c>
      <c r="H328" s="55" t="s">
        <v>2120</v>
      </c>
      <c r="I328" s="103" t="s">
        <v>1012</v>
      </c>
      <c r="J328" s="103">
        <v>2</v>
      </c>
      <c r="K328" s="103">
        <v>4</v>
      </c>
      <c r="L328" s="55" t="s">
        <v>378</v>
      </c>
      <c r="M328" s="55">
        <v>87</v>
      </c>
      <c r="N328" s="55" t="s">
        <v>1501</v>
      </c>
      <c r="O328" s="85"/>
      <c r="P328" s="57" t="s">
        <v>2204</v>
      </c>
      <c r="Q328" s="18">
        <f t="shared" si="20"/>
        <v>0</v>
      </c>
      <c r="R328" s="49">
        <v>10</v>
      </c>
      <c r="S328" s="49">
        <f t="shared" si="21"/>
        <v>0</v>
      </c>
      <c r="U328" s="49">
        <f t="shared" si="22"/>
        <v>0</v>
      </c>
      <c r="V328" s="49">
        <f t="shared" si="23"/>
        <v>0</v>
      </c>
    </row>
    <row r="329" spans="1:22" s="49" customFormat="1">
      <c r="A329" s="56" t="s">
        <v>2798</v>
      </c>
      <c r="B329" s="55">
        <v>3</v>
      </c>
      <c r="C329" s="55"/>
      <c r="D329" s="55" t="s">
        <v>2800</v>
      </c>
      <c r="E329" s="55" t="s">
        <v>2801</v>
      </c>
      <c r="F329" s="55" t="s">
        <v>2801</v>
      </c>
      <c r="G329" s="55" t="s">
        <v>2801</v>
      </c>
      <c r="H329" s="55" t="s">
        <v>3165</v>
      </c>
      <c r="I329" s="103" t="s">
        <v>1027</v>
      </c>
      <c r="J329" s="103">
        <v>4</v>
      </c>
      <c r="K329" s="103">
        <v>5</v>
      </c>
      <c r="L329" s="55" t="s">
        <v>378</v>
      </c>
      <c r="M329" s="55">
        <v>87</v>
      </c>
      <c r="N329" s="55" t="s">
        <v>923</v>
      </c>
      <c r="O329" s="85" t="s">
        <v>1475</v>
      </c>
      <c r="P329" s="57" t="s">
        <v>2504</v>
      </c>
      <c r="Q329" s="18">
        <f t="shared" si="20"/>
        <v>2</v>
      </c>
      <c r="R329" s="49">
        <v>78</v>
      </c>
      <c r="S329" s="49">
        <f t="shared" si="21"/>
        <v>156</v>
      </c>
      <c r="U329" s="49">
        <f t="shared" si="22"/>
        <v>0</v>
      </c>
      <c r="V329" s="49">
        <f t="shared" si="23"/>
        <v>156</v>
      </c>
    </row>
    <row r="330" spans="1:22" s="49" customFormat="1">
      <c r="A330" s="56" t="s">
        <v>2798</v>
      </c>
      <c r="B330" s="55">
        <v>3</v>
      </c>
      <c r="C330" s="55" t="s">
        <v>2812</v>
      </c>
      <c r="D330" s="55" t="s">
        <v>2800</v>
      </c>
      <c r="E330" s="55" t="s">
        <v>2801</v>
      </c>
      <c r="F330" s="55" t="s">
        <v>2801</v>
      </c>
      <c r="G330" s="55" t="s">
        <v>2801</v>
      </c>
      <c r="H330" s="55" t="s">
        <v>3166</v>
      </c>
      <c r="I330" s="103" t="s">
        <v>2780</v>
      </c>
      <c r="J330" s="103">
        <v>6</v>
      </c>
      <c r="K330" s="103">
        <v>5</v>
      </c>
      <c r="L330" s="55" t="s">
        <v>378</v>
      </c>
      <c r="M330" s="55">
        <v>87</v>
      </c>
      <c r="N330" s="55" t="s">
        <v>1501</v>
      </c>
      <c r="O330" s="85"/>
      <c r="P330" s="57" t="s">
        <v>2744</v>
      </c>
      <c r="Q330" s="18">
        <f t="shared" si="20"/>
        <v>1</v>
      </c>
      <c r="R330" s="49">
        <v>100</v>
      </c>
      <c r="S330" s="49">
        <f t="shared" si="21"/>
        <v>100</v>
      </c>
      <c r="U330" s="49">
        <f t="shared" si="22"/>
        <v>0</v>
      </c>
      <c r="V330" s="49">
        <f t="shared" si="23"/>
        <v>100</v>
      </c>
    </row>
    <row r="331" spans="1:22" s="49" customFormat="1">
      <c r="A331" s="56" t="s">
        <v>2795</v>
      </c>
      <c r="B331" s="55">
        <v>1</v>
      </c>
      <c r="C331" s="55" t="s">
        <v>2812</v>
      </c>
      <c r="D331" s="55" t="s">
        <v>2812</v>
      </c>
      <c r="E331" s="55" t="s">
        <v>2812</v>
      </c>
      <c r="F331" s="55" t="s">
        <v>2812</v>
      </c>
      <c r="G331" s="55" t="s">
        <v>2812</v>
      </c>
      <c r="H331" s="55" t="s">
        <v>2766</v>
      </c>
      <c r="I331" s="103"/>
      <c r="J331" s="103">
        <v>0</v>
      </c>
      <c r="K331" s="103">
        <v>7</v>
      </c>
      <c r="L331" s="55" t="s">
        <v>378</v>
      </c>
      <c r="M331" s="55">
        <v>87</v>
      </c>
      <c r="N331" s="55" t="s">
        <v>249</v>
      </c>
      <c r="O331" s="85"/>
      <c r="P331" s="57" t="s">
        <v>2770</v>
      </c>
      <c r="Q331" s="18">
        <f t="shared" si="20"/>
        <v>0</v>
      </c>
      <c r="R331" s="49">
        <v>10</v>
      </c>
      <c r="S331" s="49">
        <f t="shared" si="21"/>
        <v>0</v>
      </c>
      <c r="U331" s="49">
        <f t="shared" si="22"/>
        <v>0</v>
      </c>
      <c r="V331" s="49">
        <f t="shared" si="23"/>
        <v>0</v>
      </c>
    </row>
    <row r="332" spans="1:22" s="49" customFormat="1">
      <c r="A332" s="56" t="s">
        <v>787</v>
      </c>
      <c r="B332" s="55">
        <v>2</v>
      </c>
      <c r="C332" s="55" t="s">
        <v>2812</v>
      </c>
      <c r="D332" s="55" t="s">
        <v>2812</v>
      </c>
      <c r="E332" s="55"/>
      <c r="F332" s="55"/>
      <c r="G332" s="55" t="s">
        <v>2801</v>
      </c>
      <c r="H332" s="55" t="s">
        <v>3024</v>
      </c>
      <c r="I332" s="103" t="s">
        <v>2914</v>
      </c>
      <c r="J332" s="103">
        <v>2</v>
      </c>
      <c r="K332" s="103">
        <v>19</v>
      </c>
      <c r="L332" s="55" t="s">
        <v>378</v>
      </c>
      <c r="M332" s="55">
        <v>87</v>
      </c>
      <c r="N332" s="55" t="s">
        <v>923</v>
      </c>
      <c r="O332" s="55" t="s">
        <v>1716</v>
      </c>
      <c r="P332" s="57" t="s">
        <v>2887</v>
      </c>
      <c r="Q332" s="18">
        <f t="shared" si="20"/>
        <v>2</v>
      </c>
      <c r="R332" s="49">
        <v>30</v>
      </c>
      <c r="S332" s="49">
        <f t="shared" si="21"/>
        <v>60</v>
      </c>
      <c r="U332" s="49">
        <f t="shared" si="22"/>
        <v>60</v>
      </c>
      <c r="V332" s="49">
        <f t="shared" si="23"/>
        <v>0</v>
      </c>
    </row>
    <row r="333" spans="1:22" s="49" customFormat="1" ht="14.25" thickBot="1">
      <c r="A333" s="53" t="s">
        <v>2940</v>
      </c>
      <c r="B333" s="54">
        <v>3</v>
      </c>
      <c r="C333" s="54" t="s">
        <v>2812</v>
      </c>
      <c r="D333" s="54" t="s">
        <v>2800</v>
      </c>
      <c r="E333" s="54" t="s">
        <v>2801</v>
      </c>
      <c r="F333" s="54" t="s">
        <v>2801</v>
      </c>
      <c r="G333" s="54" t="s">
        <v>2801</v>
      </c>
      <c r="H333" s="54" t="s">
        <v>3167</v>
      </c>
      <c r="I333" s="126" t="s">
        <v>1734</v>
      </c>
      <c r="J333" s="126">
        <v>5</v>
      </c>
      <c r="K333" s="126">
        <v>19</v>
      </c>
      <c r="L333" s="54" t="s">
        <v>378</v>
      </c>
      <c r="M333" s="54">
        <v>87</v>
      </c>
      <c r="N333" s="54" t="s">
        <v>1501</v>
      </c>
      <c r="O333" s="54"/>
      <c r="P333" s="11" t="s">
        <v>2939</v>
      </c>
      <c r="Q333" s="18">
        <f t="shared" si="20"/>
        <v>1</v>
      </c>
      <c r="R333" s="49">
        <v>131</v>
      </c>
      <c r="S333" s="49">
        <f t="shared" si="21"/>
        <v>131</v>
      </c>
      <c r="U333" s="49">
        <f t="shared" si="22"/>
        <v>0</v>
      </c>
      <c r="V333" s="49">
        <f t="shared" si="23"/>
        <v>131</v>
      </c>
    </row>
    <row r="334" spans="1:22" s="49" customFormat="1">
      <c r="A334" s="150"/>
      <c r="B334" s="151"/>
      <c r="C334" s="151"/>
      <c r="D334" s="151"/>
      <c r="E334" s="151"/>
      <c r="F334" s="151"/>
      <c r="G334" s="152"/>
      <c r="H334" s="137" t="s">
        <v>2955</v>
      </c>
      <c r="I334" s="139" t="s">
        <v>2099</v>
      </c>
      <c r="J334" s="139"/>
      <c r="K334" s="139"/>
      <c r="L334" s="138" t="s">
        <v>2098</v>
      </c>
      <c r="M334" s="138"/>
      <c r="N334" s="138" t="s">
        <v>2094</v>
      </c>
      <c r="O334" s="140" t="s">
        <v>2101</v>
      </c>
      <c r="P334" s="141" t="s">
        <v>2102</v>
      </c>
      <c r="Q334" s="18" t="str">
        <f t="shared" si="20"/>
        <v/>
      </c>
      <c r="R334" s="49" t="s">
        <v>3119</v>
      </c>
      <c r="S334" s="49">
        <f t="shared" si="21"/>
        <v>0</v>
      </c>
      <c r="T334" s="49">
        <f>SUM(S334:S339)</f>
        <v>571</v>
      </c>
      <c r="U334" s="49">
        <f t="shared" si="22"/>
        <v>0</v>
      </c>
      <c r="V334" s="49">
        <f t="shared" si="23"/>
        <v>0</v>
      </c>
    </row>
    <row r="335" spans="1:22" s="49" customFormat="1">
      <c r="A335" s="56" t="s">
        <v>2913</v>
      </c>
      <c r="B335" s="55">
        <v>1</v>
      </c>
      <c r="C335" s="55" t="s">
        <v>2812</v>
      </c>
      <c r="D335" s="55"/>
      <c r="E335" s="55"/>
      <c r="F335" s="55"/>
      <c r="G335" s="55"/>
      <c r="H335" s="55" t="s">
        <v>3025</v>
      </c>
      <c r="I335" s="55" t="s">
        <v>5</v>
      </c>
      <c r="J335" s="55">
        <v>1</v>
      </c>
      <c r="K335" s="103">
        <v>1</v>
      </c>
      <c r="L335" s="55" t="s">
        <v>380</v>
      </c>
      <c r="M335" s="55">
        <v>89</v>
      </c>
      <c r="N335" s="103" t="s">
        <v>923</v>
      </c>
      <c r="O335" s="85" t="s">
        <v>1680</v>
      </c>
      <c r="P335" s="57" t="s">
        <v>2821</v>
      </c>
      <c r="Q335" s="18">
        <f t="shared" si="20"/>
        <v>4</v>
      </c>
      <c r="R335" s="49">
        <v>10</v>
      </c>
      <c r="S335" s="49">
        <f t="shared" si="21"/>
        <v>40</v>
      </c>
      <c r="U335" s="49">
        <f t="shared" si="22"/>
        <v>40</v>
      </c>
      <c r="V335" s="49">
        <f t="shared" si="23"/>
        <v>0</v>
      </c>
    </row>
    <row r="336" spans="1:22" s="49" customFormat="1">
      <c r="A336" s="56" t="s">
        <v>2913</v>
      </c>
      <c r="B336" s="55">
        <v>1</v>
      </c>
      <c r="C336" s="55" t="s">
        <v>2812</v>
      </c>
      <c r="D336" s="55" t="s">
        <v>2812</v>
      </c>
      <c r="E336" s="55" t="s">
        <v>2812</v>
      </c>
      <c r="F336" s="55"/>
      <c r="G336" s="55"/>
      <c r="H336" s="55" t="s">
        <v>3026</v>
      </c>
      <c r="I336" s="55" t="s">
        <v>1016</v>
      </c>
      <c r="J336" s="55">
        <v>4</v>
      </c>
      <c r="K336" s="103">
        <v>4</v>
      </c>
      <c r="L336" s="55" t="s">
        <v>380</v>
      </c>
      <c r="M336" s="55">
        <v>89</v>
      </c>
      <c r="N336" s="103" t="s">
        <v>1501</v>
      </c>
      <c r="O336" s="85"/>
      <c r="P336" s="57" t="s">
        <v>2809</v>
      </c>
      <c r="Q336" s="18">
        <f t="shared" si="20"/>
        <v>2</v>
      </c>
      <c r="R336" s="49">
        <v>10</v>
      </c>
      <c r="S336" s="49">
        <f t="shared" si="21"/>
        <v>20</v>
      </c>
      <c r="U336" s="49">
        <f t="shared" si="22"/>
        <v>20</v>
      </c>
      <c r="V336" s="49">
        <f t="shared" si="23"/>
        <v>0</v>
      </c>
    </row>
    <row r="337" spans="1:23" s="49" customFormat="1">
      <c r="A337" s="56" t="s">
        <v>2798</v>
      </c>
      <c r="B337" s="55">
        <v>3</v>
      </c>
      <c r="C337" s="55"/>
      <c r="D337" s="55" t="s">
        <v>2800</v>
      </c>
      <c r="E337" s="55" t="s">
        <v>2801</v>
      </c>
      <c r="F337" s="55" t="s">
        <v>2801</v>
      </c>
      <c r="G337" s="55" t="s">
        <v>2801</v>
      </c>
      <c r="H337" s="55" t="s">
        <v>3168</v>
      </c>
      <c r="I337" s="103">
        <v>5</v>
      </c>
      <c r="J337" s="103">
        <v>5</v>
      </c>
      <c r="K337" s="103">
        <v>6</v>
      </c>
      <c r="L337" s="55" t="s">
        <v>380</v>
      </c>
      <c r="M337" s="55">
        <v>89</v>
      </c>
      <c r="N337" s="55" t="s">
        <v>2237</v>
      </c>
      <c r="O337" s="85"/>
      <c r="P337" s="57" t="s">
        <v>2730</v>
      </c>
      <c r="Q337" s="18">
        <f t="shared" si="20"/>
        <v>2</v>
      </c>
      <c r="R337" s="49">
        <v>45</v>
      </c>
      <c r="S337" s="49">
        <f t="shared" si="21"/>
        <v>90</v>
      </c>
      <c r="U337" s="49">
        <f t="shared" si="22"/>
        <v>0</v>
      </c>
      <c r="V337" s="49">
        <f t="shared" si="23"/>
        <v>90</v>
      </c>
    </row>
    <row r="338" spans="1:23" s="49" customFormat="1">
      <c r="A338" s="56" t="s">
        <v>2799</v>
      </c>
      <c r="B338" s="55">
        <v>4</v>
      </c>
      <c r="C338" s="55"/>
      <c r="D338" s="55" t="s">
        <v>2801</v>
      </c>
      <c r="E338" s="55" t="s">
        <v>2801</v>
      </c>
      <c r="F338" s="55" t="s">
        <v>2801</v>
      </c>
      <c r="G338" s="55" t="s">
        <v>2801</v>
      </c>
      <c r="H338" s="55" t="s">
        <v>3169</v>
      </c>
      <c r="I338" s="103" t="s">
        <v>1640</v>
      </c>
      <c r="J338" s="103">
        <v>5</v>
      </c>
      <c r="K338" s="103">
        <v>17</v>
      </c>
      <c r="L338" s="55" t="s">
        <v>380</v>
      </c>
      <c r="M338" s="55">
        <v>89</v>
      </c>
      <c r="N338" s="55" t="s">
        <v>923</v>
      </c>
      <c r="O338" s="85" t="s">
        <v>1485</v>
      </c>
      <c r="P338" s="57" t="s">
        <v>2727</v>
      </c>
      <c r="Q338" s="18">
        <f t="shared" si="20"/>
        <v>1</v>
      </c>
      <c r="R338" s="49">
        <v>381</v>
      </c>
      <c r="S338" s="49">
        <f t="shared" si="21"/>
        <v>381</v>
      </c>
      <c r="U338" s="49">
        <f t="shared" si="22"/>
        <v>0</v>
      </c>
      <c r="V338" s="49">
        <f t="shared" si="23"/>
        <v>381</v>
      </c>
    </row>
    <row r="339" spans="1:23" s="49" customFormat="1" ht="14.25" thickBot="1">
      <c r="A339" s="53" t="s">
        <v>2798</v>
      </c>
      <c r="B339" s="54">
        <v>3</v>
      </c>
      <c r="C339" s="54" t="s">
        <v>2812</v>
      </c>
      <c r="D339" s="54" t="s">
        <v>2800</v>
      </c>
      <c r="E339" s="54" t="s">
        <v>2801</v>
      </c>
      <c r="F339" s="54" t="s">
        <v>2801</v>
      </c>
      <c r="G339" s="54" t="s">
        <v>2801</v>
      </c>
      <c r="H339" s="54" t="s">
        <v>3170</v>
      </c>
      <c r="I339" s="126" t="s">
        <v>2517</v>
      </c>
      <c r="J339" s="126">
        <v>4</v>
      </c>
      <c r="K339" s="126">
        <v>19</v>
      </c>
      <c r="L339" s="54" t="s">
        <v>380</v>
      </c>
      <c r="M339" s="54">
        <v>89</v>
      </c>
      <c r="N339" s="54" t="s">
        <v>923</v>
      </c>
      <c r="O339" s="93" t="s">
        <v>1716</v>
      </c>
      <c r="P339" s="11" t="s">
        <v>2595</v>
      </c>
      <c r="Q339" s="18">
        <f t="shared" si="20"/>
        <v>1</v>
      </c>
      <c r="R339" s="49">
        <v>40</v>
      </c>
      <c r="S339" s="49">
        <f t="shared" si="21"/>
        <v>40</v>
      </c>
      <c r="U339" s="49">
        <f t="shared" si="22"/>
        <v>0</v>
      </c>
      <c r="V339" s="49">
        <f t="shared" si="23"/>
        <v>40</v>
      </c>
    </row>
    <row r="340" spans="1:23" s="49" customFormat="1">
      <c r="A340" s="150"/>
      <c r="B340" s="151"/>
      <c r="C340" s="151"/>
      <c r="D340" s="151"/>
      <c r="E340" s="151"/>
      <c r="F340" s="151"/>
      <c r="G340" s="152"/>
      <c r="H340" s="137" t="s">
        <v>2955</v>
      </c>
      <c r="I340" s="139" t="s">
        <v>2099</v>
      </c>
      <c r="J340" s="139"/>
      <c r="K340" s="139"/>
      <c r="L340" s="138" t="s">
        <v>2098</v>
      </c>
      <c r="M340" s="138"/>
      <c r="N340" s="138" t="s">
        <v>2094</v>
      </c>
      <c r="O340" s="140" t="s">
        <v>2101</v>
      </c>
      <c r="P340" s="141" t="s">
        <v>2102</v>
      </c>
      <c r="Q340" s="18" t="str">
        <f t="shared" si="20"/>
        <v/>
      </c>
      <c r="R340" s="49" t="s">
        <v>3119</v>
      </c>
      <c r="S340" s="49">
        <f t="shared" si="21"/>
        <v>0</v>
      </c>
      <c r="T340" s="49">
        <f>SUM(S340:S342)</f>
        <v>0</v>
      </c>
      <c r="U340" s="49">
        <f t="shared" si="22"/>
        <v>0</v>
      </c>
      <c r="V340" s="49">
        <f t="shared" si="23"/>
        <v>0</v>
      </c>
    </row>
    <row r="341" spans="1:23" s="49" customFormat="1">
      <c r="A341" s="56" t="s">
        <v>2799</v>
      </c>
      <c r="B341" s="55">
        <v>4</v>
      </c>
      <c r="C341" s="55" t="s">
        <v>2812</v>
      </c>
      <c r="D341" s="55" t="s">
        <v>2801</v>
      </c>
      <c r="E341" s="55" t="s">
        <v>2801</v>
      </c>
      <c r="F341" s="55" t="s">
        <v>2801</v>
      </c>
      <c r="G341" s="55" t="s">
        <v>2801</v>
      </c>
      <c r="H341" s="55" t="s">
        <v>3027</v>
      </c>
      <c r="I341" s="103" t="s">
        <v>2787</v>
      </c>
      <c r="J341" s="103">
        <v>5</v>
      </c>
      <c r="K341" s="103">
        <v>13</v>
      </c>
      <c r="L341" s="55" t="s">
        <v>2788</v>
      </c>
      <c r="M341" s="55">
        <v>93</v>
      </c>
      <c r="N341" s="55" t="s">
        <v>923</v>
      </c>
      <c r="O341" s="85" t="s">
        <v>1716</v>
      </c>
      <c r="P341" s="57" t="s">
        <v>2698</v>
      </c>
      <c r="Q341" s="18">
        <f t="shared" si="20"/>
        <v>0</v>
      </c>
      <c r="R341" s="49" t="s">
        <v>3119</v>
      </c>
      <c r="S341" s="49">
        <f t="shared" si="21"/>
        <v>0</v>
      </c>
      <c r="U341" s="49">
        <f t="shared" si="22"/>
        <v>0</v>
      </c>
      <c r="V341" s="49">
        <f t="shared" si="23"/>
        <v>0</v>
      </c>
    </row>
    <row r="342" spans="1:23" s="49" customFormat="1" ht="14.25" thickBot="1">
      <c r="A342" s="53" t="s">
        <v>2799</v>
      </c>
      <c r="B342" s="54">
        <v>4</v>
      </c>
      <c r="C342" s="54" t="s">
        <v>2812</v>
      </c>
      <c r="D342" s="54" t="s">
        <v>2801</v>
      </c>
      <c r="E342" s="54" t="s">
        <v>2801</v>
      </c>
      <c r="F342" s="54" t="s">
        <v>2801</v>
      </c>
      <c r="G342" s="54" t="s">
        <v>2801</v>
      </c>
      <c r="H342" s="54" t="s">
        <v>3028</v>
      </c>
      <c r="I342" s="126" t="s">
        <v>2789</v>
      </c>
      <c r="J342" s="126">
        <v>5</v>
      </c>
      <c r="K342" s="126">
        <v>14</v>
      </c>
      <c r="L342" s="54" t="s">
        <v>2803</v>
      </c>
      <c r="M342" s="54">
        <v>93</v>
      </c>
      <c r="N342" s="54" t="s">
        <v>1493</v>
      </c>
      <c r="O342" s="93"/>
      <c r="P342" s="11" t="s">
        <v>2721</v>
      </c>
      <c r="Q342" s="18">
        <f t="shared" si="20"/>
        <v>0</v>
      </c>
      <c r="R342" s="49" t="s">
        <v>3119</v>
      </c>
      <c r="S342" s="49">
        <f t="shared" si="21"/>
        <v>0</v>
      </c>
      <c r="U342" s="49">
        <f t="shared" si="22"/>
        <v>0</v>
      </c>
      <c r="V342" s="49">
        <f t="shared" si="23"/>
        <v>0</v>
      </c>
    </row>
    <row r="343" spans="1:23" s="49" customFormat="1">
      <c r="I343" s="102"/>
      <c r="J343" s="102"/>
      <c r="K343" s="102"/>
      <c r="O343" s="58"/>
      <c r="Q343" s="18">
        <f>SUM(Q1:Q342)</f>
        <v>679</v>
      </c>
      <c r="S343" s="49">
        <f>SUM(S2:S342)</f>
        <v>47723</v>
      </c>
      <c r="T343" s="49">
        <f>SUM(T1:T342)</f>
        <v>47723</v>
      </c>
      <c r="U343" s="49">
        <f>SUM(U1:U342)</f>
        <v>10280</v>
      </c>
      <c r="V343" s="49">
        <f>SUM(V1:V342)</f>
        <v>37443</v>
      </c>
      <c r="W343" s="49">
        <f>SUM(T195:T342)</f>
        <v>19702</v>
      </c>
    </row>
    <row r="347" spans="1:23">
      <c r="Q347" s="19">
        <f>1240/8</f>
        <v>155</v>
      </c>
    </row>
  </sheetData>
  <autoFilter ref="A1:P342"/>
  <sortState ref="A2:Q349">
    <sortCondition ref="M2:M349"/>
    <sortCondition ref="K2:K349"/>
    <sortCondition ref="J2:J349"/>
    <sortCondition ref="B2:B349"/>
  </sortState>
  <phoneticPr fontId="1"/>
  <pageMargins left="0.7" right="0.7" top="0.75" bottom="0.75" header="0.3" footer="0.3"/>
  <pageSetup paperSize="9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H165"/>
  <sheetViews>
    <sheetView topLeftCell="A97" workbookViewId="0">
      <selection activeCell="C5" sqref="C5"/>
    </sheetView>
  </sheetViews>
  <sheetFormatPr defaultRowHeight="13.5"/>
  <cols>
    <col min="5" max="5" width="2.5" bestFit="1" customWidth="1"/>
    <col min="7" max="7" width="2.5" bestFit="1" customWidth="1"/>
  </cols>
  <sheetData>
    <row r="1" spans="1:8">
      <c r="A1" t="s">
        <v>2465</v>
      </c>
      <c r="D1" t="s">
        <v>2133</v>
      </c>
      <c r="E1">
        <f>COUNTIF(D:D,D1)</f>
        <v>1</v>
      </c>
      <c r="F1" t="s">
        <v>157</v>
      </c>
      <c r="G1">
        <f t="shared" ref="G1:G32" si="0">COUNTIF(D:D,F1)</f>
        <v>1</v>
      </c>
      <c r="H1">
        <f>SUM(G:G)</f>
        <v>87</v>
      </c>
    </row>
    <row r="2" spans="1:8">
      <c r="A2" t="s">
        <v>2133</v>
      </c>
      <c r="D2" t="s">
        <v>337</v>
      </c>
      <c r="E2" s="49">
        <f t="shared" ref="E2:E65" si="1">COUNTIF(D:D,D2)</f>
        <v>1</v>
      </c>
      <c r="F2" t="s">
        <v>158</v>
      </c>
      <c r="G2" s="49">
        <f t="shared" si="0"/>
        <v>1</v>
      </c>
    </row>
    <row r="3" spans="1:8">
      <c r="A3" t="s">
        <v>3062</v>
      </c>
      <c r="D3" t="s">
        <v>3216</v>
      </c>
      <c r="E3" s="49">
        <f t="shared" si="1"/>
        <v>1</v>
      </c>
      <c r="F3" t="s">
        <v>3290</v>
      </c>
      <c r="G3" s="49">
        <f t="shared" si="0"/>
        <v>1</v>
      </c>
    </row>
    <row r="4" spans="1:8">
      <c r="A4" s="49" t="s">
        <v>3063</v>
      </c>
      <c r="D4" t="s">
        <v>3218</v>
      </c>
      <c r="E4" s="49">
        <f t="shared" si="1"/>
        <v>1</v>
      </c>
      <c r="F4" t="s">
        <v>160</v>
      </c>
      <c r="G4" s="49">
        <f t="shared" si="0"/>
        <v>1</v>
      </c>
    </row>
    <row r="5" spans="1:8">
      <c r="A5" t="s">
        <v>3116</v>
      </c>
      <c r="D5" t="s">
        <v>3217</v>
      </c>
      <c r="E5" s="49">
        <f t="shared" si="1"/>
        <v>1</v>
      </c>
      <c r="F5" t="s">
        <v>161</v>
      </c>
      <c r="G5" s="49">
        <f t="shared" si="0"/>
        <v>1</v>
      </c>
    </row>
    <row r="6" spans="1:8">
      <c r="A6" t="s">
        <v>3117</v>
      </c>
      <c r="D6" t="s">
        <v>3219</v>
      </c>
      <c r="E6" s="49">
        <f t="shared" si="1"/>
        <v>1</v>
      </c>
      <c r="F6" t="s">
        <v>162</v>
      </c>
      <c r="G6" s="49">
        <f t="shared" si="0"/>
        <v>0</v>
      </c>
    </row>
    <row r="7" spans="1:8">
      <c r="A7" t="s">
        <v>3064</v>
      </c>
      <c r="D7" t="s">
        <v>3220</v>
      </c>
      <c r="E7" s="49">
        <f t="shared" si="1"/>
        <v>1</v>
      </c>
      <c r="F7" t="s">
        <v>2435</v>
      </c>
      <c r="G7" s="49">
        <f t="shared" si="0"/>
        <v>1</v>
      </c>
    </row>
    <row r="8" spans="1:8">
      <c r="A8" t="s">
        <v>3065</v>
      </c>
      <c r="D8" t="s">
        <v>3221</v>
      </c>
      <c r="E8" s="49">
        <f t="shared" si="1"/>
        <v>1</v>
      </c>
      <c r="F8" t="s">
        <v>770</v>
      </c>
      <c r="G8" s="49">
        <f t="shared" si="0"/>
        <v>1</v>
      </c>
    </row>
    <row r="9" spans="1:8">
      <c r="A9" t="s">
        <v>2150</v>
      </c>
      <c r="D9" t="s">
        <v>3222</v>
      </c>
      <c r="E9" s="49">
        <f t="shared" si="1"/>
        <v>1</v>
      </c>
      <c r="F9" t="s">
        <v>775</v>
      </c>
      <c r="G9" s="49">
        <f t="shared" si="0"/>
        <v>1</v>
      </c>
    </row>
    <row r="10" spans="1:8">
      <c r="A10" t="s">
        <v>3066</v>
      </c>
      <c r="D10" t="s">
        <v>2150</v>
      </c>
      <c r="E10" s="49">
        <f t="shared" si="1"/>
        <v>1</v>
      </c>
      <c r="F10" t="s">
        <v>653</v>
      </c>
      <c r="G10" s="49">
        <f t="shared" si="0"/>
        <v>1</v>
      </c>
    </row>
    <row r="11" spans="1:8">
      <c r="A11" t="s">
        <v>3067</v>
      </c>
      <c r="D11" t="s">
        <v>693</v>
      </c>
      <c r="E11" s="49">
        <f t="shared" si="1"/>
        <v>1</v>
      </c>
      <c r="F11" t="s">
        <v>654</v>
      </c>
      <c r="G11" s="49">
        <f t="shared" si="0"/>
        <v>1</v>
      </c>
    </row>
    <row r="12" spans="1:8">
      <c r="A12" t="s">
        <v>3068</v>
      </c>
      <c r="D12" t="s">
        <v>3223</v>
      </c>
      <c r="E12" s="49">
        <f t="shared" si="1"/>
        <v>1</v>
      </c>
      <c r="F12" t="s">
        <v>655</v>
      </c>
      <c r="G12" s="49">
        <f t="shared" si="0"/>
        <v>0</v>
      </c>
    </row>
    <row r="13" spans="1:8">
      <c r="A13" t="s">
        <v>747</v>
      </c>
      <c r="D13" t="s">
        <v>3225</v>
      </c>
      <c r="E13" s="49">
        <f t="shared" si="1"/>
        <v>1</v>
      </c>
      <c r="F13" t="s">
        <v>656</v>
      </c>
      <c r="G13" s="49">
        <f t="shared" si="0"/>
        <v>1</v>
      </c>
    </row>
    <row r="14" spans="1:8">
      <c r="A14" t="s">
        <v>3069</v>
      </c>
      <c r="D14" t="s">
        <v>747</v>
      </c>
      <c r="E14" s="49">
        <f t="shared" si="1"/>
        <v>1</v>
      </c>
      <c r="F14" t="s">
        <v>743</v>
      </c>
      <c r="G14" s="49">
        <f t="shared" si="0"/>
        <v>1</v>
      </c>
    </row>
    <row r="15" spans="1:8">
      <c r="A15" t="s">
        <v>3078</v>
      </c>
      <c r="D15" t="s">
        <v>3224</v>
      </c>
      <c r="E15" s="49">
        <f t="shared" si="1"/>
        <v>1</v>
      </c>
      <c r="F15" t="s">
        <v>744</v>
      </c>
      <c r="G15" s="49">
        <f t="shared" si="0"/>
        <v>0</v>
      </c>
    </row>
    <row r="16" spans="1:8">
      <c r="A16" t="s">
        <v>3079</v>
      </c>
      <c r="D16" t="s">
        <v>3227</v>
      </c>
      <c r="E16" s="49">
        <f t="shared" si="1"/>
        <v>1</v>
      </c>
      <c r="F16" t="s">
        <v>745</v>
      </c>
      <c r="G16" s="49">
        <f t="shared" si="0"/>
        <v>0</v>
      </c>
    </row>
    <row r="17" spans="1:7">
      <c r="A17" t="s">
        <v>3077</v>
      </c>
      <c r="D17" t="s">
        <v>3226</v>
      </c>
      <c r="E17" s="49">
        <f t="shared" si="1"/>
        <v>1</v>
      </c>
      <c r="F17" t="s">
        <v>319</v>
      </c>
      <c r="G17" s="49">
        <f t="shared" si="0"/>
        <v>1</v>
      </c>
    </row>
    <row r="18" spans="1:7">
      <c r="A18" t="s">
        <v>3070</v>
      </c>
      <c r="D18" t="s">
        <v>3228</v>
      </c>
      <c r="E18" s="49">
        <f t="shared" si="1"/>
        <v>1</v>
      </c>
      <c r="F18" t="s">
        <v>163</v>
      </c>
      <c r="G18" s="49">
        <f t="shared" si="0"/>
        <v>1</v>
      </c>
    </row>
    <row r="19" spans="1:7">
      <c r="A19" t="s">
        <v>3071</v>
      </c>
      <c r="D19" t="s">
        <v>3229</v>
      </c>
      <c r="E19" s="49">
        <f t="shared" si="1"/>
        <v>1</v>
      </c>
      <c r="F19" t="s">
        <v>658</v>
      </c>
      <c r="G19" s="49">
        <f t="shared" si="0"/>
        <v>0</v>
      </c>
    </row>
    <row r="20" spans="1:7">
      <c r="A20" t="s">
        <v>2179</v>
      </c>
      <c r="D20" t="s">
        <v>2179</v>
      </c>
      <c r="E20" s="49">
        <f t="shared" si="1"/>
        <v>1</v>
      </c>
      <c r="F20" t="s">
        <v>659</v>
      </c>
      <c r="G20" s="49">
        <f t="shared" si="0"/>
        <v>1</v>
      </c>
    </row>
    <row r="21" spans="1:7">
      <c r="A21" t="s">
        <v>3072</v>
      </c>
      <c r="D21" t="s">
        <v>3230</v>
      </c>
      <c r="E21" s="49">
        <f t="shared" si="1"/>
        <v>1</v>
      </c>
      <c r="F21" t="s">
        <v>746</v>
      </c>
      <c r="G21" s="49">
        <f t="shared" si="0"/>
        <v>0</v>
      </c>
    </row>
    <row r="22" spans="1:7">
      <c r="A22" t="s">
        <v>3073</v>
      </c>
      <c r="D22" t="s">
        <v>3231</v>
      </c>
      <c r="E22" s="49">
        <f t="shared" si="1"/>
        <v>1</v>
      </c>
      <c r="F22" t="s">
        <v>660</v>
      </c>
      <c r="G22" s="49">
        <f t="shared" si="0"/>
        <v>0</v>
      </c>
    </row>
    <row r="23" spans="1:7">
      <c r="A23" t="s">
        <v>2189</v>
      </c>
      <c r="D23" t="s">
        <v>3232</v>
      </c>
      <c r="E23" s="49">
        <f t="shared" si="1"/>
        <v>1</v>
      </c>
      <c r="F23" t="s">
        <v>747</v>
      </c>
      <c r="G23" s="49">
        <f t="shared" si="0"/>
        <v>1</v>
      </c>
    </row>
    <row r="24" spans="1:7">
      <c r="A24" t="s">
        <v>3074</v>
      </c>
      <c r="D24" t="s">
        <v>2189</v>
      </c>
      <c r="E24" s="49">
        <f t="shared" si="1"/>
        <v>1</v>
      </c>
      <c r="F24" t="s">
        <v>748</v>
      </c>
      <c r="G24" s="49">
        <f t="shared" si="0"/>
        <v>0</v>
      </c>
    </row>
    <row r="25" spans="1:7">
      <c r="A25" t="s">
        <v>3075</v>
      </c>
      <c r="D25" t="s">
        <v>3233</v>
      </c>
      <c r="E25" s="49">
        <f t="shared" si="1"/>
        <v>1</v>
      </c>
      <c r="F25" t="s">
        <v>749</v>
      </c>
      <c r="G25" s="49">
        <f t="shared" si="0"/>
        <v>0</v>
      </c>
    </row>
    <row r="26" spans="1:7">
      <c r="A26" t="s">
        <v>3076</v>
      </c>
      <c r="D26" t="s">
        <v>583</v>
      </c>
      <c r="E26" s="49">
        <f t="shared" si="1"/>
        <v>1</v>
      </c>
      <c r="F26" s="49" t="s">
        <v>3291</v>
      </c>
      <c r="G26" s="49">
        <f t="shared" si="0"/>
        <v>1</v>
      </c>
    </row>
    <row r="27" spans="1:7">
      <c r="A27" t="s">
        <v>3080</v>
      </c>
      <c r="D27" t="s">
        <v>3234</v>
      </c>
      <c r="E27" s="49">
        <f t="shared" si="1"/>
        <v>1</v>
      </c>
      <c r="F27" t="s">
        <v>667</v>
      </c>
      <c r="G27" s="49">
        <f t="shared" si="0"/>
        <v>0</v>
      </c>
    </row>
    <row r="28" spans="1:7">
      <c r="A28" t="s">
        <v>668</v>
      </c>
      <c r="D28" t="s">
        <v>3235</v>
      </c>
      <c r="E28" s="49">
        <f t="shared" si="1"/>
        <v>1</v>
      </c>
      <c r="F28" t="s">
        <v>750</v>
      </c>
      <c r="G28" s="49">
        <f t="shared" si="0"/>
        <v>1</v>
      </c>
    </row>
    <row r="29" spans="1:7">
      <c r="A29" t="s">
        <v>3081</v>
      </c>
      <c r="D29" t="s">
        <v>158</v>
      </c>
      <c r="E29" s="49">
        <f t="shared" si="1"/>
        <v>1</v>
      </c>
      <c r="F29" t="s">
        <v>3292</v>
      </c>
      <c r="G29" s="49">
        <f t="shared" si="0"/>
        <v>1</v>
      </c>
    </row>
    <row r="30" spans="1:7">
      <c r="A30" t="s">
        <v>2205</v>
      </c>
      <c r="D30" t="s">
        <v>3236</v>
      </c>
      <c r="E30" s="49">
        <f t="shared" si="1"/>
        <v>1</v>
      </c>
      <c r="F30" t="s">
        <v>752</v>
      </c>
      <c r="G30" s="49">
        <f t="shared" si="0"/>
        <v>0</v>
      </c>
    </row>
    <row r="31" spans="1:7">
      <c r="A31" t="s">
        <v>3082</v>
      </c>
      <c r="D31" t="s">
        <v>3237</v>
      </c>
      <c r="E31" s="49">
        <f t="shared" si="1"/>
        <v>1</v>
      </c>
      <c r="F31" t="s">
        <v>753</v>
      </c>
      <c r="G31" s="49">
        <f t="shared" si="0"/>
        <v>0</v>
      </c>
    </row>
    <row r="32" spans="1:7">
      <c r="A32" t="s">
        <v>3083</v>
      </c>
      <c r="D32" t="s">
        <v>3238</v>
      </c>
      <c r="E32" s="49">
        <f t="shared" si="1"/>
        <v>1</v>
      </c>
      <c r="F32" t="s">
        <v>305</v>
      </c>
      <c r="G32" s="49">
        <f t="shared" si="0"/>
        <v>0</v>
      </c>
    </row>
    <row r="33" spans="1:7">
      <c r="A33" t="s">
        <v>1143</v>
      </c>
      <c r="D33" t="s">
        <v>2205</v>
      </c>
      <c r="E33" s="49">
        <f t="shared" si="1"/>
        <v>1</v>
      </c>
      <c r="F33" t="s">
        <v>671</v>
      </c>
      <c r="G33" s="49">
        <f t="shared" ref="G33:G64" si="2">COUNTIF(D:D,F33)</f>
        <v>0</v>
      </c>
    </row>
    <row r="34" spans="1:7">
      <c r="A34" t="s">
        <v>3084</v>
      </c>
      <c r="D34" t="s">
        <v>3239</v>
      </c>
      <c r="E34" s="49">
        <f t="shared" si="1"/>
        <v>1</v>
      </c>
      <c r="F34" t="s">
        <v>672</v>
      </c>
      <c r="G34" s="49">
        <f t="shared" si="2"/>
        <v>0</v>
      </c>
    </row>
    <row r="35" spans="1:7">
      <c r="A35" t="s">
        <v>2218</v>
      </c>
      <c r="D35" t="s">
        <v>3240</v>
      </c>
      <c r="E35" s="49">
        <f t="shared" si="1"/>
        <v>1</v>
      </c>
      <c r="F35" t="s">
        <v>754</v>
      </c>
      <c r="G35" s="49">
        <f t="shared" si="2"/>
        <v>0</v>
      </c>
    </row>
    <row r="36" spans="1:7">
      <c r="A36" t="s">
        <v>3085</v>
      </c>
      <c r="D36" t="s">
        <v>3241</v>
      </c>
      <c r="E36" s="49">
        <f t="shared" si="1"/>
        <v>1</v>
      </c>
      <c r="F36" t="s">
        <v>673</v>
      </c>
      <c r="G36" s="49">
        <f t="shared" si="2"/>
        <v>0</v>
      </c>
    </row>
    <row r="37" spans="1:7">
      <c r="A37" t="s">
        <v>1943</v>
      </c>
      <c r="D37" t="s">
        <v>3242</v>
      </c>
      <c r="E37" s="49">
        <f t="shared" si="1"/>
        <v>1</v>
      </c>
      <c r="F37" t="s">
        <v>674</v>
      </c>
      <c r="G37" s="49">
        <f t="shared" si="2"/>
        <v>0</v>
      </c>
    </row>
    <row r="38" spans="1:7">
      <c r="A38" t="s">
        <v>730</v>
      </c>
      <c r="D38" t="s">
        <v>2218</v>
      </c>
      <c r="E38" s="49">
        <f t="shared" si="1"/>
        <v>1</v>
      </c>
      <c r="F38" t="s">
        <v>675</v>
      </c>
      <c r="G38" s="49">
        <f t="shared" si="2"/>
        <v>1</v>
      </c>
    </row>
    <row r="39" spans="1:7">
      <c r="A39" t="s">
        <v>3087</v>
      </c>
      <c r="D39" t="s">
        <v>3243</v>
      </c>
      <c r="E39" s="49">
        <f t="shared" si="1"/>
        <v>1</v>
      </c>
      <c r="F39" t="s">
        <v>676</v>
      </c>
      <c r="G39" s="49">
        <f t="shared" si="2"/>
        <v>1</v>
      </c>
    </row>
    <row r="40" spans="1:7">
      <c r="A40" t="s">
        <v>3086</v>
      </c>
      <c r="D40" t="s">
        <v>3244</v>
      </c>
      <c r="E40" s="49">
        <f t="shared" si="1"/>
        <v>1</v>
      </c>
      <c r="F40" t="s">
        <v>677</v>
      </c>
      <c r="G40" s="49">
        <f t="shared" si="2"/>
        <v>0</v>
      </c>
    </row>
    <row r="41" spans="1:7">
      <c r="A41" t="s">
        <v>3088</v>
      </c>
      <c r="D41" t="s">
        <v>1943</v>
      </c>
      <c r="E41" s="49">
        <f t="shared" si="1"/>
        <v>1</v>
      </c>
      <c r="F41" t="s">
        <v>678</v>
      </c>
      <c r="G41" s="49">
        <f t="shared" si="2"/>
        <v>0</v>
      </c>
    </row>
    <row r="42" spans="1:7">
      <c r="A42" t="s">
        <v>3090</v>
      </c>
      <c r="D42" t="s">
        <v>321</v>
      </c>
      <c r="E42" s="49">
        <f t="shared" si="1"/>
        <v>1</v>
      </c>
      <c r="F42" t="s">
        <v>679</v>
      </c>
      <c r="G42" s="49">
        <f t="shared" si="2"/>
        <v>0</v>
      </c>
    </row>
    <row r="43" spans="1:7">
      <c r="A43" t="s">
        <v>3118</v>
      </c>
      <c r="D43" t="s">
        <v>730</v>
      </c>
      <c r="E43" s="49">
        <f t="shared" si="1"/>
        <v>1</v>
      </c>
      <c r="F43" t="s">
        <v>680</v>
      </c>
      <c r="G43" s="49">
        <f t="shared" si="2"/>
        <v>1</v>
      </c>
    </row>
    <row r="44" spans="1:7">
      <c r="A44" t="s">
        <v>3089</v>
      </c>
      <c r="D44" t="s">
        <v>3245</v>
      </c>
      <c r="E44" s="49">
        <f t="shared" si="1"/>
        <v>1</v>
      </c>
      <c r="F44" t="s">
        <v>681</v>
      </c>
      <c r="G44" s="49">
        <f t="shared" si="2"/>
        <v>0</v>
      </c>
    </row>
    <row r="45" spans="1:7">
      <c r="A45" t="s">
        <v>3091</v>
      </c>
      <c r="D45" t="s">
        <v>3246</v>
      </c>
      <c r="E45" s="49">
        <f t="shared" si="1"/>
        <v>1</v>
      </c>
      <c r="F45" t="s">
        <v>682</v>
      </c>
      <c r="G45" s="49">
        <f t="shared" si="2"/>
        <v>1</v>
      </c>
    </row>
    <row r="46" spans="1:7">
      <c r="A46" t="s">
        <v>3092</v>
      </c>
      <c r="D46" t="s">
        <v>3247</v>
      </c>
      <c r="E46" s="49">
        <f t="shared" si="1"/>
        <v>1</v>
      </c>
      <c r="F46" t="s">
        <v>683</v>
      </c>
      <c r="G46" s="49">
        <f t="shared" si="2"/>
        <v>1</v>
      </c>
    </row>
    <row r="47" spans="1:7">
      <c r="A47" t="s">
        <v>3093</v>
      </c>
      <c r="D47" t="s">
        <v>3248</v>
      </c>
      <c r="E47" s="49">
        <f t="shared" si="1"/>
        <v>1</v>
      </c>
      <c r="F47" t="s">
        <v>684</v>
      </c>
      <c r="G47" s="49">
        <f t="shared" si="2"/>
        <v>1</v>
      </c>
    </row>
    <row r="48" spans="1:7">
      <c r="A48" t="s">
        <v>3094</v>
      </c>
      <c r="D48" t="s">
        <v>3249</v>
      </c>
      <c r="E48" s="49">
        <f t="shared" si="1"/>
        <v>1</v>
      </c>
      <c r="F48" t="s">
        <v>3293</v>
      </c>
      <c r="G48" s="49">
        <f t="shared" si="2"/>
        <v>0</v>
      </c>
    </row>
    <row r="49" spans="1:7">
      <c r="A49" t="s">
        <v>3095</v>
      </c>
      <c r="D49" t="s">
        <v>3250</v>
      </c>
      <c r="E49" s="49">
        <f t="shared" si="1"/>
        <v>1</v>
      </c>
      <c r="F49" t="s">
        <v>685</v>
      </c>
      <c r="G49" s="49">
        <f t="shared" si="2"/>
        <v>0</v>
      </c>
    </row>
    <row r="50" spans="1:7">
      <c r="A50" t="s">
        <v>3096</v>
      </c>
      <c r="D50" t="s">
        <v>3251</v>
      </c>
      <c r="E50" s="49">
        <f t="shared" si="1"/>
        <v>1</v>
      </c>
      <c r="F50" t="s">
        <v>688</v>
      </c>
      <c r="G50" s="49">
        <f t="shared" si="2"/>
        <v>0</v>
      </c>
    </row>
    <row r="51" spans="1:7">
      <c r="A51" t="s">
        <v>3097</v>
      </c>
      <c r="D51" t="s">
        <v>3252</v>
      </c>
      <c r="E51" s="49">
        <f t="shared" si="1"/>
        <v>1</v>
      </c>
      <c r="F51" t="s">
        <v>689</v>
      </c>
      <c r="G51" s="49">
        <f t="shared" si="2"/>
        <v>0</v>
      </c>
    </row>
    <row r="52" spans="1:7">
      <c r="A52" t="s">
        <v>313</v>
      </c>
      <c r="D52" t="s">
        <v>3253</v>
      </c>
      <c r="E52" s="49">
        <f t="shared" si="1"/>
        <v>1</v>
      </c>
      <c r="F52" t="s">
        <v>690</v>
      </c>
      <c r="G52" s="49">
        <f t="shared" si="2"/>
        <v>0</v>
      </c>
    </row>
    <row r="53" spans="1:7">
      <c r="A53" t="s">
        <v>3098</v>
      </c>
      <c r="D53" t="s">
        <v>3254</v>
      </c>
      <c r="E53" s="49">
        <f t="shared" si="1"/>
        <v>1</v>
      </c>
      <c r="F53" t="s">
        <v>691</v>
      </c>
      <c r="G53" s="49">
        <f t="shared" si="2"/>
        <v>0</v>
      </c>
    </row>
    <row r="54" spans="1:7">
      <c r="A54" t="s">
        <v>3099</v>
      </c>
      <c r="D54" t="s">
        <v>3255</v>
      </c>
      <c r="E54" s="49">
        <f t="shared" si="1"/>
        <v>1</v>
      </c>
      <c r="F54" t="s">
        <v>692</v>
      </c>
      <c r="G54" s="49">
        <f t="shared" si="2"/>
        <v>0</v>
      </c>
    </row>
    <row r="55" spans="1:7">
      <c r="A55" t="s">
        <v>3100</v>
      </c>
      <c r="D55" t="s">
        <v>3256</v>
      </c>
      <c r="E55" s="49">
        <f t="shared" si="1"/>
        <v>1</v>
      </c>
      <c r="F55" t="s">
        <v>693</v>
      </c>
      <c r="G55" s="49">
        <f t="shared" si="2"/>
        <v>1</v>
      </c>
    </row>
    <row r="56" spans="1:7">
      <c r="A56" t="s">
        <v>3101</v>
      </c>
      <c r="D56" t="s">
        <v>3257</v>
      </c>
      <c r="E56" s="49">
        <f t="shared" si="1"/>
        <v>1</v>
      </c>
      <c r="F56" t="s">
        <v>246</v>
      </c>
      <c r="G56" s="49">
        <f t="shared" si="2"/>
        <v>0</v>
      </c>
    </row>
    <row r="57" spans="1:7">
      <c r="A57" t="s">
        <v>3102</v>
      </c>
      <c r="D57" t="s">
        <v>3259</v>
      </c>
      <c r="E57" s="49">
        <f t="shared" si="1"/>
        <v>1</v>
      </c>
      <c r="F57" t="s">
        <v>244</v>
      </c>
      <c r="G57" s="49">
        <f t="shared" si="2"/>
        <v>1</v>
      </c>
    </row>
    <row r="58" spans="1:7">
      <c r="A58" t="s">
        <v>3103</v>
      </c>
      <c r="D58" t="s">
        <v>3258</v>
      </c>
      <c r="E58" s="49">
        <f t="shared" si="1"/>
        <v>1</v>
      </c>
      <c r="F58" t="s">
        <v>694</v>
      </c>
      <c r="G58" s="49">
        <f t="shared" si="2"/>
        <v>0</v>
      </c>
    </row>
    <row r="59" spans="1:7">
      <c r="A59" t="s">
        <v>3104</v>
      </c>
      <c r="D59" t="s">
        <v>313</v>
      </c>
      <c r="E59" s="49">
        <f t="shared" si="1"/>
        <v>1</v>
      </c>
      <c r="F59" t="s">
        <v>294</v>
      </c>
      <c r="G59" s="49">
        <f t="shared" si="2"/>
        <v>1</v>
      </c>
    </row>
    <row r="60" spans="1:7">
      <c r="A60" t="s">
        <v>2310</v>
      </c>
      <c r="D60" t="s">
        <v>3260</v>
      </c>
      <c r="E60" s="49">
        <f t="shared" si="1"/>
        <v>1</v>
      </c>
      <c r="F60" t="s">
        <v>243</v>
      </c>
      <c r="G60" s="49">
        <f t="shared" si="2"/>
        <v>1</v>
      </c>
    </row>
    <row r="61" spans="1:7">
      <c r="A61" t="s">
        <v>3105</v>
      </c>
      <c r="D61" t="s">
        <v>3277</v>
      </c>
      <c r="E61" s="49">
        <f t="shared" si="1"/>
        <v>1</v>
      </c>
      <c r="F61" t="s">
        <v>695</v>
      </c>
      <c r="G61" s="49">
        <f t="shared" si="2"/>
        <v>0</v>
      </c>
    </row>
    <row r="62" spans="1:7">
      <c r="A62" t="s">
        <v>3106</v>
      </c>
      <c r="D62" t="s">
        <v>3261</v>
      </c>
      <c r="E62" s="49">
        <f t="shared" si="1"/>
        <v>1</v>
      </c>
      <c r="F62" t="s">
        <v>594</v>
      </c>
      <c r="G62" s="49">
        <f t="shared" si="2"/>
        <v>1</v>
      </c>
    </row>
    <row r="63" spans="1:7">
      <c r="A63" t="s">
        <v>3107</v>
      </c>
      <c r="D63" t="s">
        <v>3264</v>
      </c>
      <c r="E63" s="49">
        <f t="shared" si="1"/>
        <v>1</v>
      </c>
      <c r="F63" t="s">
        <v>696</v>
      </c>
      <c r="G63" s="49">
        <f t="shared" si="2"/>
        <v>1</v>
      </c>
    </row>
    <row r="64" spans="1:7">
      <c r="A64" t="s">
        <v>3108</v>
      </c>
      <c r="D64" t="s">
        <v>3262</v>
      </c>
      <c r="E64" s="49">
        <f t="shared" si="1"/>
        <v>1</v>
      </c>
      <c r="F64" t="s">
        <v>289</v>
      </c>
      <c r="G64" s="49">
        <f t="shared" si="2"/>
        <v>0</v>
      </c>
    </row>
    <row r="65" spans="1:7">
      <c r="A65" t="s">
        <v>3109</v>
      </c>
      <c r="D65" t="s">
        <v>3263</v>
      </c>
      <c r="E65" s="49">
        <f t="shared" si="1"/>
        <v>1</v>
      </c>
      <c r="F65" t="s">
        <v>697</v>
      </c>
      <c r="G65" s="49">
        <f t="shared" ref="G65:G96" si="3">COUNTIF(D:D,F65)</f>
        <v>0</v>
      </c>
    </row>
    <row r="66" spans="1:7">
      <c r="A66" t="s">
        <v>3111</v>
      </c>
      <c r="D66" t="s">
        <v>3265</v>
      </c>
      <c r="E66" s="49">
        <f t="shared" ref="E66:E129" si="4">COUNTIF(D:D,D66)</f>
        <v>1</v>
      </c>
      <c r="F66" t="s">
        <v>215</v>
      </c>
      <c r="G66" s="49">
        <f t="shared" si="3"/>
        <v>1</v>
      </c>
    </row>
    <row r="67" spans="1:7">
      <c r="A67" t="s">
        <v>3110</v>
      </c>
      <c r="D67" t="s">
        <v>3266</v>
      </c>
      <c r="E67" s="49">
        <f t="shared" si="4"/>
        <v>1</v>
      </c>
      <c r="F67" t="s">
        <v>247</v>
      </c>
      <c r="G67" s="49">
        <f t="shared" si="3"/>
        <v>1</v>
      </c>
    </row>
    <row r="68" spans="1:7">
      <c r="A68" t="s">
        <v>311</v>
      </c>
      <c r="D68" t="s">
        <v>3267</v>
      </c>
      <c r="E68" s="49">
        <f t="shared" si="4"/>
        <v>1</v>
      </c>
      <c r="F68" t="s">
        <v>698</v>
      </c>
      <c r="G68" s="49">
        <f t="shared" si="3"/>
        <v>1</v>
      </c>
    </row>
    <row r="69" spans="1:7">
      <c r="A69" t="s">
        <v>3112</v>
      </c>
      <c r="D69" t="s">
        <v>3268</v>
      </c>
      <c r="E69" s="49">
        <f t="shared" si="4"/>
        <v>1</v>
      </c>
      <c r="F69" t="s">
        <v>699</v>
      </c>
      <c r="G69" s="49">
        <f t="shared" si="3"/>
        <v>1</v>
      </c>
    </row>
    <row r="70" spans="1:7">
      <c r="A70" t="s">
        <v>284</v>
      </c>
      <c r="D70" t="s">
        <v>3269</v>
      </c>
      <c r="E70" s="49">
        <f t="shared" si="4"/>
        <v>1</v>
      </c>
      <c r="F70" t="s">
        <v>287</v>
      </c>
      <c r="G70" s="49">
        <f t="shared" si="3"/>
        <v>1</v>
      </c>
    </row>
    <row r="71" spans="1:7">
      <c r="A71" t="s">
        <v>293</v>
      </c>
      <c r="D71" t="s">
        <v>3270</v>
      </c>
      <c r="E71" s="49">
        <f t="shared" si="4"/>
        <v>1</v>
      </c>
      <c r="F71" t="s">
        <v>700</v>
      </c>
      <c r="G71" s="49">
        <f t="shared" si="3"/>
        <v>0</v>
      </c>
    </row>
    <row r="72" spans="1:7">
      <c r="A72" t="s">
        <v>3113</v>
      </c>
      <c r="D72" t="s">
        <v>3271</v>
      </c>
      <c r="E72" s="49">
        <f t="shared" si="4"/>
        <v>1</v>
      </c>
      <c r="F72" t="s">
        <v>701</v>
      </c>
      <c r="G72" s="49">
        <f t="shared" si="3"/>
        <v>1</v>
      </c>
    </row>
    <row r="73" spans="1:7">
      <c r="A73" t="s">
        <v>594</v>
      </c>
      <c r="D73" t="s">
        <v>3272</v>
      </c>
      <c r="E73" s="49">
        <f t="shared" si="4"/>
        <v>1</v>
      </c>
      <c r="F73" t="s">
        <v>702</v>
      </c>
      <c r="G73" s="49">
        <f t="shared" si="3"/>
        <v>1</v>
      </c>
    </row>
    <row r="74" spans="1:7">
      <c r="A74" t="s">
        <v>3114</v>
      </c>
      <c r="D74" t="s">
        <v>311</v>
      </c>
      <c r="E74" s="49">
        <f t="shared" si="4"/>
        <v>1</v>
      </c>
      <c r="F74" t="s">
        <v>703</v>
      </c>
      <c r="G74" s="49">
        <f t="shared" si="3"/>
        <v>1</v>
      </c>
    </row>
    <row r="75" spans="1:7">
      <c r="A75" t="s">
        <v>330</v>
      </c>
      <c r="D75" t="s">
        <v>3273</v>
      </c>
      <c r="E75" s="49">
        <f t="shared" si="4"/>
        <v>1</v>
      </c>
      <c r="F75" t="s">
        <v>704</v>
      </c>
      <c r="G75" s="49">
        <f t="shared" si="3"/>
        <v>0</v>
      </c>
    </row>
    <row r="76" spans="1:7">
      <c r="A76" t="s">
        <v>731</v>
      </c>
      <c r="D76" t="s">
        <v>284</v>
      </c>
      <c r="E76" s="49">
        <f t="shared" si="4"/>
        <v>1</v>
      </c>
      <c r="F76" t="s">
        <v>705</v>
      </c>
      <c r="G76" s="49">
        <f t="shared" si="3"/>
        <v>0</v>
      </c>
    </row>
    <row r="77" spans="1:7">
      <c r="A77" t="s">
        <v>3115</v>
      </c>
      <c r="D77" t="s">
        <v>293</v>
      </c>
      <c r="E77" s="49">
        <f t="shared" si="4"/>
        <v>1</v>
      </c>
      <c r="F77" t="s">
        <v>706</v>
      </c>
      <c r="G77" s="49">
        <f t="shared" si="3"/>
        <v>1</v>
      </c>
    </row>
    <row r="78" spans="1:7">
      <c r="A78" t="s">
        <v>320</v>
      </c>
      <c r="D78" t="s">
        <v>3297</v>
      </c>
      <c r="E78" s="49">
        <f t="shared" si="4"/>
        <v>1</v>
      </c>
      <c r="F78" t="s">
        <v>707</v>
      </c>
      <c r="G78" s="49">
        <f t="shared" si="3"/>
        <v>0</v>
      </c>
    </row>
    <row r="79" spans="1:7">
      <c r="A79" t="s">
        <v>336</v>
      </c>
      <c r="D79" t="s">
        <v>594</v>
      </c>
      <c r="E79" s="49">
        <f t="shared" si="4"/>
        <v>1</v>
      </c>
      <c r="F79" t="s">
        <v>708</v>
      </c>
      <c r="G79" s="49">
        <f t="shared" si="3"/>
        <v>0</v>
      </c>
    </row>
    <row r="80" spans="1:7">
      <c r="A80" t="s">
        <v>317</v>
      </c>
      <c r="D80" t="s">
        <v>3274</v>
      </c>
      <c r="E80" s="49">
        <f t="shared" si="4"/>
        <v>1</v>
      </c>
      <c r="F80" t="s">
        <v>709</v>
      </c>
      <c r="G80" s="49">
        <f t="shared" si="3"/>
        <v>1</v>
      </c>
    </row>
    <row r="81" spans="1:7">
      <c r="A81" t="s">
        <v>288</v>
      </c>
      <c r="D81" t="s">
        <v>330</v>
      </c>
      <c r="E81" s="49">
        <f t="shared" si="4"/>
        <v>1</v>
      </c>
      <c r="F81" t="s">
        <v>710</v>
      </c>
      <c r="G81" s="49">
        <f t="shared" si="3"/>
        <v>1</v>
      </c>
    </row>
    <row r="82" spans="1:7">
      <c r="A82" t="s">
        <v>773</v>
      </c>
      <c r="D82" t="s">
        <v>731</v>
      </c>
      <c r="E82" s="49">
        <f t="shared" si="4"/>
        <v>1</v>
      </c>
      <c r="F82" t="s">
        <v>711</v>
      </c>
      <c r="G82" s="49">
        <f t="shared" si="3"/>
        <v>0</v>
      </c>
    </row>
    <row r="83" spans="1:7">
      <c r="A83" t="s">
        <v>3202</v>
      </c>
      <c r="D83" t="s">
        <v>3275</v>
      </c>
      <c r="E83" s="49">
        <f t="shared" si="4"/>
        <v>1</v>
      </c>
      <c r="F83" t="s">
        <v>712</v>
      </c>
      <c r="G83" s="49">
        <f t="shared" si="3"/>
        <v>1</v>
      </c>
    </row>
    <row r="84" spans="1:7">
      <c r="A84" t="s">
        <v>3203</v>
      </c>
      <c r="D84" t="s">
        <v>2465</v>
      </c>
      <c r="E84" s="49">
        <f t="shared" si="4"/>
        <v>1</v>
      </c>
      <c r="F84" t="s">
        <v>291</v>
      </c>
      <c r="G84" s="49">
        <f t="shared" si="3"/>
        <v>1</v>
      </c>
    </row>
    <row r="85" spans="1:7">
      <c r="D85" t="s">
        <v>3276</v>
      </c>
      <c r="E85" s="49">
        <f t="shared" si="4"/>
        <v>1</v>
      </c>
      <c r="F85" t="s">
        <v>713</v>
      </c>
      <c r="G85" s="49">
        <f t="shared" si="3"/>
        <v>0</v>
      </c>
    </row>
    <row r="86" spans="1:7">
      <c r="D86" t="s">
        <v>336</v>
      </c>
      <c r="E86" s="49">
        <f t="shared" si="4"/>
        <v>1</v>
      </c>
      <c r="F86" t="s">
        <v>714</v>
      </c>
      <c r="G86" s="49">
        <f t="shared" si="3"/>
        <v>0</v>
      </c>
    </row>
    <row r="87" spans="1:7">
      <c r="D87" t="s">
        <v>317</v>
      </c>
      <c r="E87" s="49">
        <f t="shared" si="4"/>
        <v>1</v>
      </c>
      <c r="F87" t="s">
        <v>715</v>
      </c>
      <c r="G87" s="49">
        <f t="shared" si="3"/>
        <v>0</v>
      </c>
    </row>
    <row r="88" spans="1:7">
      <c r="D88" t="s">
        <v>288</v>
      </c>
      <c r="E88" s="49">
        <f t="shared" si="4"/>
        <v>1</v>
      </c>
      <c r="F88" t="s">
        <v>716</v>
      </c>
      <c r="G88" s="49">
        <f t="shared" si="3"/>
        <v>0</v>
      </c>
    </row>
    <row r="89" spans="1:7">
      <c r="E89" s="49">
        <f t="shared" si="4"/>
        <v>0</v>
      </c>
      <c r="F89" t="s">
        <v>717</v>
      </c>
      <c r="G89" s="49">
        <f t="shared" si="3"/>
        <v>0</v>
      </c>
    </row>
    <row r="90" spans="1:7">
      <c r="E90" s="49">
        <f t="shared" si="4"/>
        <v>0</v>
      </c>
      <c r="F90" t="s">
        <v>245</v>
      </c>
      <c r="G90" s="49">
        <f t="shared" si="3"/>
        <v>1</v>
      </c>
    </row>
    <row r="91" spans="1:7">
      <c r="E91" s="49">
        <f t="shared" si="4"/>
        <v>0</v>
      </c>
      <c r="F91" t="s">
        <v>718</v>
      </c>
      <c r="G91" s="49">
        <f t="shared" si="3"/>
        <v>1</v>
      </c>
    </row>
    <row r="92" spans="1:7">
      <c r="E92" s="49">
        <f t="shared" si="4"/>
        <v>0</v>
      </c>
      <c r="F92" t="s">
        <v>719</v>
      </c>
      <c r="G92" s="49">
        <f t="shared" si="3"/>
        <v>1</v>
      </c>
    </row>
    <row r="93" spans="1:7">
      <c r="E93" s="49">
        <f t="shared" si="4"/>
        <v>0</v>
      </c>
      <c r="F93" t="s">
        <v>720</v>
      </c>
      <c r="G93" s="49">
        <f t="shared" si="3"/>
        <v>0</v>
      </c>
    </row>
    <row r="94" spans="1:7">
      <c r="E94" s="49">
        <f t="shared" si="4"/>
        <v>0</v>
      </c>
      <c r="F94" t="s">
        <v>288</v>
      </c>
      <c r="G94" s="49">
        <f t="shared" si="3"/>
        <v>1</v>
      </c>
    </row>
    <row r="95" spans="1:7">
      <c r="E95" s="49">
        <f t="shared" si="4"/>
        <v>0</v>
      </c>
      <c r="F95" t="s">
        <v>284</v>
      </c>
      <c r="G95" s="49">
        <f t="shared" si="3"/>
        <v>1</v>
      </c>
    </row>
    <row r="96" spans="1:7">
      <c r="E96" s="49">
        <f t="shared" si="4"/>
        <v>0</v>
      </c>
      <c r="F96" t="s">
        <v>721</v>
      </c>
      <c r="G96" s="49">
        <f t="shared" si="3"/>
        <v>0</v>
      </c>
    </row>
    <row r="97" spans="5:7">
      <c r="E97" s="49">
        <f t="shared" si="4"/>
        <v>0</v>
      </c>
      <c r="F97" t="s">
        <v>722</v>
      </c>
      <c r="G97" s="49">
        <f t="shared" ref="G97:G128" si="5">COUNTIF(D:D,F97)</f>
        <v>0</v>
      </c>
    </row>
    <row r="98" spans="5:7">
      <c r="E98" s="49">
        <f t="shared" si="4"/>
        <v>0</v>
      </c>
      <c r="F98" t="s">
        <v>242</v>
      </c>
      <c r="G98" s="49">
        <f t="shared" si="5"/>
        <v>1</v>
      </c>
    </row>
    <row r="99" spans="5:7">
      <c r="E99" s="49">
        <f t="shared" si="4"/>
        <v>0</v>
      </c>
      <c r="F99" t="s">
        <v>723</v>
      </c>
      <c r="G99" s="49">
        <f t="shared" si="5"/>
        <v>1</v>
      </c>
    </row>
    <row r="100" spans="5:7">
      <c r="E100" s="49">
        <f t="shared" si="4"/>
        <v>0</v>
      </c>
      <c r="F100" t="s">
        <v>724</v>
      </c>
      <c r="G100" s="49">
        <f t="shared" si="5"/>
        <v>0</v>
      </c>
    </row>
    <row r="101" spans="5:7">
      <c r="E101" s="49">
        <f t="shared" si="4"/>
        <v>0</v>
      </c>
      <c r="F101" t="s">
        <v>725</v>
      </c>
      <c r="G101" s="49">
        <f t="shared" si="5"/>
        <v>0</v>
      </c>
    </row>
    <row r="102" spans="5:7">
      <c r="E102" s="49">
        <f t="shared" si="4"/>
        <v>0</v>
      </c>
      <c r="F102" t="s">
        <v>312</v>
      </c>
      <c r="G102" s="49">
        <f t="shared" si="5"/>
        <v>0</v>
      </c>
    </row>
    <row r="103" spans="5:7">
      <c r="E103" s="49">
        <f t="shared" si="4"/>
        <v>0</v>
      </c>
      <c r="F103" t="s">
        <v>755</v>
      </c>
      <c r="G103" s="49">
        <f t="shared" si="5"/>
        <v>0</v>
      </c>
    </row>
    <row r="104" spans="5:7">
      <c r="E104" s="49">
        <f t="shared" si="4"/>
        <v>0</v>
      </c>
      <c r="F104" t="s">
        <v>295</v>
      </c>
      <c r="G104" s="49">
        <f t="shared" si="5"/>
        <v>1</v>
      </c>
    </row>
    <row r="105" spans="5:7">
      <c r="E105" s="49">
        <f t="shared" si="4"/>
        <v>0</v>
      </c>
      <c r="F105" t="s">
        <v>592</v>
      </c>
      <c r="G105" s="49">
        <f t="shared" si="5"/>
        <v>0</v>
      </c>
    </row>
    <row r="106" spans="5:7">
      <c r="E106" s="49">
        <f t="shared" si="4"/>
        <v>0</v>
      </c>
      <c r="F106" t="s">
        <v>593</v>
      </c>
      <c r="G106" s="49">
        <f t="shared" si="5"/>
        <v>1</v>
      </c>
    </row>
    <row r="107" spans="5:7">
      <c r="E107" s="49">
        <f t="shared" si="4"/>
        <v>0</v>
      </c>
      <c r="F107" t="s">
        <v>727</v>
      </c>
      <c r="G107" s="49">
        <f t="shared" si="5"/>
        <v>1</v>
      </c>
    </row>
    <row r="108" spans="5:7">
      <c r="E108" s="49">
        <f t="shared" si="4"/>
        <v>0</v>
      </c>
      <c r="F108" t="s">
        <v>728</v>
      </c>
      <c r="G108" s="49">
        <f t="shared" si="5"/>
        <v>0</v>
      </c>
    </row>
    <row r="109" spans="5:7">
      <c r="E109" s="49">
        <f t="shared" si="4"/>
        <v>0</v>
      </c>
      <c r="F109" t="s">
        <v>334</v>
      </c>
      <c r="G109" s="49">
        <f t="shared" si="5"/>
        <v>0</v>
      </c>
    </row>
    <row r="110" spans="5:7">
      <c r="E110" s="49">
        <f t="shared" si="4"/>
        <v>0</v>
      </c>
      <c r="F110" t="s">
        <v>293</v>
      </c>
      <c r="G110" s="49">
        <f t="shared" si="5"/>
        <v>1</v>
      </c>
    </row>
    <row r="111" spans="5:7">
      <c r="E111" s="49">
        <f t="shared" si="4"/>
        <v>0</v>
      </c>
      <c r="F111" t="s">
        <v>1943</v>
      </c>
      <c r="G111" s="49">
        <f t="shared" si="5"/>
        <v>1</v>
      </c>
    </row>
    <row r="112" spans="5:7">
      <c r="E112" s="49">
        <f t="shared" si="4"/>
        <v>0</v>
      </c>
      <c r="F112" t="s">
        <v>290</v>
      </c>
      <c r="G112" s="49">
        <f t="shared" si="5"/>
        <v>0</v>
      </c>
    </row>
    <row r="113" spans="5:7">
      <c r="E113" s="49">
        <f t="shared" si="4"/>
        <v>0</v>
      </c>
      <c r="F113" t="s">
        <v>335</v>
      </c>
      <c r="G113" s="49">
        <f t="shared" si="5"/>
        <v>0</v>
      </c>
    </row>
    <row r="114" spans="5:7">
      <c r="E114" s="49">
        <f t="shared" si="4"/>
        <v>0</v>
      </c>
      <c r="F114" t="s">
        <v>336</v>
      </c>
      <c r="G114" s="49">
        <f t="shared" si="5"/>
        <v>1</v>
      </c>
    </row>
    <row r="115" spans="5:7">
      <c r="E115" s="49">
        <f t="shared" si="4"/>
        <v>0</v>
      </c>
      <c r="F115" t="s">
        <v>730</v>
      </c>
      <c r="G115" s="49">
        <f t="shared" si="5"/>
        <v>1</v>
      </c>
    </row>
    <row r="116" spans="5:7">
      <c r="E116" s="49">
        <f t="shared" si="4"/>
        <v>0</v>
      </c>
      <c r="F116" t="s">
        <v>329</v>
      </c>
      <c r="G116" s="49">
        <f t="shared" si="5"/>
        <v>0</v>
      </c>
    </row>
    <row r="117" spans="5:7">
      <c r="E117" s="49">
        <f t="shared" si="4"/>
        <v>0</v>
      </c>
      <c r="F117" t="s">
        <v>330</v>
      </c>
      <c r="G117" s="49">
        <f t="shared" si="5"/>
        <v>1</v>
      </c>
    </row>
    <row r="118" spans="5:7">
      <c r="E118" s="49">
        <f t="shared" si="4"/>
        <v>0</v>
      </c>
      <c r="F118" t="s">
        <v>331</v>
      </c>
      <c r="G118" s="49">
        <f t="shared" si="5"/>
        <v>1</v>
      </c>
    </row>
    <row r="119" spans="5:7">
      <c r="E119" s="49">
        <f t="shared" si="4"/>
        <v>0</v>
      </c>
      <c r="F119" t="s">
        <v>292</v>
      </c>
      <c r="G119" s="49">
        <f t="shared" si="5"/>
        <v>1</v>
      </c>
    </row>
    <row r="120" spans="5:7">
      <c r="E120" s="49">
        <f t="shared" si="4"/>
        <v>0</v>
      </c>
      <c r="F120" t="s">
        <v>332</v>
      </c>
      <c r="G120" s="49">
        <f t="shared" si="5"/>
        <v>0</v>
      </c>
    </row>
    <row r="121" spans="5:7">
      <c r="E121" s="49">
        <f t="shared" si="4"/>
        <v>0</v>
      </c>
      <c r="F121" t="s">
        <v>286</v>
      </c>
      <c r="G121" s="49">
        <f t="shared" si="5"/>
        <v>1</v>
      </c>
    </row>
    <row r="122" spans="5:7">
      <c r="E122" s="49">
        <f t="shared" si="4"/>
        <v>0</v>
      </c>
      <c r="F122" t="s">
        <v>325</v>
      </c>
      <c r="G122" s="49">
        <f t="shared" si="5"/>
        <v>1</v>
      </c>
    </row>
    <row r="123" spans="5:7">
      <c r="E123" s="49">
        <f t="shared" si="4"/>
        <v>0</v>
      </c>
      <c r="F123" t="s">
        <v>326</v>
      </c>
      <c r="G123" s="49">
        <f t="shared" si="5"/>
        <v>1</v>
      </c>
    </row>
    <row r="124" spans="5:7">
      <c r="E124" s="49">
        <f t="shared" si="4"/>
        <v>0</v>
      </c>
      <c r="F124" t="s">
        <v>327</v>
      </c>
      <c r="G124" s="49">
        <f t="shared" si="5"/>
        <v>1</v>
      </c>
    </row>
    <row r="125" spans="5:7">
      <c r="E125" s="49">
        <f t="shared" si="4"/>
        <v>0</v>
      </c>
      <c r="F125" t="s">
        <v>328</v>
      </c>
      <c r="G125" s="49">
        <f t="shared" si="5"/>
        <v>0</v>
      </c>
    </row>
    <row r="126" spans="5:7">
      <c r="E126" s="49">
        <f t="shared" si="4"/>
        <v>0</v>
      </c>
      <c r="F126" t="s">
        <v>324</v>
      </c>
      <c r="G126" s="49">
        <f t="shared" si="5"/>
        <v>1</v>
      </c>
    </row>
    <row r="127" spans="5:7">
      <c r="E127" s="49">
        <f t="shared" si="4"/>
        <v>0</v>
      </c>
      <c r="F127" t="s">
        <v>320</v>
      </c>
      <c r="G127" s="49">
        <f t="shared" si="5"/>
        <v>1</v>
      </c>
    </row>
    <row r="128" spans="5:7">
      <c r="E128" s="49">
        <f t="shared" si="4"/>
        <v>0</v>
      </c>
      <c r="F128" t="s">
        <v>285</v>
      </c>
      <c r="G128" s="49">
        <f t="shared" si="5"/>
        <v>0</v>
      </c>
    </row>
    <row r="129" spans="5:7">
      <c r="E129" s="49">
        <f t="shared" si="4"/>
        <v>0</v>
      </c>
      <c r="F129" t="s">
        <v>317</v>
      </c>
      <c r="G129" s="49">
        <f t="shared" ref="G129:G160" si="6">COUNTIF(D:D,F129)</f>
        <v>1</v>
      </c>
    </row>
    <row r="130" spans="5:7">
      <c r="E130" s="49">
        <f t="shared" ref="E130:E165" si="7">COUNTIF(D:D,D130)</f>
        <v>0</v>
      </c>
      <c r="F130" t="s">
        <v>318</v>
      </c>
      <c r="G130" s="49">
        <f t="shared" si="6"/>
        <v>1</v>
      </c>
    </row>
    <row r="131" spans="5:7">
      <c r="E131" s="49">
        <f t="shared" si="7"/>
        <v>0</v>
      </c>
      <c r="F131" t="s">
        <v>321</v>
      </c>
      <c r="G131" s="49">
        <f t="shared" si="6"/>
        <v>1</v>
      </c>
    </row>
    <row r="132" spans="5:7">
      <c r="E132" s="49">
        <f t="shared" si="7"/>
        <v>0</v>
      </c>
      <c r="F132" t="s">
        <v>322</v>
      </c>
      <c r="G132" s="49">
        <f t="shared" si="6"/>
        <v>0</v>
      </c>
    </row>
    <row r="133" spans="5:7">
      <c r="E133" s="49">
        <f t="shared" si="7"/>
        <v>0</v>
      </c>
      <c r="F133" t="s">
        <v>323</v>
      </c>
      <c r="G133" s="49">
        <f t="shared" si="6"/>
        <v>0</v>
      </c>
    </row>
    <row r="134" spans="5:7">
      <c r="E134" s="49">
        <f t="shared" si="7"/>
        <v>0</v>
      </c>
      <c r="F134" t="s">
        <v>731</v>
      </c>
      <c r="G134" s="49">
        <f t="shared" si="6"/>
        <v>1</v>
      </c>
    </row>
    <row r="135" spans="5:7">
      <c r="E135" s="49">
        <f t="shared" si="7"/>
        <v>0</v>
      </c>
      <c r="F135" t="s">
        <v>308</v>
      </c>
      <c r="G135" s="49">
        <f t="shared" si="6"/>
        <v>0</v>
      </c>
    </row>
    <row r="136" spans="5:7">
      <c r="E136" s="49">
        <f t="shared" si="7"/>
        <v>0</v>
      </c>
      <c r="F136" t="s">
        <v>309</v>
      </c>
      <c r="G136" s="49">
        <f t="shared" si="6"/>
        <v>1</v>
      </c>
    </row>
    <row r="137" spans="5:7">
      <c r="E137" s="49">
        <f t="shared" si="7"/>
        <v>0</v>
      </c>
      <c r="F137" t="s">
        <v>310</v>
      </c>
      <c r="G137" s="49">
        <f t="shared" si="6"/>
        <v>1</v>
      </c>
    </row>
    <row r="138" spans="5:7">
      <c r="E138" s="49">
        <f t="shared" si="7"/>
        <v>0</v>
      </c>
      <c r="F138" t="s">
        <v>306</v>
      </c>
      <c r="G138" s="49">
        <f t="shared" si="6"/>
        <v>1</v>
      </c>
    </row>
    <row r="139" spans="5:7">
      <c r="E139" s="49">
        <f t="shared" si="7"/>
        <v>0</v>
      </c>
      <c r="F139" t="s">
        <v>311</v>
      </c>
      <c r="G139" s="49">
        <f t="shared" si="6"/>
        <v>1</v>
      </c>
    </row>
    <row r="140" spans="5:7">
      <c r="E140" s="49">
        <f t="shared" si="7"/>
        <v>0</v>
      </c>
      <c r="F140" t="s">
        <v>314</v>
      </c>
      <c r="G140" s="49">
        <f t="shared" si="6"/>
        <v>0</v>
      </c>
    </row>
    <row r="141" spans="5:7">
      <c r="E141" s="49">
        <f t="shared" si="7"/>
        <v>0</v>
      </c>
      <c r="F141" t="s">
        <v>307</v>
      </c>
      <c r="G141" s="49">
        <f t="shared" si="6"/>
        <v>1</v>
      </c>
    </row>
    <row r="142" spans="5:7">
      <c r="E142" s="49">
        <f t="shared" si="7"/>
        <v>0</v>
      </c>
      <c r="F142" t="s">
        <v>315</v>
      </c>
      <c r="G142" s="49">
        <f t="shared" si="6"/>
        <v>0</v>
      </c>
    </row>
    <row r="143" spans="5:7">
      <c r="E143" s="49">
        <f t="shared" si="7"/>
        <v>0</v>
      </c>
      <c r="F143" t="s">
        <v>313</v>
      </c>
      <c r="G143" s="49">
        <f t="shared" si="6"/>
        <v>1</v>
      </c>
    </row>
    <row r="144" spans="5:7">
      <c r="E144" s="49">
        <f t="shared" si="7"/>
        <v>0</v>
      </c>
      <c r="F144" t="s">
        <v>302</v>
      </c>
      <c r="G144" s="49">
        <f t="shared" si="6"/>
        <v>1</v>
      </c>
    </row>
    <row r="145" spans="5:7">
      <c r="E145" s="49">
        <f t="shared" si="7"/>
        <v>0</v>
      </c>
      <c r="F145" t="s">
        <v>303</v>
      </c>
      <c r="G145" s="49">
        <f t="shared" si="6"/>
        <v>1</v>
      </c>
    </row>
    <row r="146" spans="5:7">
      <c r="E146" s="49">
        <f t="shared" si="7"/>
        <v>0</v>
      </c>
      <c r="F146" t="s">
        <v>304</v>
      </c>
      <c r="G146" s="49">
        <f t="shared" si="6"/>
        <v>1</v>
      </c>
    </row>
    <row r="147" spans="5:7">
      <c r="E147" s="49">
        <f t="shared" si="7"/>
        <v>0</v>
      </c>
      <c r="F147" t="s">
        <v>296</v>
      </c>
      <c r="G147" s="49">
        <f t="shared" si="6"/>
        <v>0</v>
      </c>
    </row>
    <row r="148" spans="5:7">
      <c r="E148" s="49">
        <f t="shared" si="7"/>
        <v>0</v>
      </c>
      <c r="F148" t="s">
        <v>297</v>
      </c>
      <c r="G148" s="49">
        <f t="shared" si="6"/>
        <v>0</v>
      </c>
    </row>
    <row r="149" spans="5:7">
      <c r="E149" s="49">
        <f t="shared" si="7"/>
        <v>0</v>
      </c>
      <c r="F149" t="s">
        <v>298</v>
      </c>
      <c r="G149" s="49">
        <f t="shared" si="6"/>
        <v>1</v>
      </c>
    </row>
    <row r="150" spans="5:7">
      <c r="E150" s="49">
        <f t="shared" si="7"/>
        <v>0</v>
      </c>
      <c r="F150" t="s">
        <v>299</v>
      </c>
      <c r="G150" s="49">
        <f t="shared" si="6"/>
        <v>0</v>
      </c>
    </row>
    <row r="151" spans="5:7">
      <c r="E151" s="49">
        <f t="shared" si="7"/>
        <v>0</v>
      </c>
      <c r="F151" t="s">
        <v>300</v>
      </c>
      <c r="G151" s="49">
        <f t="shared" si="6"/>
        <v>0</v>
      </c>
    </row>
    <row r="152" spans="5:7">
      <c r="E152" s="49">
        <f t="shared" si="7"/>
        <v>0</v>
      </c>
      <c r="F152" t="s">
        <v>301</v>
      </c>
      <c r="G152" s="49">
        <f t="shared" si="6"/>
        <v>0</v>
      </c>
    </row>
    <row r="153" spans="5:7">
      <c r="E153" s="49">
        <f t="shared" si="7"/>
        <v>0</v>
      </c>
      <c r="F153" t="s">
        <v>316</v>
      </c>
      <c r="G153" s="49">
        <f t="shared" si="6"/>
        <v>1</v>
      </c>
    </row>
    <row r="154" spans="5:7">
      <c r="E154" s="49">
        <f t="shared" si="7"/>
        <v>0</v>
      </c>
      <c r="F154" t="s">
        <v>337</v>
      </c>
      <c r="G154" s="49">
        <f t="shared" si="6"/>
        <v>1</v>
      </c>
    </row>
    <row r="155" spans="5:7">
      <c r="E155" s="49">
        <f t="shared" si="7"/>
        <v>0</v>
      </c>
      <c r="F155" t="s">
        <v>583</v>
      </c>
      <c r="G155" s="49">
        <f t="shared" si="6"/>
        <v>1</v>
      </c>
    </row>
    <row r="156" spans="5:7">
      <c r="E156" s="49">
        <f t="shared" si="7"/>
        <v>0</v>
      </c>
      <c r="F156" t="s">
        <v>2465</v>
      </c>
      <c r="G156" s="49">
        <f t="shared" si="6"/>
        <v>1</v>
      </c>
    </row>
    <row r="157" spans="5:7">
      <c r="E157" s="49">
        <f t="shared" si="7"/>
        <v>0</v>
      </c>
      <c r="F157" t="s">
        <v>733</v>
      </c>
      <c r="G157" s="49">
        <f t="shared" si="6"/>
        <v>0</v>
      </c>
    </row>
    <row r="158" spans="5:7">
      <c r="E158" s="49">
        <f t="shared" si="7"/>
        <v>0</v>
      </c>
      <c r="F158" t="s">
        <v>740</v>
      </c>
      <c r="G158" s="49">
        <f t="shared" si="6"/>
        <v>1</v>
      </c>
    </row>
    <row r="159" spans="5:7">
      <c r="E159" s="49">
        <f t="shared" si="7"/>
        <v>0</v>
      </c>
      <c r="F159" t="s">
        <v>734</v>
      </c>
      <c r="G159" s="49">
        <f t="shared" si="6"/>
        <v>0</v>
      </c>
    </row>
    <row r="160" spans="5:7">
      <c r="E160" s="49">
        <f t="shared" si="7"/>
        <v>0</v>
      </c>
      <c r="F160" t="s">
        <v>735</v>
      </c>
      <c r="G160" s="49">
        <f t="shared" si="6"/>
        <v>0</v>
      </c>
    </row>
    <row r="161" spans="5:7">
      <c r="E161" s="49">
        <f t="shared" si="7"/>
        <v>0</v>
      </c>
      <c r="F161" t="s">
        <v>736</v>
      </c>
      <c r="G161" s="49">
        <f t="shared" ref="G161:G165" si="8">COUNTIF(D:D,F161)</f>
        <v>0</v>
      </c>
    </row>
    <row r="162" spans="5:7">
      <c r="E162" s="49">
        <f t="shared" si="7"/>
        <v>0</v>
      </c>
      <c r="F162" t="s">
        <v>741</v>
      </c>
      <c r="G162" s="49">
        <f t="shared" si="8"/>
        <v>0</v>
      </c>
    </row>
    <row r="163" spans="5:7">
      <c r="E163" s="49">
        <f t="shared" si="7"/>
        <v>0</v>
      </c>
      <c r="F163" t="s">
        <v>737</v>
      </c>
      <c r="G163" s="49">
        <f t="shared" si="8"/>
        <v>0</v>
      </c>
    </row>
    <row r="164" spans="5:7">
      <c r="E164" s="49">
        <f t="shared" si="7"/>
        <v>0</v>
      </c>
      <c r="F164" t="s">
        <v>738</v>
      </c>
      <c r="G164" s="49">
        <f t="shared" si="8"/>
        <v>0</v>
      </c>
    </row>
    <row r="165" spans="5:7">
      <c r="E165" s="49">
        <f t="shared" si="7"/>
        <v>0</v>
      </c>
      <c r="F165" t="s">
        <v>916</v>
      </c>
      <c r="G165" s="49">
        <f t="shared" si="8"/>
        <v>1</v>
      </c>
    </row>
  </sheetData>
  <phoneticPr fontId="1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2:D11"/>
  <sheetViews>
    <sheetView workbookViewId="0">
      <selection activeCell="E24" sqref="E24"/>
    </sheetView>
  </sheetViews>
  <sheetFormatPr defaultRowHeight="13.5"/>
  <sheetData>
    <row r="2" spans="2:4">
      <c r="B2">
        <v>1</v>
      </c>
      <c r="C2">
        <v>3</v>
      </c>
    </row>
    <row r="3" spans="2:4">
      <c r="B3">
        <v>2</v>
      </c>
      <c r="C3">
        <v>2</v>
      </c>
    </row>
    <row r="4" spans="2:4">
      <c r="B4">
        <v>3</v>
      </c>
      <c r="C4">
        <v>2</v>
      </c>
    </row>
    <row r="5" spans="2:4">
      <c r="B5">
        <v>4</v>
      </c>
      <c r="C5">
        <v>2</v>
      </c>
    </row>
    <row r="6" spans="2:4">
      <c r="B6">
        <v>5</v>
      </c>
      <c r="C6">
        <v>1</v>
      </c>
    </row>
    <row r="7" spans="2:4">
      <c r="B7">
        <v>6</v>
      </c>
      <c r="C7">
        <v>1</v>
      </c>
    </row>
    <row r="8" spans="2:4">
      <c r="B8">
        <v>7</v>
      </c>
      <c r="C8">
        <v>1</v>
      </c>
    </row>
    <row r="9" spans="2:4">
      <c r="B9">
        <v>8</v>
      </c>
    </row>
    <row r="10" spans="2:4">
      <c r="C10">
        <f>SUM(C2:C9)</f>
        <v>12</v>
      </c>
      <c r="D10">
        <v>4000</v>
      </c>
    </row>
    <row r="11" spans="2:4">
      <c r="D11">
        <v>500</v>
      </c>
    </row>
  </sheetData>
  <phoneticPr fontId="1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17</vt:i4>
      </vt:variant>
      <vt:variant>
        <vt:lpstr>名前付き一覧</vt:lpstr>
      </vt:variant>
      <vt:variant>
        <vt:i4>52</vt:i4>
      </vt:variant>
    </vt:vector>
  </HeadingPairs>
  <TitlesOfParts>
    <vt:vector size="69" baseType="lpstr">
      <vt:lpstr>セット枚数</vt:lpstr>
      <vt:lpstr>キーワード</vt:lpstr>
      <vt:lpstr>スリヴァ</vt:lpstr>
      <vt:lpstr>samurai</vt:lpstr>
      <vt:lpstr>SoulShift</vt:lpstr>
      <vt:lpstr>Infect</vt:lpstr>
      <vt:lpstr>コモン</vt:lpstr>
      <vt:lpstr>アンコモン</vt:lpstr>
      <vt:lpstr>R MR</vt:lpstr>
      <vt:lpstr>H式CS+ORM</vt:lpstr>
      <vt:lpstr>ORM</vt:lpstr>
      <vt:lpstr>対抗C</vt:lpstr>
      <vt:lpstr>Sheet5</vt:lpstr>
      <vt:lpstr>Arcane</vt:lpstr>
      <vt:lpstr>Sheet3</vt:lpstr>
      <vt:lpstr>Sheet1</vt:lpstr>
      <vt:lpstr>Sheet2</vt:lpstr>
      <vt:lpstr>CoBCMC</vt:lpstr>
      <vt:lpstr>CoBT</vt:lpstr>
      <vt:lpstr>CoCMC</vt:lpstr>
      <vt:lpstr>CoFCMC</vt:lpstr>
      <vt:lpstr>CoFT</vt:lpstr>
      <vt:lpstr>CoGCMC</vt:lpstr>
      <vt:lpstr>CoGT</vt:lpstr>
      <vt:lpstr>CoMCMC</vt:lpstr>
      <vt:lpstr>CoMT</vt:lpstr>
      <vt:lpstr>CoRCMC</vt:lpstr>
      <vt:lpstr>CoRT</vt:lpstr>
      <vt:lpstr>CoT</vt:lpstr>
      <vt:lpstr>CoUCMC</vt:lpstr>
      <vt:lpstr>CoUT</vt:lpstr>
      <vt:lpstr>CoWCMC</vt:lpstr>
      <vt:lpstr>CoWT</vt:lpstr>
      <vt:lpstr>MRCMC</vt:lpstr>
      <vt:lpstr>MRT</vt:lpstr>
      <vt:lpstr>ReBCMC</vt:lpstr>
      <vt:lpstr>ReBT</vt:lpstr>
      <vt:lpstr>ReCMC</vt:lpstr>
      <vt:lpstr>ReFCMC</vt:lpstr>
      <vt:lpstr>ReFT</vt:lpstr>
      <vt:lpstr>ReGCMC</vt:lpstr>
      <vt:lpstr>ReGT</vt:lpstr>
      <vt:lpstr>ReMCMC</vt:lpstr>
      <vt:lpstr>ReMT</vt:lpstr>
      <vt:lpstr>ReRCMC</vt:lpstr>
      <vt:lpstr>ReRT</vt:lpstr>
      <vt:lpstr>ReT</vt:lpstr>
      <vt:lpstr>ReUCMC</vt:lpstr>
      <vt:lpstr>ReUT</vt:lpstr>
      <vt:lpstr>ReWCMC</vt:lpstr>
      <vt:lpstr>ReWT</vt:lpstr>
      <vt:lpstr>RMRCMC</vt:lpstr>
      <vt:lpstr>RMRT</vt:lpstr>
      <vt:lpstr>UCBCMC</vt:lpstr>
      <vt:lpstr>UCBT</vt:lpstr>
      <vt:lpstr>UCCMC</vt:lpstr>
      <vt:lpstr>UCFCMC</vt:lpstr>
      <vt:lpstr>UCFT</vt:lpstr>
      <vt:lpstr>UCGCMC</vt:lpstr>
      <vt:lpstr>UCGT</vt:lpstr>
      <vt:lpstr>UCMCMC</vt:lpstr>
      <vt:lpstr>UCMT</vt:lpstr>
      <vt:lpstr>UCRCMC</vt:lpstr>
      <vt:lpstr>UCRT</vt:lpstr>
      <vt:lpstr>UCT</vt:lpstr>
      <vt:lpstr>UCUCMC</vt:lpstr>
      <vt:lpstr>UCUT</vt:lpstr>
      <vt:lpstr>UCWCMC</vt:lpstr>
      <vt:lpstr>UCWT</vt:lpstr>
    </vt:vector>
  </TitlesOfParts>
  <Company>*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*</dc:creator>
  <cp:lastModifiedBy>*</cp:lastModifiedBy>
  <cp:lastPrinted>2016-08-08T05:14:50Z</cp:lastPrinted>
  <dcterms:created xsi:type="dcterms:W3CDTF">2015-10-06T01:53:56Z</dcterms:created>
  <dcterms:modified xsi:type="dcterms:W3CDTF">2016-09-20T07:10:12Z</dcterms:modified>
</cp:coreProperties>
</file>