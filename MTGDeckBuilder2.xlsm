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7380" windowHeight="7425" tabRatio="704" firstSheet="14" activeTab="19"/>
  </bookViews>
  <sheets>
    <sheet name="BR_act" sheetId="38" r:id="rId1"/>
    <sheet name="Revolt" sheetId="39" r:id="rId2"/>
    <sheet name="WB_Revolt" sheetId="40" r:id="rId3"/>
    <sheet name="WB_Revolt (2)" sheetId="41" r:id="rId4"/>
    <sheet name="UB" sheetId="42" r:id="rId5"/>
    <sheet name="UB (2)" sheetId="49" r:id="rId6"/>
    <sheet name="UBdelber" sheetId="48" r:id="rId7"/>
    <sheet name="WB_LL" sheetId="44" r:id="rId8"/>
    <sheet name="banthuman" sheetId="47" r:id="rId9"/>
    <sheet name="Dog&amp;Boats" sheetId="45" r:id="rId10"/>
    <sheet name="UBG即席" sheetId="50" r:id="rId11"/>
    <sheet name="FePanha" sheetId="51" r:id="rId12"/>
    <sheet name="BRmadness2" sheetId="52" r:id="rId13"/>
    <sheet name="UG即席" sheetId="53" r:id="rId14"/>
    <sheet name="URdelber" sheetId="43" r:id="rId15"/>
    <sheet name="RGEld" sheetId="54" r:id="rId16"/>
    <sheet name="GWUPW" sheetId="55" r:id="rId17"/>
    <sheet name="BRMad" sheetId="56" r:id="rId18"/>
    <sheet name="BR_act (2)" sheetId="57" r:id="rId19"/>
    <sheet name="magmaros" sheetId="58" r:id="rId20"/>
    <sheet name="Sheet2" sheetId="18" r:id="rId21"/>
    <sheet name="tenpl" sheetId="46" r:id="rId22"/>
  </sheets>
  <definedNames>
    <definedName name="_xlnm._FilterDatabase" localSheetId="8" hidden="1">banthuman!#REF!</definedName>
    <definedName name="_xlnm._FilterDatabase" localSheetId="0" hidden="1">BR_act!$A$6:$W$8</definedName>
    <definedName name="_xlnm._FilterDatabase" localSheetId="18" hidden="1">'BR_act (2)'!$A$10:$W$10</definedName>
    <definedName name="_xlnm._FilterDatabase" localSheetId="17" hidden="1">BRMad!#REF!</definedName>
    <definedName name="_xlnm._FilterDatabase" localSheetId="12" hidden="1">BRmadness2!#REF!</definedName>
    <definedName name="_xlnm._FilterDatabase" localSheetId="9" hidden="1">'Dog&amp;Boats'!#REF!</definedName>
    <definedName name="_xlnm._FilterDatabase" localSheetId="11" hidden="1">FePanha!#REF!</definedName>
    <definedName name="_xlnm._FilterDatabase" localSheetId="16" hidden="1">GWUPW!#REF!</definedName>
    <definedName name="_xlnm._FilterDatabase" localSheetId="19" hidden="1">magmaros!#REF!</definedName>
    <definedName name="_xlnm._FilterDatabase" localSheetId="1" hidden="1">Revolt!$A$6:$W$7</definedName>
    <definedName name="_xlnm._FilterDatabase" localSheetId="15" hidden="1">RGEld!#REF!</definedName>
    <definedName name="_xlnm._FilterDatabase" localSheetId="21" hidden="1">tenpl!#REF!</definedName>
    <definedName name="_xlnm._FilterDatabase" localSheetId="4" hidden="1">UB!$A$6:$W$10</definedName>
    <definedName name="_xlnm._FilterDatabase" localSheetId="5" hidden="1">'UB (2)'!$A$6:$W$10</definedName>
    <definedName name="_xlnm._FilterDatabase" localSheetId="6" hidden="1">UBdelber!$A$6:$W$8</definedName>
    <definedName name="_xlnm._FilterDatabase" localSheetId="10" hidden="1">UBG即席!#REF!</definedName>
    <definedName name="_xlnm._FilterDatabase" localSheetId="13" hidden="1">UG即席!#REF!</definedName>
    <definedName name="_xlnm._FilterDatabase" localSheetId="14" hidden="1">URdelber!$A$6:$W$8</definedName>
    <definedName name="_xlnm._FilterDatabase" localSheetId="7" hidden="1">WB_LL!#REF!</definedName>
    <definedName name="_xlnm._FilterDatabase" localSheetId="2" hidden="1">WB_Revolt!$A$6:$W$10</definedName>
    <definedName name="_xlnm._FilterDatabase" localSheetId="3" hidden="1">'WB_Revolt (2)'!$A$6:$W$10</definedName>
  </definedNames>
  <calcPr calcId="145621"/>
</workbook>
</file>

<file path=xl/calcChain.xml><?xml version="1.0" encoding="utf-8"?>
<calcChain xmlns="http://schemas.openxmlformats.org/spreadsheetml/2006/main">
  <c r="J12" i="58" l="1"/>
  <c r="K12" i="58"/>
  <c r="J10" i="58"/>
  <c r="K10" i="58"/>
  <c r="J7" i="58"/>
  <c r="K7" i="58"/>
  <c r="J23" i="58"/>
  <c r="K23" i="58"/>
  <c r="J9" i="58" l="1"/>
  <c r="K9" i="58"/>
  <c r="J11" i="58"/>
  <c r="K11" i="58"/>
  <c r="J13" i="58"/>
  <c r="K13" i="58"/>
  <c r="J14" i="58"/>
  <c r="K14" i="58"/>
  <c r="J15" i="58"/>
  <c r="K15" i="58"/>
  <c r="J16" i="58"/>
  <c r="K16" i="58"/>
  <c r="J17" i="58"/>
  <c r="K17" i="58"/>
  <c r="J18" i="58"/>
  <c r="K18" i="58"/>
  <c r="U55" i="58" l="1"/>
  <c r="T55" i="58"/>
  <c r="S55" i="58"/>
  <c r="R55" i="58"/>
  <c r="Q55" i="58"/>
  <c r="P55" i="58"/>
  <c r="A50" i="58"/>
  <c r="A37" i="58"/>
  <c r="V55" i="58" s="1"/>
  <c r="K28" i="58"/>
  <c r="J28" i="58"/>
  <c r="K27" i="58"/>
  <c r="J27" i="58"/>
  <c r="K26" i="58"/>
  <c r="J26" i="58"/>
  <c r="K25" i="58"/>
  <c r="J25" i="58"/>
  <c r="K22" i="58"/>
  <c r="J22" i="58"/>
  <c r="K21" i="58"/>
  <c r="J21" i="58"/>
  <c r="K20" i="58"/>
  <c r="J20" i="58"/>
  <c r="K19" i="58"/>
  <c r="J19" i="58"/>
  <c r="K8" i="58"/>
  <c r="J8" i="58"/>
  <c r="K6" i="58"/>
  <c r="J6" i="58"/>
  <c r="K5" i="58"/>
  <c r="J5" i="58"/>
  <c r="A4" i="58"/>
  <c r="W51" i="58" l="1"/>
  <c r="V51" i="58"/>
  <c r="S51" i="58"/>
  <c r="P51" i="58"/>
  <c r="T51" i="58"/>
  <c r="Q51" i="58"/>
  <c r="U51" i="58"/>
  <c r="R51" i="58"/>
  <c r="J7" i="57"/>
  <c r="K7" i="57"/>
  <c r="K57" i="57" l="1"/>
  <c r="J23" i="57"/>
  <c r="K23" i="57"/>
  <c r="J24" i="57"/>
  <c r="K24" i="57"/>
  <c r="J25" i="57"/>
  <c r="K25" i="57"/>
  <c r="J15" i="57"/>
  <c r="K15" i="57"/>
  <c r="J6" i="57"/>
  <c r="K6" i="57"/>
  <c r="J8" i="57"/>
  <c r="K8" i="57"/>
  <c r="J9" i="57"/>
  <c r="K9" i="57"/>
  <c r="J16" i="57"/>
  <c r="K16" i="57"/>
  <c r="J12" i="57"/>
  <c r="K12" i="57"/>
  <c r="J14" i="57"/>
  <c r="K14" i="57"/>
  <c r="J34" i="57" l="1"/>
  <c r="K34" i="57"/>
  <c r="J30" i="57"/>
  <c r="K30" i="57"/>
  <c r="U66" i="57" l="1"/>
  <c r="T66" i="57"/>
  <c r="S66" i="57"/>
  <c r="R66" i="57"/>
  <c r="Q66" i="57"/>
  <c r="P66" i="57"/>
  <c r="A61" i="57"/>
  <c r="K56" i="57"/>
  <c r="J56" i="57"/>
  <c r="K55" i="57"/>
  <c r="J55" i="57"/>
  <c r="A48" i="57"/>
  <c r="V66" i="57" s="1"/>
  <c r="K39" i="57"/>
  <c r="J39" i="57"/>
  <c r="K38" i="57"/>
  <c r="J38" i="57"/>
  <c r="K37" i="57"/>
  <c r="J37" i="57"/>
  <c r="K36" i="57"/>
  <c r="J36" i="57"/>
  <c r="K35" i="57"/>
  <c r="J35" i="57"/>
  <c r="K33" i="57"/>
  <c r="J33" i="57"/>
  <c r="K32" i="57"/>
  <c r="J32" i="57"/>
  <c r="K31" i="57"/>
  <c r="J31" i="57"/>
  <c r="K29" i="57"/>
  <c r="J29" i="57"/>
  <c r="K28" i="57"/>
  <c r="J28" i="57"/>
  <c r="K27" i="57"/>
  <c r="J27" i="57"/>
  <c r="K26" i="57"/>
  <c r="J26" i="57"/>
  <c r="K22" i="57"/>
  <c r="J22" i="57"/>
  <c r="K21" i="57"/>
  <c r="J21" i="57"/>
  <c r="K20" i="57"/>
  <c r="J20" i="57"/>
  <c r="K19" i="57"/>
  <c r="J19" i="57"/>
  <c r="K18" i="57"/>
  <c r="J18" i="57"/>
  <c r="K13" i="57"/>
  <c r="J13" i="57"/>
  <c r="K11" i="57"/>
  <c r="J11" i="57"/>
  <c r="K10" i="57"/>
  <c r="J10" i="57"/>
  <c r="K5" i="57"/>
  <c r="J5" i="57"/>
  <c r="A4" i="57"/>
  <c r="U62" i="57" l="1"/>
  <c r="R62" i="57"/>
  <c r="V62" i="57"/>
  <c r="S62" i="57"/>
  <c r="W62" i="57"/>
  <c r="P62" i="57"/>
  <c r="T62" i="57"/>
  <c r="Q62" i="57"/>
  <c r="U58" i="56"/>
  <c r="T58" i="56"/>
  <c r="S58" i="56"/>
  <c r="R58" i="56"/>
  <c r="Q58" i="56"/>
  <c r="P58" i="56"/>
  <c r="A53" i="56"/>
  <c r="A40" i="56"/>
  <c r="V58" i="56" s="1"/>
  <c r="K31" i="56"/>
  <c r="J31" i="56"/>
  <c r="K30" i="56"/>
  <c r="J30" i="56"/>
  <c r="K29" i="56"/>
  <c r="J29" i="56"/>
  <c r="K28" i="56"/>
  <c r="J28" i="56"/>
  <c r="K27" i="56"/>
  <c r="J27" i="56"/>
  <c r="K26" i="56"/>
  <c r="J26" i="56"/>
  <c r="K25" i="56"/>
  <c r="J25" i="56"/>
  <c r="K24" i="56"/>
  <c r="J24" i="56"/>
  <c r="K23" i="56"/>
  <c r="J23" i="56"/>
  <c r="K22" i="56"/>
  <c r="J22" i="56"/>
  <c r="K21" i="56"/>
  <c r="J21" i="56"/>
  <c r="K20" i="56"/>
  <c r="J20" i="56"/>
  <c r="K19" i="56"/>
  <c r="J19" i="56"/>
  <c r="K18" i="56"/>
  <c r="J18" i="56"/>
  <c r="K17" i="56"/>
  <c r="J17" i="56"/>
  <c r="K16" i="56"/>
  <c r="J16" i="56"/>
  <c r="K15" i="56"/>
  <c r="J15" i="56"/>
  <c r="K14" i="56"/>
  <c r="J14" i="56"/>
  <c r="K13" i="56"/>
  <c r="J13" i="56"/>
  <c r="K12" i="56"/>
  <c r="J12" i="56"/>
  <c r="K11" i="56"/>
  <c r="J11" i="56"/>
  <c r="K10" i="56"/>
  <c r="J10" i="56"/>
  <c r="K9" i="56"/>
  <c r="J9" i="56"/>
  <c r="K8" i="56"/>
  <c r="J8" i="56"/>
  <c r="K7" i="56"/>
  <c r="J7" i="56"/>
  <c r="K6" i="56"/>
  <c r="J6" i="56"/>
  <c r="K5" i="56"/>
  <c r="J5" i="56"/>
  <c r="A4" i="56"/>
  <c r="V54" i="56" l="1"/>
  <c r="S54" i="56"/>
  <c r="W54" i="56"/>
  <c r="P54" i="56"/>
  <c r="T54" i="56"/>
  <c r="Q54" i="56"/>
  <c r="U54" i="56"/>
  <c r="R54" i="56"/>
  <c r="V58" i="55"/>
  <c r="U58" i="55"/>
  <c r="T58" i="55"/>
  <c r="S58" i="55"/>
  <c r="R58" i="55"/>
  <c r="Q58" i="55"/>
  <c r="A53" i="55"/>
  <c r="A40" i="55"/>
  <c r="W58" i="55" s="1"/>
  <c r="L31" i="55"/>
  <c r="K31" i="55"/>
  <c r="L30" i="55"/>
  <c r="K30" i="55"/>
  <c r="L29" i="55"/>
  <c r="K29" i="55"/>
  <c r="L28" i="55"/>
  <c r="K28" i="55"/>
  <c r="L27" i="55"/>
  <c r="K27" i="55"/>
  <c r="L26" i="55"/>
  <c r="K26" i="55"/>
  <c r="L25" i="55"/>
  <c r="K25" i="55"/>
  <c r="L24" i="55"/>
  <c r="K24" i="55"/>
  <c r="L23" i="55"/>
  <c r="K23" i="55"/>
  <c r="L22" i="55"/>
  <c r="K22" i="55"/>
  <c r="L21" i="55"/>
  <c r="K21" i="55"/>
  <c r="L20" i="55"/>
  <c r="K20" i="55"/>
  <c r="L19" i="55"/>
  <c r="K19" i="55"/>
  <c r="L17" i="55"/>
  <c r="K17" i="55"/>
  <c r="L18" i="55"/>
  <c r="K18" i="55"/>
  <c r="L16" i="55"/>
  <c r="K16" i="55"/>
  <c r="L15" i="55"/>
  <c r="K15" i="55"/>
  <c r="L14" i="55"/>
  <c r="K14" i="55"/>
  <c r="L13" i="55"/>
  <c r="K13" i="55"/>
  <c r="L12" i="55"/>
  <c r="K12" i="55"/>
  <c r="L11" i="55"/>
  <c r="K11" i="55"/>
  <c r="L10" i="55"/>
  <c r="K10" i="55"/>
  <c r="L9" i="55"/>
  <c r="K9" i="55"/>
  <c r="L8" i="55"/>
  <c r="K8" i="55"/>
  <c r="L7" i="55"/>
  <c r="K7" i="55"/>
  <c r="L6" i="55"/>
  <c r="K6" i="55"/>
  <c r="L5" i="55"/>
  <c r="K5" i="55"/>
  <c r="A4" i="55"/>
  <c r="W54" i="55" l="1"/>
  <c r="T54" i="55"/>
  <c r="X54" i="55"/>
  <c r="Q54" i="55"/>
  <c r="U54" i="55"/>
  <c r="R54" i="55"/>
  <c r="V54" i="55"/>
  <c r="S54" i="55"/>
  <c r="U58" i="54"/>
  <c r="T58" i="54"/>
  <c r="S58" i="54"/>
  <c r="R58" i="54"/>
  <c r="Q58" i="54"/>
  <c r="P58" i="54"/>
  <c r="A53" i="54"/>
  <c r="A40" i="54"/>
  <c r="V58" i="54" s="1"/>
  <c r="K31" i="54"/>
  <c r="J31" i="54"/>
  <c r="K30" i="54"/>
  <c r="J30" i="54"/>
  <c r="K29" i="54"/>
  <c r="J29" i="54"/>
  <c r="K28" i="54"/>
  <c r="J28" i="54"/>
  <c r="K27" i="54"/>
  <c r="J27" i="54"/>
  <c r="K26" i="54"/>
  <c r="J26" i="54"/>
  <c r="K25" i="54"/>
  <c r="J25" i="54"/>
  <c r="K24" i="54"/>
  <c r="J24" i="54"/>
  <c r="K23" i="54"/>
  <c r="J23" i="54"/>
  <c r="K22" i="54"/>
  <c r="J22" i="54"/>
  <c r="K21" i="54"/>
  <c r="J21" i="54"/>
  <c r="K20" i="54"/>
  <c r="J20" i="54"/>
  <c r="K19" i="54"/>
  <c r="J19" i="54"/>
  <c r="K18" i="54"/>
  <c r="J18" i="54"/>
  <c r="K17" i="54"/>
  <c r="J17" i="54"/>
  <c r="K16" i="54"/>
  <c r="J16" i="54"/>
  <c r="K15" i="54"/>
  <c r="J15" i="54"/>
  <c r="K14" i="54"/>
  <c r="J14" i="54"/>
  <c r="K13" i="54"/>
  <c r="J13" i="54"/>
  <c r="K12" i="54"/>
  <c r="J12" i="54"/>
  <c r="K11" i="54"/>
  <c r="J11" i="54"/>
  <c r="K10" i="54"/>
  <c r="J10" i="54"/>
  <c r="K9" i="54"/>
  <c r="J9" i="54"/>
  <c r="K8" i="54"/>
  <c r="J8" i="54"/>
  <c r="K7" i="54"/>
  <c r="J7" i="54"/>
  <c r="K6" i="54"/>
  <c r="J6" i="54"/>
  <c r="K5" i="54"/>
  <c r="J5" i="54"/>
  <c r="A4" i="54"/>
  <c r="U54" i="54" l="1"/>
  <c r="T54" i="54"/>
  <c r="Q54" i="54"/>
  <c r="R54" i="54"/>
  <c r="V54" i="54"/>
  <c r="S54" i="54"/>
  <c r="W54" i="54"/>
  <c r="P54" i="54"/>
  <c r="U58" i="53"/>
  <c r="T58" i="53"/>
  <c r="S58" i="53"/>
  <c r="R58" i="53"/>
  <c r="Q58" i="53"/>
  <c r="P58" i="53"/>
  <c r="A53" i="53"/>
  <c r="A40" i="53"/>
  <c r="V58" i="53" s="1"/>
  <c r="K31" i="53"/>
  <c r="J31" i="53"/>
  <c r="K30" i="53"/>
  <c r="J30" i="53"/>
  <c r="K29" i="53"/>
  <c r="J29" i="53"/>
  <c r="K28" i="53"/>
  <c r="J28" i="53"/>
  <c r="K27" i="53"/>
  <c r="J27" i="53"/>
  <c r="K26" i="53"/>
  <c r="J26" i="53"/>
  <c r="K25" i="53"/>
  <c r="J25" i="53"/>
  <c r="K24" i="53"/>
  <c r="J24" i="53"/>
  <c r="K23" i="53"/>
  <c r="J23" i="53"/>
  <c r="K22" i="53"/>
  <c r="J22" i="53"/>
  <c r="K21" i="53"/>
  <c r="J21" i="53"/>
  <c r="K20" i="53"/>
  <c r="J20" i="53"/>
  <c r="K19" i="53"/>
  <c r="J19" i="53"/>
  <c r="K18" i="53"/>
  <c r="J18" i="53"/>
  <c r="K17" i="53"/>
  <c r="J17" i="53"/>
  <c r="K16" i="53"/>
  <c r="J16" i="53"/>
  <c r="K15" i="53"/>
  <c r="J15" i="53"/>
  <c r="K14" i="53"/>
  <c r="J14" i="53"/>
  <c r="K13" i="53"/>
  <c r="J13" i="53"/>
  <c r="K12" i="53"/>
  <c r="J12" i="53"/>
  <c r="K11" i="53"/>
  <c r="J11" i="53"/>
  <c r="K10" i="53"/>
  <c r="J10" i="53"/>
  <c r="K9" i="53"/>
  <c r="J9" i="53"/>
  <c r="K8" i="53"/>
  <c r="J8" i="53"/>
  <c r="K7" i="53"/>
  <c r="J7" i="53"/>
  <c r="K6" i="53"/>
  <c r="J6" i="53"/>
  <c r="K5" i="53"/>
  <c r="J5" i="53"/>
  <c r="A4" i="53"/>
  <c r="U54" i="53" l="1"/>
  <c r="R54" i="53"/>
  <c r="V54" i="53"/>
  <c r="S54" i="53"/>
  <c r="W54" i="53"/>
  <c r="P54" i="53"/>
  <c r="T54" i="53"/>
  <c r="Q54" i="53"/>
  <c r="J8" i="51"/>
  <c r="K8" i="51"/>
  <c r="J9" i="51"/>
  <c r="K9" i="51"/>
  <c r="J10" i="51"/>
  <c r="K10" i="51"/>
  <c r="J11" i="51"/>
  <c r="K11" i="51"/>
  <c r="J12" i="51"/>
  <c r="K12" i="51"/>
  <c r="J13" i="51"/>
  <c r="K13" i="51"/>
  <c r="J14" i="51"/>
  <c r="K14" i="51"/>
  <c r="J15" i="51"/>
  <c r="K15" i="51"/>
  <c r="J18" i="43" l="1"/>
  <c r="K18" i="43"/>
  <c r="J8" i="52" l="1"/>
  <c r="K8" i="52"/>
  <c r="J7" i="52"/>
  <c r="K7" i="52"/>
  <c r="U60" i="52"/>
  <c r="T60" i="52"/>
  <c r="S60" i="52"/>
  <c r="R60" i="52"/>
  <c r="Q60" i="52"/>
  <c r="P60" i="52"/>
  <c r="A55" i="52"/>
  <c r="A42" i="52"/>
  <c r="V60" i="52" s="1"/>
  <c r="K33" i="52"/>
  <c r="J33" i="52"/>
  <c r="K32" i="52"/>
  <c r="J32" i="52"/>
  <c r="K31" i="52"/>
  <c r="J31" i="52"/>
  <c r="K30" i="52"/>
  <c r="J30" i="52"/>
  <c r="K29" i="52"/>
  <c r="J29" i="52"/>
  <c r="K28" i="52"/>
  <c r="J28" i="52"/>
  <c r="K27" i="52"/>
  <c r="J27" i="52"/>
  <c r="K26" i="52"/>
  <c r="J26" i="52"/>
  <c r="K25" i="52"/>
  <c r="J25" i="52"/>
  <c r="K24" i="52"/>
  <c r="J24" i="52"/>
  <c r="K23" i="52"/>
  <c r="J23" i="52"/>
  <c r="K22" i="52"/>
  <c r="J22" i="52"/>
  <c r="K21" i="52"/>
  <c r="J21" i="52"/>
  <c r="K20" i="52"/>
  <c r="J20" i="52"/>
  <c r="K19" i="52"/>
  <c r="J19" i="52"/>
  <c r="K18" i="52"/>
  <c r="J18" i="52"/>
  <c r="K17" i="52"/>
  <c r="J17" i="52"/>
  <c r="K16" i="52"/>
  <c r="J16" i="52"/>
  <c r="K15" i="52"/>
  <c r="J15" i="52"/>
  <c r="K14" i="52"/>
  <c r="J14" i="52"/>
  <c r="K13" i="52"/>
  <c r="J13" i="52"/>
  <c r="K12" i="52"/>
  <c r="J12" i="52"/>
  <c r="K11" i="52"/>
  <c r="J11" i="52"/>
  <c r="K10" i="52"/>
  <c r="J10" i="52"/>
  <c r="K9" i="52"/>
  <c r="J9" i="52"/>
  <c r="K6" i="52"/>
  <c r="J6" i="52"/>
  <c r="K5" i="52"/>
  <c r="J5" i="52"/>
  <c r="A4" i="52"/>
  <c r="V56" i="52" l="1"/>
  <c r="S56" i="52"/>
  <c r="W56" i="52"/>
  <c r="P56" i="52"/>
  <c r="T56" i="52"/>
  <c r="Q56" i="52"/>
  <c r="U56" i="52"/>
  <c r="R56" i="52"/>
  <c r="J21" i="51"/>
  <c r="K21" i="51"/>
  <c r="J22" i="51"/>
  <c r="K22" i="51"/>
  <c r="J23" i="51"/>
  <c r="K23" i="51"/>
  <c r="J16" i="51" l="1"/>
  <c r="K16" i="51"/>
  <c r="J17" i="51"/>
  <c r="K17" i="51"/>
  <c r="J7" i="51"/>
  <c r="K7" i="51"/>
  <c r="U63" i="51"/>
  <c r="T63" i="51"/>
  <c r="S63" i="51"/>
  <c r="R63" i="51"/>
  <c r="Q63" i="51"/>
  <c r="P63" i="51"/>
  <c r="A58" i="51"/>
  <c r="A45" i="51"/>
  <c r="V63" i="51" s="1"/>
  <c r="K36" i="51"/>
  <c r="J36" i="51"/>
  <c r="K35" i="51"/>
  <c r="J35" i="51"/>
  <c r="K34" i="51"/>
  <c r="J34" i="51"/>
  <c r="K33" i="51"/>
  <c r="J33" i="51"/>
  <c r="K32" i="51"/>
  <c r="J32" i="51"/>
  <c r="K31" i="51"/>
  <c r="J31" i="51"/>
  <c r="K30" i="51"/>
  <c r="J30" i="51"/>
  <c r="K29" i="51"/>
  <c r="J29" i="51"/>
  <c r="K28" i="51"/>
  <c r="J28" i="51"/>
  <c r="K27" i="51"/>
  <c r="J27" i="51"/>
  <c r="K26" i="51"/>
  <c r="J26" i="51"/>
  <c r="K25" i="51"/>
  <c r="J25" i="51"/>
  <c r="K24" i="51"/>
  <c r="J24" i="51"/>
  <c r="K20" i="51"/>
  <c r="J20" i="51"/>
  <c r="K19" i="51"/>
  <c r="J19" i="51"/>
  <c r="K18" i="51"/>
  <c r="J18" i="51"/>
  <c r="K6" i="51"/>
  <c r="J6" i="51"/>
  <c r="K5" i="51"/>
  <c r="J5" i="51"/>
  <c r="A4" i="51"/>
  <c r="U58" i="50"/>
  <c r="T58" i="50"/>
  <c r="S58" i="50"/>
  <c r="R58" i="50"/>
  <c r="Q58" i="50"/>
  <c r="P58" i="50"/>
  <c r="A53" i="50"/>
  <c r="A40" i="50"/>
  <c r="V58" i="50" s="1"/>
  <c r="K31" i="50"/>
  <c r="J31" i="50"/>
  <c r="K30" i="50"/>
  <c r="J30" i="50"/>
  <c r="K29" i="50"/>
  <c r="J29" i="50"/>
  <c r="K28" i="50"/>
  <c r="J28" i="50"/>
  <c r="K27" i="50"/>
  <c r="J27" i="50"/>
  <c r="K26" i="50"/>
  <c r="J26" i="50"/>
  <c r="K25" i="50"/>
  <c r="J25" i="50"/>
  <c r="K24" i="50"/>
  <c r="J24" i="50"/>
  <c r="K23" i="50"/>
  <c r="J23" i="50"/>
  <c r="K22" i="50"/>
  <c r="J22" i="50"/>
  <c r="K21" i="50"/>
  <c r="J21" i="50"/>
  <c r="K20" i="50"/>
  <c r="J20" i="50"/>
  <c r="K19" i="50"/>
  <c r="J19" i="50"/>
  <c r="K18" i="50"/>
  <c r="J18" i="50"/>
  <c r="K17" i="50"/>
  <c r="J17" i="50"/>
  <c r="K16" i="50"/>
  <c r="J16" i="50"/>
  <c r="K15" i="50"/>
  <c r="J15" i="50"/>
  <c r="K14" i="50"/>
  <c r="J14" i="50"/>
  <c r="K13" i="50"/>
  <c r="J13" i="50"/>
  <c r="K12" i="50"/>
  <c r="J12" i="50"/>
  <c r="K11" i="50"/>
  <c r="J11" i="50"/>
  <c r="K10" i="50"/>
  <c r="J10" i="50"/>
  <c r="K9" i="50"/>
  <c r="J9" i="50"/>
  <c r="K8" i="50"/>
  <c r="J8" i="50"/>
  <c r="K7" i="50"/>
  <c r="J7" i="50"/>
  <c r="K6" i="50"/>
  <c r="J6" i="50"/>
  <c r="K5" i="50"/>
  <c r="J5" i="50"/>
  <c r="A4" i="50"/>
  <c r="V68" i="49"/>
  <c r="U68" i="49"/>
  <c r="T68" i="49"/>
  <c r="S68" i="49"/>
  <c r="R68" i="49"/>
  <c r="Q68" i="49"/>
  <c r="P68" i="49"/>
  <c r="A63" i="49"/>
  <c r="A48" i="49"/>
  <c r="K39" i="49"/>
  <c r="J39" i="49"/>
  <c r="K38" i="49"/>
  <c r="J38" i="49"/>
  <c r="K37" i="49"/>
  <c r="J37" i="49"/>
  <c r="K36" i="49"/>
  <c r="J36" i="49"/>
  <c r="K35" i="49"/>
  <c r="J35" i="49"/>
  <c r="K34" i="49"/>
  <c r="J34" i="49"/>
  <c r="K33" i="49"/>
  <c r="J33" i="49"/>
  <c r="K32" i="49"/>
  <c r="J32" i="49"/>
  <c r="K31" i="49"/>
  <c r="J31" i="49"/>
  <c r="K30" i="49"/>
  <c r="J30" i="49"/>
  <c r="K29" i="49"/>
  <c r="J29" i="49"/>
  <c r="K28" i="49"/>
  <c r="J28" i="49"/>
  <c r="K26" i="49"/>
  <c r="J26" i="49"/>
  <c r="K25" i="49"/>
  <c r="J25" i="49"/>
  <c r="K24" i="49"/>
  <c r="J24" i="49"/>
  <c r="K23" i="49"/>
  <c r="J23" i="49"/>
  <c r="K22" i="49"/>
  <c r="J22" i="49"/>
  <c r="K21" i="49"/>
  <c r="J21" i="49"/>
  <c r="K20" i="49"/>
  <c r="J20" i="49"/>
  <c r="K19" i="49"/>
  <c r="J19" i="49"/>
  <c r="K18" i="49"/>
  <c r="J18" i="49"/>
  <c r="S64" i="49" s="1"/>
  <c r="K17" i="49"/>
  <c r="J17" i="49"/>
  <c r="K16" i="49"/>
  <c r="J16" i="49"/>
  <c r="K15" i="49"/>
  <c r="J15" i="49"/>
  <c r="K14" i="49"/>
  <c r="J14" i="49"/>
  <c r="K13" i="49"/>
  <c r="J13" i="49"/>
  <c r="K12" i="49"/>
  <c r="J12" i="49"/>
  <c r="K11" i="49"/>
  <c r="J11" i="49"/>
  <c r="K10" i="49"/>
  <c r="J10" i="49"/>
  <c r="K9" i="49"/>
  <c r="J9" i="49"/>
  <c r="K8" i="49"/>
  <c r="J8" i="49"/>
  <c r="K7" i="49"/>
  <c r="J7" i="49"/>
  <c r="K6" i="49"/>
  <c r="J6" i="49"/>
  <c r="K5" i="49"/>
  <c r="J5" i="49"/>
  <c r="A4" i="49"/>
  <c r="U59" i="51" l="1"/>
  <c r="R59" i="51"/>
  <c r="V59" i="51"/>
  <c r="S59" i="51"/>
  <c r="W59" i="51"/>
  <c r="P59" i="51"/>
  <c r="T59" i="51"/>
  <c r="Q59" i="51"/>
  <c r="Q54" i="50"/>
  <c r="T54" i="50"/>
  <c r="U54" i="50"/>
  <c r="R54" i="50"/>
  <c r="V54" i="50"/>
  <c r="S54" i="50"/>
  <c r="W54" i="50"/>
  <c r="P54" i="50"/>
  <c r="U64" i="49"/>
  <c r="W64" i="49"/>
  <c r="V64" i="49"/>
  <c r="Q64" i="49"/>
  <c r="P64" i="49"/>
  <c r="T64" i="49"/>
  <c r="R64" i="49"/>
  <c r="U68" i="48"/>
  <c r="T68" i="48"/>
  <c r="S68" i="48"/>
  <c r="R68" i="48"/>
  <c r="Q68" i="48"/>
  <c r="P68" i="48"/>
  <c r="U64" i="48"/>
  <c r="Q64" i="48"/>
  <c r="A63" i="48"/>
  <c r="A48" i="48"/>
  <c r="V68" i="48" s="1"/>
  <c r="K39" i="48"/>
  <c r="J39" i="48"/>
  <c r="K38" i="48"/>
  <c r="J38" i="48"/>
  <c r="K37" i="48"/>
  <c r="J37" i="48"/>
  <c r="K36" i="48"/>
  <c r="J36" i="48"/>
  <c r="K35" i="48"/>
  <c r="J35" i="48"/>
  <c r="K34" i="48"/>
  <c r="J34" i="48"/>
  <c r="K33" i="48"/>
  <c r="J33" i="48"/>
  <c r="K32" i="48"/>
  <c r="J32" i="48"/>
  <c r="K31" i="48"/>
  <c r="J31" i="48"/>
  <c r="K30" i="48"/>
  <c r="J30" i="48"/>
  <c r="K29" i="48"/>
  <c r="J29" i="48"/>
  <c r="K28" i="48"/>
  <c r="J28" i="48"/>
  <c r="K27" i="48"/>
  <c r="J27" i="48"/>
  <c r="K26" i="48"/>
  <c r="J26" i="48"/>
  <c r="K25" i="48"/>
  <c r="J25" i="48"/>
  <c r="K24" i="48"/>
  <c r="J24" i="48"/>
  <c r="K23" i="48"/>
  <c r="J23" i="48"/>
  <c r="K22" i="48"/>
  <c r="J22" i="48"/>
  <c r="K21" i="48"/>
  <c r="J21" i="48"/>
  <c r="K20" i="48"/>
  <c r="J20" i="48"/>
  <c r="K19" i="48"/>
  <c r="J19" i="48"/>
  <c r="K18" i="48"/>
  <c r="J18" i="48"/>
  <c r="K17" i="48"/>
  <c r="J17" i="48"/>
  <c r="K16" i="48"/>
  <c r="J16" i="48"/>
  <c r="K15" i="48"/>
  <c r="J15" i="48"/>
  <c r="K14" i="48"/>
  <c r="J14" i="48"/>
  <c r="K13" i="48"/>
  <c r="J13" i="48"/>
  <c r="K12" i="48"/>
  <c r="J12" i="48"/>
  <c r="K11" i="48"/>
  <c r="J11" i="48"/>
  <c r="K10" i="48"/>
  <c r="J10" i="48"/>
  <c r="K9" i="48"/>
  <c r="J9" i="48"/>
  <c r="K8" i="48"/>
  <c r="J8" i="48"/>
  <c r="K7" i="48"/>
  <c r="J7" i="48"/>
  <c r="K6" i="48"/>
  <c r="J6" i="48"/>
  <c r="K5" i="48"/>
  <c r="J5" i="48"/>
  <c r="T64" i="48" s="1"/>
  <c r="A4" i="48"/>
  <c r="J10" i="43"/>
  <c r="K10" i="43"/>
  <c r="J8" i="43"/>
  <c r="K8" i="43"/>
  <c r="J11" i="43"/>
  <c r="K11" i="43"/>
  <c r="J12" i="43"/>
  <c r="K12" i="43"/>
  <c r="J9" i="43"/>
  <c r="K9" i="43"/>
  <c r="J13" i="43"/>
  <c r="K13" i="43"/>
  <c r="J14" i="43"/>
  <c r="K14" i="43"/>
  <c r="J15" i="43"/>
  <c r="K15" i="43"/>
  <c r="R64" i="48" l="1"/>
  <c r="V64" i="48"/>
  <c r="S64" i="48"/>
  <c r="W64" i="48"/>
  <c r="P64" i="48"/>
  <c r="J37" i="43"/>
  <c r="K37" i="43"/>
  <c r="J30" i="43"/>
  <c r="K30" i="43"/>
  <c r="J31" i="43"/>
  <c r="K31" i="43"/>
  <c r="J25" i="43"/>
  <c r="K25" i="43"/>
  <c r="J28" i="43" l="1"/>
  <c r="K28" i="43"/>
  <c r="J29" i="43"/>
  <c r="K29" i="43"/>
  <c r="J20" i="43"/>
  <c r="K20" i="43"/>
  <c r="J21" i="43"/>
  <c r="K21" i="43"/>
  <c r="J22" i="43"/>
  <c r="K22" i="43"/>
  <c r="J23" i="43"/>
  <c r="K23" i="43"/>
  <c r="J24" i="43"/>
  <c r="K24" i="43"/>
  <c r="J26" i="43"/>
  <c r="K26" i="43"/>
  <c r="J27" i="43"/>
  <c r="K27" i="43"/>
  <c r="J32" i="43"/>
  <c r="K32" i="43"/>
  <c r="J33" i="43"/>
  <c r="K33" i="43"/>
  <c r="J34" i="43"/>
  <c r="K34" i="43"/>
  <c r="K19" i="43"/>
  <c r="J19" i="43"/>
  <c r="J38" i="43"/>
  <c r="K38" i="43"/>
  <c r="J7" i="43" l="1"/>
  <c r="K7" i="43"/>
  <c r="J11" i="47"/>
  <c r="K11" i="47"/>
  <c r="J12" i="47"/>
  <c r="K12" i="47"/>
  <c r="J13" i="47"/>
  <c r="K13" i="47"/>
  <c r="J14" i="47"/>
  <c r="K14" i="47"/>
  <c r="J24" i="47"/>
  <c r="K24" i="47"/>
  <c r="J25" i="47"/>
  <c r="K25" i="47"/>
  <c r="J26" i="47"/>
  <c r="K26" i="47"/>
  <c r="J27" i="47"/>
  <c r="K27" i="47"/>
  <c r="J28" i="47"/>
  <c r="K28" i="47"/>
  <c r="J29" i="47"/>
  <c r="K29" i="47"/>
  <c r="J30" i="47"/>
  <c r="K30" i="47"/>
  <c r="J31" i="47"/>
  <c r="K31" i="47"/>
  <c r="J32" i="47"/>
  <c r="K32" i="47"/>
  <c r="J33" i="47"/>
  <c r="K33" i="47"/>
  <c r="J34" i="47"/>
  <c r="K34" i="47"/>
  <c r="J35" i="47"/>
  <c r="K35" i="47"/>
  <c r="J36" i="47"/>
  <c r="K36" i="47"/>
  <c r="J37" i="47"/>
  <c r="K37" i="47"/>
  <c r="J38" i="47"/>
  <c r="K38" i="47"/>
  <c r="J39" i="47"/>
  <c r="K39" i="47"/>
  <c r="U66" i="47" l="1"/>
  <c r="T66" i="47"/>
  <c r="S66" i="47"/>
  <c r="R66" i="47"/>
  <c r="Q66" i="47"/>
  <c r="P66" i="47"/>
  <c r="A61" i="47"/>
  <c r="A48" i="47"/>
  <c r="V66" i="47" s="1"/>
  <c r="K23" i="47"/>
  <c r="J23" i="47"/>
  <c r="K22" i="47"/>
  <c r="J22" i="47"/>
  <c r="K21" i="47"/>
  <c r="J21" i="47"/>
  <c r="K20" i="47"/>
  <c r="J20" i="47"/>
  <c r="K19" i="47"/>
  <c r="J19" i="47"/>
  <c r="K18" i="47"/>
  <c r="J18" i="47"/>
  <c r="K17" i="47"/>
  <c r="J17" i="47"/>
  <c r="K16" i="47"/>
  <c r="J16" i="47"/>
  <c r="K15" i="47"/>
  <c r="J15" i="47"/>
  <c r="K10" i="47"/>
  <c r="J10" i="47"/>
  <c r="K9" i="47"/>
  <c r="J9" i="47"/>
  <c r="K8" i="47"/>
  <c r="J8" i="47"/>
  <c r="K7" i="47"/>
  <c r="J7" i="47"/>
  <c r="K6" i="47"/>
  <c r="J6" i="47"/>
  <c r="K5" i="47"/>
  <c r="J5" i="47"/>
  <c r="A4" i="47"/>
  <c r="U58" i="46"/>
  <c r="T58" i="46"/>
  <c r="S58" i="46"/>
  <c r="R58" i="46"/>
  <c r="Q58" i="46"/>
  <c r="P58" i="46"/>
  <c r="A53" i="46"/>
  <c r="A40" i="46"/>
  <c r="V58" i="46" s="1"/>
  <c r="K31" i="46"/>
  <c r="J31" i="46"/>
  <c r="K30" i="46"/>
  <c r="J30" i="46"/>
  <c r="K29" i="46"/>
  <c r="J29" i="46"/>
  <c r="K28" i="46"/>
  <c r="J28" i="46"/>
  <c r="K27" i="46"/>
  <c r="J27" i="46"/>
  <c r="K26" i="46"/>
  <c r="J26" i="46"/>
  <c r="K25" i="46"/>
  <c r="J25" i="46"/>
  <c r="K24" i="46"/>
  <c r="J24" i="46"/>
  <c r="K23" i="46"/>
  <c r="J23" i="46"/>
  <c r="K22" i="46"/>
  <c r="J22" i="46"/>
  <c r="K21" i="46"/>
  <c r="J21" i="46"/>
  <c r="K20" i="46"/>
  <c r="J20" i="46"/>
  <c r="K19" i="46"/>
  <c r="J19" i="46"/>
  <c r="K18" i="46"/>
  <c r="J18" i="46"/>
  <c r="K17" i="46"/>
  <c r="J17" i="46"/>
  <c r="K16" i="46"/>
  <c r="J16" i="46"/>
  <c r="K15" i="46"/>
  <c r="J15" i="46"/>
  <c r="K14" i="46"/>
  <c r="J14" i="46"/>
  <c r="K13" i="46"/>
  <c r="J13" i="46"/>
  <c r="K12" i="46"/>
  <c r="J12" i="46"/>
  <c r="K11" i="46"/>
  <c r="J11" i="46"/>
  <c r="K10" i="46"/>
  <c r="J10" i="46"/>
  <c r="K9" i="46"/>
  <c r="J9" i="46"/>
  <c r="K8" i="46"/>
  <c r="J8" i="46"/>
  <c r="K7" i="46"/>
  <c r="J7" i="46"/>
  <c r="W54" i="46" s="1"/>
  <c r="K6" i="46"/>
  <c r="J6" i="46"/>
  <c r="K5" i="46"/>
  <c r="J5" i="46"/>
  <c r="V54" i="46" s="1"/>
  <c r="A4" i="46"/>
  <c r="S62" i="47" l="1"/>
  <c r="U62" i="47"/>
  <c r="W62" i="47"/>
  <c r="V62" i="47"/>
  <c r="Q62" i="47"/>
  <c r="P62" i="47"/>
  <c r="T62" i="47"/>
  <c r="R62" i="47"/>
  <c r="S54" i="46"/>
  <c r="P54" i="46"/>
  <c r="T54" i="46"/>
  <c r="Q54" i="46"/>
  <c r="U54" i="46"/>
  <c r="R54" i="46"/>
  <c r="U58" i="45"/>
  <c r="T58" i="45"/>
  <c r="S58" i="45"/>
  <c r="R58" i="45"/>
  <c r="Q58" i="45"/>
  <c r="P58" i="45"/>
  <c r="A53" i="45"/>
  <c r="A40" i="45"/>
  <c r="V58" i="45" s="1"/>
  <c r="K31" i="45"/>
  <c r="J31" i="45"/>
  <c r="K30" i="45"/>
  <c r="J30" i="45"/>
  <c r="K29" i="45"/>
  <c r="J29" i="45"/>
  <c r="K28" i="45"/>
  <c r="J28" i="45"/>
  <c r="K27" i="45"/>
  <c r="J27" i="45"/>
  <c r="K26" i="45"/>
  <c r="J26" i="45"/>
  <c r="K25" i="45"/>
  <c r="J25" i="45"/>
  <c r="K24" i="45"/>
  <c r="J24" i="45"/>
  <c r="K23" i="45"/>
  <c r="J23" i="45"/>
  <c r="K22" i="45"/>
  <c r="J22" i="45"/>
  <c r="K21" i="45"/>
  <c r="J21" i="45"/>
  <c r="K20" i="45"/>
  <c r="J20" i="45"/>
  <c r="K19" i="45"/>
  <c r="J19" i="45"/>
  <c r="K18" i="45"/>
  <c r="J18" i="45"/>
  <c r="K17" i="45"/>
  <c r="J17" i="45"/>
  <c r="K16" i="45"/>
  <c r="J16" i="45"/>
  <c r="K15" i="45"/>
  <c r="J15" i="45"/>
  <c r="K14" i="45"/>
  <c r="J14" i="45"/>
  <c r="K13" i="45"/>
  <c r="J13" i="45"/>
  <c r="K12" i="45"/>
  <c r="J12" i="45"/>
  <c r="K11" i="45"/>
  <c r="J11" i="45"/>
  <c r="K10" i="45"/>
  <c r="J10" i="45"/>
  <c r="K9" i="45"/>
  <c r="J9" i="45"/>
  <c r="K8" i="45"/>
  <c r="J8" i="45"/>
  <c r="K7" i="45"/>
  <c r="J7" i="45"/>
  <c r="K6" i="45"/>
  <c r="J6" i="45"/>
  <c r="K5" i="45"/>
  <c r="J5" i="45"/>
  <c r="A4" i="45"/>
  <c r="V54" i="45" l="1"/>
  <c r="S54" i="45"/>
  <c r="W54" i="45"/>
  <c r="P54" i="45"/>
  <c r="T54" i="45"/>
  <c r="Q54" i="45"/>
  <c r="U54" i="45"/>
  <c r="R54" i="45"/>
  <c r="J7" i="44"/>
  <c r="K7" i="44"/>
  <c r="J8" i="44"/>
  <c r="K8" i="44"/>
  <c r="J9" i="44"/>
  <c r="K9" i="44"/>
  <c r="J10" i="44"/>
  <c r="K10" i="44"/>
  <c r="J11" i="44"/>
  <c r="K11" i="44"/>
  <c r="J12" i="44"/>
  <c r="K12" i="44"/>
  <c r="J13" i="44"/>
  <c r="K13" i="44"/>
  <c r="J14" i="44"/>
  <c r="K14" i="44"/>
  <c r="J15" i="44"/>
  <c r="K15" i="44"/>
  <c r="J16" i="44"/>
  <c r="K16" i="44"/>
  <c r="J17" i="44"/>
  <c r="K17" i="44"/>
  <c r="J18" i="44"/>
  <c r="K18" i="44"/>
  <c r="J19" i="44"/>
  <c r="K19" i="44"/>
  <c r="J20" i="44"/>
  <c r="K20" i="44"/>
  <c r="J21" i="44"/>
  <c r="K21" i="44"/>
  <c r="J24" i="44"/>
  <c r="K24" i="44"/>
  <c r="J25" i="44"/>
  <c r="K25" i="44"/>
  <c r="J26" i="44"/>
  <c r="K26" i="44"/>
  <c r="J27" i="44"/>
  <c r="K27" i="44"/>
  <c r="J28" i="44"/>
  <c r="K28" i="44"/>
  <c r="J22" i="44"/>
  <c r="K22" i="44"/>
  <c r="J23" i="44"/>
  <c r="K23" i="44"/>
  <c r="J29" i="44"/>
  <c r="K29" i="44"/>
  <c r="J30" i="44"/>
  <c r="K30" i="44"/>
  <c r="J31" i="44"/>
  <c r="K31" i="44"/>
  <c r="U58" i="44"/>
  <c r="T58" i="44"/>
  <c r="S58" i="44"/>
  <c r="R58" i="44"/>
  <c r="Q58" i="44"/>
  <c r="P58" i="44"/>
  <c r="A53" i="44"/>
  <c r="A40" i="44"/>
  <c r="V58" i="44" s="1"/>
  <c r="K6" i="44"/>
  <c r="J6" i="44"/>
  <c r="K5" i="44"/>
  <c r="J5" i="44"/>
  <c r="A4" i="44"/>
  <c r="U69" i="43"/>
  <c r="T69" i="43"/>
  <c r="S69" i="43"/>
  <c r="R69" i="43"/>
  <c r="Q69" i="43"/>
  <c r="P69" i="43"/>
  <c r="A64" i="43"/>
  <c r="A49" i="43"/>
  <c r="V69" i="43" s="1"/>
  <c r="K40" i="43"/>
  <c r="J40" i="43"/>
  <c r="K39" i="43"/>
  <c r="J39" i="43"/>
  <c r="K36" i="43"/>
  <c r="J36" i="43"/>
  <c r="K35" i="43"/>
  <c r="J35" i="43"/>
  <c r="K17" i="43"/>
  <c r="J17" i="43"/>
  <c r="K16" i="43"/>
  <c r="J16" i="43"/>
  <c r="K6" i="43"/>
  <c r="J6" i="43"/>
  <c r="K5" i="43"/>
  <c r="J5" i="43"/>
  <c r="A4" i="43"/>
  <c r="W65" i="43" l="1"/>
  <c r="Q54" i="44"/>
  <c r="U54" i="44"/>
  <c r="T54" i="44"/>
  <c r="R54" i="44"/>
  <c r="V54" i="44"/>
  <c r="S54" i="44"/>
  <c r="W54" i="44"/>
  <c r="P54" i="44"/>
  <c r="S65" i="43"/>
  <c r="U65" i="43"/>
  <c r="V65" i="43"/>
  <c r="Q65" i="43"/>
  <c r="P65" i="43"/>
  <c r="T65" i="43"/>
  <c r="R65" i="43"/>
  <c r="U68" i="42"/>
  <c r="T68" i="42"/>
  <c r="S68" i="42"/>
  <c r="R68" i="42"/>
  <c r="Q68" i="42"/>
  <c r="P68" i="42"/>
  <c r="A63" i="42"/>
  <c r="A48" i="42"/>
  <c r="V68" i="42" s="1"/>
  <c r="K39" i="42"/>
  <c r="J39" i="42"/>
  <c r="K38" i="42"/>
  <c r="J38" i="42"/>
  <c r="K37" i="42"/>
  <c r="J37" i="42"/>
  <c r="K36" i="42"/>
  <c r="J36" i="42"/>
  <c r="K35" i="42"/>
  <c r="J35" i="42"/>
  <c r="K34" i="42"/>
  <c r="J34" i="42"/>
  <c r="K33" i="42"/>
  <c r="J33" i="42"/>
  <c r="K32" i="42"/>
  <c r="J32" i="42"/>
  <c r="K31" i="42"/>
  <c r="J31" i="42"/>
  <c r="K30" i="42"/>
  <c r="J30" i="42"/>
  <c r="K29" i="42"/>
  <c r="J29" i="42"/>
  <c r="K28" i="42"/>
  <c r="J28" i="42"/>
  <c r="K26" i="42"/>
  <c r="J26" i="42"/>
  <c r="K25" i="42"/>
  <c r="J25" i="42"/>
  <c r="K24" i="42"/>
  <c r="J24" i="42"/>
  <c r="K23" i="42"/>
  <c r="J23" i="42"/>
  <c r="K22" i="42"/>
  <c r="J22" i="42"/>
  <c r="K21" i="42"/>
  <c r="J21" i="42"/>
  <c r="K20" i="42"/>
  <c r="J20" i="42"/>
  <c r="K19" i="42"/>
  <c r="J19" i="42"/>
  <c r="K18" i="42"/>
  <c r="J18" i="42"/>
  <c r="K17" i="42"/>
  <c r="J17" i="42"/>
  <c r="K16" i="42"/>
  <c r="J16" i="42"/>
  <c r="K15" i="42"/>
  <c r="J15" i="42"/>
  <c r="K14" i="42"/>
  <c r="J14" i="42"/>
  <c r="K13" i="42"/>
  <c r="J13" i="42"/>
  <c r="K12" i="42"/>
  <c r="J12" i="42"/>
  <c r="K11" i="42"/>
  <c r="J11" i="42"/>
  <c r="K10" i="42"/>
  <c r="J10" i="42"/>
  <c r="K9" i="42"/>
  <c r="J9" i="42"/>
  <c r="K8" i="42"/>
  <c r="J8" i="42"/>
  <c r="K7" i="42"/>
  <c r="J7" i="42"/>
  <c r="K6" i="42"/>
  <c r="J6" i="42"/>
  <c r="K5" i="42"/>
  <c r="J5" i="42"/>
  <c r="A4" i="42"/>
  <c r="S64" i="42" l="1"/>
  <c r="V64" i="42"/>
  <c r="W64" i="42"/>
  <c r="P64" i="42"/>
  <c r="T64" i="42"/>
  <c r="Q64" i="42"/>
  <c r="U64" i="42"/>
  <c r="R64" i="42"/>
  <c r="V67" i="41"/>
  <c r="U67" i="41"/>
  <c r="T67" i="41"/>
  <c r="S67" i="41"/>
  <c r="R67" i="41"/>
  <c r="Q67" i="41"/>
  <c r="P67" i="41"/>
  <c r="A62" i="41"/>
  <c r="A47" i="41"/>
  <c r="K38" i="41"/>
  <c r="J38" i="41"/>
  <c r="K37" i="41"/>
  <c r="J37" i="41"/>
  <c r="K36" i="41"/>
  <c r="J36" i="41"/>
  <c r="K35" i="41"/>
  <c r="J35" i="41"/>
  <c r="K34" i="41"/>
  <c r="J34" i="41"/>
  <c r="K33" i="41"/>
  <c r="J33" i="41"/>
  <c r="K32" i="41"/>
  <c r="J32" i="41"/>
  <c r="K31" i="41"/>
  <c r="J31" i="41"/>
  <c r="K30" i="41"/>
  <c r="J30" i="41"/>
  <c r="K29" i="41"/>
  <c r="J29" i="41"/>
  <c r="K28" i="41"/>
  <c r="J28" i="41"/>
  <c r="K27" i="41"/>
  <c r="J27" i="41"/>
  <c r="K26" i="41"/>
  <c r="J26" i="41"/>
  <c r="K25" i="41"/>
  <c r="J25" i="41"/>
  <c r="K24" i="41"/>
  <c r="J24" i="41"/>
  <c r="K23" i="41"/>
  <c r="J23" i="41"/>
  <c r="K22" i="41"/>
  <c r="J22" i="41"/>
  <c r="K21" i="41"/>
  <c r="J21" i="41"/>
  <c r="K20" i="41"/>
  <c r="J20" i="41"/>
  <c r="K19" i="41"/>
  <c r="J19" i="41"/>
  <c r="K18" i="41"/>
  <c r="J18" i="41"/>
  <c r="K17" i="41"/>
  <c r="J17" i="41"/>
  <c r="K16" i="41"/>
  <c r="J16" i="41"/>
  <c r="K15" i="41"/>
  <c r="J15" i="41"/>
  <c r="K14" i="41"/>
  <c r="J14" i="41"/>
  <c r="K13" i="41"/>
  <c r="J13" i="41"/>
  <c r="K12" i="41"/>
  <c r="J12" i="41"/>
  <c r="U63" i="41" s="1"/>
  <c r="K11" i="41"/>
  <c r="J11" i="41"/>
  <c r="K10" i="41"/>
  <c r="J10" i="41"/>
  <c r="K9" i="41"/>
  <c r="J9" i="41"/>
  <c r="K8" i="41"/>
  <c r="J8" i="41"/>
  <c r="K7" i="41"/>
  <c r="J7" i="41"/>
  <c r="K6" i="41"/>
  <c r="J6" i="41"/>
  <c r="K5" i="41"/>
  <c r="J5" i="41"/>
  <c r="A4" i="41"/>
  <c r="Q63" i="41" l="1"/>
  <c r="T63" i="41"/>
  <c r="W63" i="41"/>
  <c r="R63" i="41"/>
  <c r="V63" i="41"/>
  <c r="S63" i="41"/>
  <c r="P63" i="41"/>
  <c r="J26" i="40"/>
  <c r="K26" i="40"/>
  <c r="J27" i="40"/>
  <c r="K27" i="40"/>
  <c r="J29" i="40" l="1"/>
  <c r="K29" i="40"/>
  <c r="J30" i="40"/>
  <c r="K30" i="40"/>
  <c r="J31" i="40"/>
  <c r="K31" i="40"/>
  <c r="J8" i="40" l="1"/>
  <c r="K8" i="40"/>
  <c r="J11" i="40" l="1"/>
  <c r="K11" i="40"/>
  <c r="J9" i="40"/>
  <c r="K9" i="40"/>
  <c r="U67" i="40"/>
  <c r="T67" i="40"/>
  <c r="S67" i="40"/>
  <c r="R67" i="40"/>
  <c r="Q67" i="40"/>
  <c r="P67" i="40"/>
  <c r="A62" i="40"/>
  <c r="A47" i="40"/>
  <c r="V67" i="40" s="1"/>
  <c r="K38" i="40"/>
  <c r="J38" i="40"/>
  <c r="K37" i="40"/>
  <c r="J37" i="40"/>
  <c r="K36" i="40"/>
  <c r="J36" i="40"/>
  <c r="K35" i="40"/>
  <c r="J35" i="40"/>
  <c r="K34" i="40"/>
  <c r="J34" i="40"/>
  <c r="K33" i="40"/>
  <c r="J33" i="40"/>
  <c r="K32" i="40"/>
  <c r="J32" i="40"/>
  <c r="K28" i="40"/>
  <c r="J28" i="40"/>
  <c r="K25" i="40"/>
  <c r="J25" i="40"/>
  <c r="K24" i="40"/>
  <c r="J24" i="40"/>
  <c r="K23" i="40"/>
  <c r="J23" i="40"/>
  <c r="K22" i="40"/>
  <c r="J22" i="40"/>
  <c r="K21" i="40"/>
  <c r="J21" i="40"/>
  <c r="K20" i="40"/>
  <c r="J20" i="40"/>
  <c r="K19" i="40"/>
  <c r="J19" i="40"/>
  <c r="K18" i="40"/>
  <c r="J18" i="40"/>
  <c r="K17" i="40"/>
  <c r="J17" i="40"/>
  <c r="K16" i="40"/>
  <c r="J16" i="40"/>
  <c r="K15" i="40"/>
  <c r="J15" i="40"/>
  <c r="K14" i="40"/>
  <c r="J14" i="40"/>
  <c r="K13" i="40"/>
  <c r="J13" i="40"/>
  <c r="K12" i="40"/>
  <c r="J12" i="40"/>
  <c r="K10" i="40"/>
  <c r="J10" i="40"/>
  <c r="K7" i="40"/>
  <c r="J7" i="40"/>
  <c r="K6" i="40"/>
  <c r="J6" i="40"/>
  <c r="K5" i="40"/>
  <c r="J5" i="40"/>
  <c r="A4" i="40"/>
  <c r="S63" i="40" l="1"/>
  <c r="T63" i="40"/>
  <c r="W63" i="40"/>
  <c r="V63" i="40"/>
  <c r="Q63" i="40"/>
  <c r="U63" i="40"/>
  <c r="P63" i="40"/>
  <c r="R63" i="40"/>
  <c r="J28" i="39"/>
  <c r="K28" i="39"/>
  <c r="J10" i="39"/>
  <c r="K10" i="39"/>
  <c r="J6" i="39"/>
  <c r="K6" i="39"/>
  <c r="J7" i="39"/>
  <c r="K7" i="39"/>
  <c r="J8" i="39"/>
  <c r="K8" i="39"/>
  <c r="J9" i="39"/>
  <c r="K9" i="39"/>
  <c r="J11" i="39"/>
  <c r="K11" i="39"/>
  <c r="J12" i="39"/>
  <c r="K12" i="39"/>
  <c r="J13" i="39"/>
  <c r="K13" i="39"/>
  <c r="J14" i="39"/>
  <c r="K14" i="39"/>
  <c r="J15" i="39"/>
  <c r="K15" i="39"/>
  <c r="J16" i="39"/>
  <c r="K16" i="39"/>
  <c r="J17" i="39"/>
  <c r="K17" i="39"/>
  <c r="J18" i="39"/>
  <c r="K18" i="39"/>
  <c r="J19" i="39"/>
  <c r="K19" i="39"/>
  <c r="J20" i="39"/>
  <c r="K20" i="39"/>
  <c r="J21" i="39"/>
  <c r="K21" i="39"/>
  <c r="J22" i="39"/>
  <c r="K22" i="39"/>
  <c r="J23" i="39"/>
  <c r="K23" i="39"/>
  <c r="J24" i="39"/>
  <c r="K24" i="39"/>
  <c r="J25" i="39"/>
  <c r="K25" i="39"/>
  <c r="J26" i="39"/>
  <c r="K26" i="39"/>
  <c r="J27" i="39"/>
  <c r="K27" i="39"/>
  <c r="J29" i="39"/>
  <c r="K29" i="39"/>
  <c r="J30" i="39"/>
  <c r="K30" i="39"/>
  <c r="J31" i="39"/>
  <c r="K31" i="39"/>
  <c r="U60" i="39" l="1"/>
  <c r="T60" i="39"/>
  <c r="S60" i="39"/>
  <c r="R60" i="39"/>
  <c r="Q60" i="39"/>
  <c r="P60" i="39"/>
  <c r="A55" i="39"/>
  <c r="A40" i="39"/>
  <c r="V60" i="39" s="1"/>
  <c r="K5" i="39"/>
  <c r="J5" i="39"/>
  <c r="A4" i="39"/>
  <c r="V56" i="39" l="1"/>
  <c r="S56" i="39"/>
  <c r="W56" i="39"/>
  <c r="P56" i="39"/>
  <c r="T56" i="39"/>
  <c r="Q56" i="39"/>
  <c r="U56" i="39"/>
  <c r="R56" i="39"/>
  <c r="K49" i="38"/>
  <c r="J49" i="38"/>
  <c r="K48" i="38"/>
  <c r="J48" i="38"/>
  <c r="K47" i="38"/>
  <c r="J47" i="38"/>
  <c r="J9" i="38"/>
  <c r="K9" i="38"/>
  <c r="J17" i="38"/>
  <c r="K17" i="38"/>
  <c r="J18" i="38"/>
  <c r="K18" i="38"/>
  <c r="J19" i="38"/>
  <c r="K19" i="38"/>
  <c r="J20" i="38"/>
  <c r="K20" i="38"/>
  <c r="J21" i="38"/>
  <c r="K21" i="38"/>
  <c r="J22" i="38"/>
  <c r="K22" i="38"/>
  <c r="J13" i="38"/>
  <c r="K13" i="38"/>
  <c r="J14" i="38"/>
  <c r="K14" i="38"/>
  <c r="J16" i="38"/>
  <c r="K16" i="38"/>
  <c r="J24" i="38"/>
  <c r="K24" i="38"/>
  <c r="J25" i="38"/>
  <c r="K25" i="38"/>
  <c r="J27" i="38"/>
  <c r="K27" i="38"/>
  <c r="J28" i="38"/>
  <c r="K28" i="38"/>
  <c r="J29" i="38"/>
  <c r="K29" i="38"/>
  <c r="J30" i="38"/>
  <c r="K30" i="38"/>
  <c r="J46" i="38" l="1"/>
  <c r="K46" i="38"/>
  <c r="J6" i="38"/>
  <c r="K6" i="38"/>
  <c r="J7" i="38"/>
  <c r="K7" i="38"/>
  <c r="J8" i="38"/>
  <c r="K8" i="38"/>
  <c r="J10" i="38"/>
  <c r="K10" i="38"/>
  <c r="U59" i="38"/>
  <c r="T59" i="38"/>
  <c r="S59" i="38"/>
  <c r="R59" i="38"/>
  <c r="Q59" i="38"/>
  <c r="P59" i="38"/>
  <c r="A54" i="38"/>
  <c r="A39" i="38"/>
  <c r="V59" i="38" s="1"/>
  <c r="K26" i="38"/>
  <c r="J26" i="38"/>
  <c r="K45" i="38"/>
  <c r="J45" i="38"/>
  <c r="K23" i="38"/>
  <c r="J23" i="38"/>
  <c r="K15" i="38"/>
  <c r="J15" i="38"/>
  <c r="K12" i="38"/>
  <c r="J12" i="38"/>
  <c r="K11" i="38"/>
  <c r="J11" i="38"/>
  <c r="K5" i="38"/>
  <c r="J5" i="38"/>
  <c r="A4" i="38"/>
  <c r="W55" i="38" l="1"/>
  <c r="V55" i="38"/>
  <c r="S55" i="38"/>
  <c r="P55" i="38"/>
  <c r="T55" i="38"/>
  <c r="Q55" i="38"/>
  <c r="U55" i="38"/>
  <c r="R55" i="38"/>
</calcChain>
</file>

<file path=xl/sharedStrings.xml><?xml version="1.0" encoding="utf-8"?>
<sst xmlns="http://schemas.openxmlformats.org/spreadsheetml/2006/main" count="1900" uniqueCount="726">
  <si>
    <t>飛行</t>
    <rPh sb="0" eb="2">
      <t>ヒコウ</t>
    </rPh>
    <phoneticPr fontId="1"/>
  </si>
  <si>
    <t>R</t>
  </si>
  <si>
    <t>R</t>
    <phoneticPr fontId="1"/>
  </si>
  <si>
    <t>C</t>
    <phoneticPr fontId="1"/>
  </si>
  <si>
    <t>S</t>
  </si>
  <si>
    <t>S</t>
    <phoneticPr fontId="1"/>
  </si>
  <si>
    <t>I</t>
    <phoneticPr fontId="1"/>
  </si>
  <si>
    <t>E</t>
    <phoneticPr fontId="1"/>
  </si>
  <si>
    <t>A</t>
    <phoneticPr fontId="1"/>
  </si>
  <si>
    <t>L</t>
    <phoneticPr fontId="1"/>
  </si>
  <si>
    <t>PW</t>
    <phoneticPr fontId="1"/>
  </si>
  <si>
    <t>威迫</t>
    <rPh sb="0" eb="2">
      <t>イハク</t>
    </rPh>
    <phoneticPr fontId="1"/>
  </si>
  <si>
    <t>山</t>
    <rPh sb="0" eb="1">
      <t>ヤマ</t>
    </rPh>
    <phoneticPr fontId="1"/>
  </si>
  <si>
    <t>墓場からの復活</t>
  </si>
  <si>
    <t>楕円競走車</t>
  </si>
  <si>
    <t>高速警備車</t>
  </si>
  <si>
    <t>領事の旗艦、スカイソブリン</t>
  </si>
  <si>
    <t>アラダラ急行</t>
  </si>
  <si>
    <t>耕作者の荷馬車</t>
  </si>
  <si>
    <t>破砕踏歩機</t>
  </si>
  <si>
    <t>密輸人の回転翼機</t>
  </si>
  <si>
    <t>搭乗3</t>
    <rPh sb="0" eb="2">
      <t>トウジョウ</t>
    </rPh>
    <phoneticPr fontId="1"/>
  </si>
  <si>
    <t>搭乗1</t>
    <rPh sb="0" eb="2">
      <t>トウジョウ</t>
    </rPh>
    <phoneticPr fontId="1"/>
  </si>
  <si>
    <t>飛行　ﾙｰﾀｰ</t>
    <rPh sb="0" eb="2">
      <t>ヒコウ</t>
    </rPh>
    <phoneticPr fontId="1"/>
  </si>
  <si>
    <t>搭乗2</t>
    <rPh sb="0" eb="2">
      <t>トウジョウ</t>
    </rPh>
    <phoneticPr fontId="1"/>
  </si>
  <si>
    <t>搭乗4</t>
    <rPh sb="0" eb="2">
      <t>トウジョウ</t>
    </rPh>
    <phoneticPr fontId="1"/>
  </si>
  <si>
    <t>飛行　CIP&amp;攻時3ｄ</t>
    <rPh sb="0" eb="2">
      <t>ヒコウ</t>
    </rPh>
    <rPh sb="7" eb="8">
      <t>オサム</t>
    </rPh>
    <rPh sb="8" eb="9">
      <t>ジ</t>
    </rPh>
    <phoneticPr fontId="1"/>
  </si>
  <si>
    <t>搭乗5　</t>
    <rPh sb="0" eb="2">
      <t>トウジョウ</t>
    </rPh>
    <phoneticPr fontId="1"/>
  </si>
  <si>
    <t>A</t>
  </si>
  <si>
    <t>.3/3</t>
  </si>
  <si>
    <t>.5/5</t>
  </si>
  <si>
    <t>mana-fact</t>
  </si>
  <si>
    <t>領事府の弩級艦</t>
  </si>
  <si>
    <t>搭乗6　</t>
    <rPh sb="0" eb="2">
      <t>トウジョウ</t>
    </rPh>
    <phoneticPr fontId="1"/>
  </si>
  <si>
    <t>平和歩きの巨像</t>
  </si>
  <si>
    <t>1W:他機体1搭乗</t>
    <rPh sb="3" eb="4">
      <t>タ</t>
    </rPh>
    <rPh sb="4" eb="6">
      <t>キタイ</t>
    </rPh>
    <rPh sb="7" eb="9">
      <t>トウジョウ</t>
    </rPh>
    <phoneticPr fontId="1"/>
  </si>
  <si>
    <t>暴走急行</t>
  </si>
  <si>
    <t>TP　攻撃時+1/+1C</t>
    <rPh sb="3" eb="5">
      <t>コウゲキ</t>
    </rPh>
    <rPh sb="5" eb="6">
      <t>ジ</t>
    </rPh>
    <phoneticPr fontId="1"/>
  </si>
  <si>
    <t>キランの真意号</t>
  </si>
  <si>
    <t>飛行警戒　RC1：搭乗</t>
    <rPh sb="0" eb="2">
      <t>ヒコウ</t>
    </rPh>
    <rPh sb="2" eb="4">
      <t>ケイカイ</t>
    </rPh>
    <rPh sb="9" eb="11">
      <t>トウジョウ</t>
    </rPh>
    <phoneticPr fontId="1"/>
  </si>
  <si>
    <t>霊気圏の収集艇</t>
  </si>
  <si>
    <t>.5/3</t>
  </si>
  <si>
    <t>trnpl hyst</t>
  </si>
  <si>
    <t>.8/6</t>
  </si>
  <si>
    <t>.6/5</t>
  </si>
  <si>
    <t>.10/7</t>
  </si>
  <si>
    <t>P2以下非ブロ</t>
  </si>
  <si>
    <t>.6/1</t>
    <phoneticPr fontId="1"/>
  </si>
  <si>
    <t>速攻</t>
    <rPh sb="0" eb="2">
      <t>ソッコウ</t>
    </rPh>
    <phoneticPr fontId="1"/>
  </si>
  <si>
    <t>.7/11</t>
  </si>
  <si>
    <t>.6/6</t>
  </si>
  <si>
    <t>.4/4</t>
  </si>
  <si>
    <t>.3/5</t>
  </si>
  <si>
    <t>無謀者の競走車</t>
  </si>
  <si>
    <t>A</t>
    <phoneticPr fontId="1"/>
  </si>
  <si>
    <t>.4/4</t>
    <phoneticPr fontId="1"/>
  </si>
  <si>
    <t>戦闘回数=2、S＆2D</t>
    <rPh sb="0" eb="2">
      <t>セントウ</t>
    </rPh>
    <rPh sb="2" eb="4">
      <t>カイスウ</t>
    </rPh>
    <phoneticPr fontId="1"/>
  </si>
  <si>
    <t>鉄装破壊車</t>
  </si>
  <si>
    <t>移動駐屯所</t>
  </si>
  <si>
    <t>.3/4</t>
    <phoneticPr fontId="1"/>
  </si>
  <si>
    <t>攻撃時他CorAUT</t>
    <rPh sb="0" eb="2">
      <t>コウゲキ</t>
    </rPh>
    <rPh sb="2" eb="3">
      <t>ジ</t>
    </rPh>
    <rPh sb="3" eb="4">
      <t>タ</t>
    </rPh>
    <phoneticPr fontId="1"/>
  </si>
  <si>
    <t>バリスタ突撃車</t>
  </si>
  <si>
    <t>.6/6</t>
    <phoneticPr fontId="1"/>
  </si>
  <si>
    <t>攻撃時ティム</t>
    <rPh sb="0" eb="2">
      <t>コウゲキ</t>
    </rPh>
    <rPh sb="2" eb="3">
      <t>ジ</t>
    </rPh>
    <phoneticPr fontId="1"/>
  </si>
  <si>
    <t>ボーマットのバザール船</t>
  </si>
  <si>
    <t>.5/5</t>
    <phoneticPr fontId="1"/>
  </si>
  <si>
    <t>CIP:1D</t>
    <phoneticPr fontId="1"/>
  </si>
  <si>
    <t>改革派の貨物車</t>
  </si>
  <si>
    <t>.4/3</t>
    <phoneticPr fontId="1"/>
  </si>
  <si>
    <t>攻撃時+1/+1+TP</t>
    <rPh sb="0" eb="2">
      <t>コウゲキ</t>
    </rPh>
    <rPh sb="2" eb="3">
      <t>ジ</t>
    </rPh>
    <phoneticPr fontId="1"/>
  </si>
  <si>
    <t>航空艇</t>
  </si>
  <si>
    <t>.2/3</t>
    <phoneticPr fontId="1"/>
  </si>
  <si>
    <t>C</t>
    <phoneticPr fontId="1"/>
  </si>
  <si>
    <t>.2/2</t>
    <phoneticPr fontId="1"/>
  </si>
  <si>
    <t>連射する暴君</t>
  </si>
  <si>
    <t>R</t>
    <phoneticPr fontId="1"/>
  </si>
  <si>
    <t>.5/3</t>
    <phoneticPr fontId="1"/>
  </si>
  <si>
    <t>2R,NC:投げ飛ばし</t>
    <rPh sb="6" eb="7">
      <t>ナ</t>
    </rPh>
    <rPh sb="8" eb="9">
      <t>ト</t>
    </rPh>
    <phoneticPr fontId="1"/>
  </si>
  <si>
    <t>敵対</t>
  </si>
  <si>
    <t>I</t>
    <phoneticPr fontId="1"/>
  </si>
  <si>
    <t>BFZ</t>
    <phoneticPr fontId="1"/>
  </si>
  <si>
    <t>エンブロールの歯車砕き</t>
  </si>
  <si>
    <t>AER</t>
  </si>
  <si>
    <t>AER</t>
    <phoneticPr fontId="1"/>
  </si>
  <si>
    <t>R</t>
    <phoneticPr fontId="1"/>
  </si>
  <si>
    <t>.2/3</t>
    <phoneticPr fontId="1"/>
  </si>
  <si>
    <t>T,AS:2Deal</t>
    <phoneticPr fontId="1"/>
  </si>
  <si>
    <t>RR</t>
    <phoneticPr fontId="1"/>
  </si>
  <si>
    <t>S</t>
    <phoneticPr fontId="1"/>
  </si>
  <si>
    <t>C_act</t>
    <phoneticPr fontId="1"/>
  </si>
  <si>
    <t>.2/2</t>
    <phoneticPr fontId="1"/>
  </si>
  <si>
    <t>.1/2</t>
    <phoneticPr fontId="1"/>
  </si>
  <si>
    <t>atog</t>
    <phoneticPr fontId="1"/>
  </si>
  <si>
    <t>世話</t>
  </si>
  <si>
    <t>カーリ・ゼヴの巧技</t>
    <phoneticPr fontId="1"/>
  </si>
  <si>
    <t>P4下C_act</t>
    <rPh sb="2" eb="3">
      <t>シタ</t>
    </rPh>
    <phoneticPr fontId="1"/>
  </si>
  <si>
    <t>EMN</t>
  </si>
  <si>
    <t>EMN</t>
    <phoneticPr fontId="1"/>
  </si>
  <si>
    <t>乗っ取り</t>
  </si>
  <si>
    <t>KLD</t>
    <phoneticPr fontId="1"/>
  </si>
  <si>
    <t>CorA_act</t>
    <phoneticPr fontId="1"/>
  </si>
  <si>
    <t>ピア・ナラー</t>
  </si>
  <si>
    <t>1,AS:防不可</t>
    <rPh sb="5" eb="6">
      <t>ボウ</t>
    </rPh>
    <rPh sb="6" eb="8">
      <t>フカ</t>
    </rPh>
    <phoneticPr fontId="1"/>
  </si>
  <si>
    <t>OGW</t>
  </si>
  <si>
    <t>C</t>
    <phoneticPr fontId="1"/>
  </si>
  <si>
    <t>ゴブリンの闇住まい</t>
  </si>
  <si>
    <t>.4/4</t>
    <phoneticPr fontId="1"/>
  </si>
  <si>
    <t>威迫 CIP:墓CMC3↓呪唱</t>
    <rPh sb="0" eb="2">
      <t>イハク</t>
    </rPh>
    <rPh sb="7" eb="8">
      <t>ボ</t>
    </rPh>
    <rPh sb="13" eb="14">
      <t>ジュ</t>
    </rPh>
    <rPh sb="14" eb="15">
      <t>トナ</t>
    </rPh>
    <phoneticPr fontId="1"/>
  </si>
  <si>
    <t>縫い師の移植</t>
  </si>
  <si>
    <t>A</t>
    <phoneticPr fontId="1"/>
  </si>
  <si>
    <t>2:装備　+3/+3 非UT 外れると贄</t>
    <rPh sb="2" eb="4">
      <t>ソウビ</t>
    </rPh>
    <rPh sb="11" eb="12">
      <t>ヒ</t>
    </rPh>
    <rPh sb="15" eb="16">
      <t>ハズ</t>
    </rPh>
    <rPh sb="19" eb="20">
      <t>ニエ</t>
    </rPh>
    <phoneticPr fontId="1"/>
  </si>
  <si>
    <t>膨らんだ意識曲げ</t>
  </si>
  <si>
    <t>.5/5</t>
    <phoneticPr fontId="1"/>
  </si>
  <si>
    <t>5BB:現出</t>
    <rPh sb="4" eb="6">
      <t>ゲンシュツ</t>
    </rPh>
    <phoneticPr fontId="1"/>
  </si>
  <si>
    <t>甚だしい大口</t>
  </si>
  <si>
    <t>.6/4</t>
    <phoneticPr fontId="1"/>
  </si>
  <si>
    <t>6B:現出</t>
    <rPh sb="3" eb="5">
      <t>ゲンシュツ</t>
    </rPh>
    <phoneticPr fontId="1"/>
  </si>
  <si>
    <t>骨の粉砕</t>
  </si>
  <si>
    <t>B</t>
    <phoneticPr fontId="1"/>
  </si>
  <si>
    <t>CS：CD</t>
    <phoneticPr fontId="1"/>
  </si>
  <si>
    <t>吸血の儀式</t>
  </si>
  <si>
    <t>E</t>
    <phoneticPr fontId="1"/>
  </si>
  <si>
    <t>1B,CS:1D1回</t>
    <rPh sb="9" eb="10">
      <t>カイ</t>
    </rPh>
    <phoneticPr fontId="1"/>
  </si>
  <si>
    <t>ﾘｱﾆ</t>
    <phoneticPr fontId="1"/>
  </si>
  <si>
    <t>ヴォルダーレンの下層民</t>
  </si>
  <si>
    <t>BB</t>
    <phoneticPr fontId="1"/>
  </si>
  <si>
    <t>.3/3</t>
    <phoneticPr fontId="1"/>
  </si>
  <si>
    <t>3CS:変身</t>
    <rPh sb="4" eb="6">
      <t>ヘンシン</t>
    </rPh>
    <phoneticPr fontId="1"/>
  </si>
  <si>
    <t>強気な回収者</t>
  </si>
  <si>
    <t>CorAS:+1/+1C</t>
    <phoneticPr fontId="1"/>
  </si>
  <si>
    <t>不死の援護者、ヤヘンニ</t>
  </si>
  <si>
    <t>CS:Iｎ</t>
    <phoneticPr fontId="1"/>
  </si>
  <si>
    <t>バトラン</t>
    <phoneticPr fontId="1"/>
  </si>
  <si>
    <t>シャドラン</t>
    <phoneticPr fontId="1"/>
  </si>
  <si>
    <t>沼</t>
    <rPh sb="0" eb="1">
      <t>ヌマ</t>
    </rPh>
    <phoneticPr fontId="1"/>
  </si>
  <si>
    <t>ヤヘンニの巧技</t>
  </si>
  <si>
    <t>_-3/-3_3↓唱</t>
    <rPh sb="9" eb="10">
      <t>トナ</t>
    </rPh>
    <phoneticPr fontId="1"/>
  </si>
  <si>
    <t>CorV_act 2↓唱</t>
    <rPh sb="11" eb="12">
      <t>トナ</t>
    </rPh>
    <phoneticPr fontId="1"/>
  </si>
  <si>
    <t>貪欲な侵入者</t>
    <phoneticPr fontId="1"/>
  </si>
  <si>
    <t>改革派の結集者</t>
  </si>
  <si>
    <t>AER</t>
    <phoneticPr fontId="1"/>
  </si>
  <si>
    <t>GW</t>
    <phoneticPr fontId="1"/>
  </si>
  <si>
    <t>.3/2</t>
    <phoneticPr fontId="1"/>
  </si>
  <si>
    <t>紛争：CIP:CMC2下P墓場戻</t>
    <phoneticPr fontId="1"/>
  </si>
  <si>
    <t>ニッサの誓い</t>
    <rPh sb="4" eb="5">
      <t>チカ</t>
    </rPh>
    <phoneticPr fontId="1"/>
  </si>
  <si>
    <t>OGW</t>
    <phoneticPr fontId="1"/>
  </si>
  <si>
    <t>G</t>
    <phoneticPr fontId="1"/>
  </si>
  <si>
    <t>E</t>
  </si>
  <si>
    <t>アジャニの誓い</t>
    <rPh sb="5" eb="6">
      <t>チカ</t>
    </rPh>
    <phoneticPr fontId="1"/>
  </si>
  <si>
    <t>森</t>
    <rPh sb="0" eb="1">
      <t>モリ</t>
    </rPh>
    <phoneticPr fontId="1"/>
  </si>
  <si>
    <t>平地</t>
    <rPh sb="0" eb="2">
      <t>ヘイチ</t>
    </rPh>
    <phoneticPr fontId="1"/>
  </si>
  <si>
    <t>進化する未開地</t>
    <rPh sb="0" eb="2">
      <t>シンカ</t>
    </rPh>
    <rPh sb="4" eb="7">
      <t>ミカイチ</t>
    </rPh>
    <phoneticPr fontId="1"/>
  </si>
  <si>
    <t>GWバトラン</t>
    <phoneticPr fontId="1"/>
  </si>
  <si>
    <t>WBファスラン</t>
    <phoneticPr fontId="1"/>
  </si>
  <si>
    <t>造命師の贈り物</t>
  </si>
  <si>
    <t>I</t>
    <phoneticPr fontId="1"/>
  </si>
  <si>
    <t>.+1/+1C&amp;C乗生物追加+1/+1C</t>
    <rPh sb="9" eb="10">
      <t>ノ</t>
    </rPh>
    <rPh sb="10" eb="12">
      <t>セイブツ</t>
    </rPh>
    <rPh sb="12" eb="14">
      <t>ツイカ</t>
    </rPh>
    <phoneticPr fontId="1"/>
  </si>
  <si>
    <t>僧帽地帯からの援軍</t>
  </si>
  <si>
    <t>GG</t>
  </si>
  <si>
    <t>紛争:自終時DT開_P→場_他→DB</t>
    <rPh sb="0" eb="2">
      <t>フンソウ</t>
    </rPh>
    <rPh sb="3" eb="4">
      <t>ジ</t>
    </rPh>
    <rPh sb="4" eb="5">
      <t>オワ</t>
    </rPh>
    <rPh sb="5" eb="6">
      <t>ジ</t>
    </rPh>
    <rPh sb="8" eb="9">
      <t>カイ</t>
    </rPh>
    <rPh sb="12" eb="13">
      <t>バ</t>
    </rPh>
    <rPh sb="14" eb="15">
      <t>タ</t>
    </rPh>
    <phoneticPr fontId="1"/>
  </si>
  <si>
    <t>歩行バリスタ</t>
    <rPh sb="0" eb="2">
      <t>ホコウ</t>
    </rPh>
    <phoneticPr fontId="1"/>
  </si>
  <si>
    <t>.0/0</t>
    <phoneticPr fontId="1"/>
  </si>
  <si>
    <t>ナーナムの改革派</t>
  </si>
  <si>
    <t>.1/2</t>
    <phoneticPr fontId="1"/>
  </si>
  <si>
    <t>接死　紛争:CIP+1/+1C</t>
    <rPh sb="0" eb="1">
      <t>セッ</t>
    </rPh>
    <rPh sb="1" eb="2">
      <t>シ</t>
    </rPh>
    <rPh sb="3" eb="5">
      <t>フンソウ</t>
    </rPh>
    <phoneticPr fontId="1"/>
  </si>
  <si>
    <t>緑輪地区の解放者</t>
  </si>
  <si>
    <t>C</t>
    <phoneticPr fontId="1"/>
  </si>
  <si>
    <t>C</t>
    <phoneticPr fontId="1"/>
  </si>
  <si>
    <t>.2/1</t>
    <phoneticPr fontId="1"/>
  </si>
  <si>
    <t>紛争:CIP:+2/+2</t>
    <rPh sb="0" eb="2">
      <t>フンソウ</t>
    </rPh>
    <phoneticPr fontId="1"/>
  </si>
  <si>
    <t>隠れた薬草医</t>
  </si>
  <si>
    <t>.2/2</t>
    <phoneticPr fontId="1"/>
  </si>
  <si>
    <t>紛争:CIP:GG</t>
    <rPh sb="0" eb="2">
      <t>フンソウ</t>
    </rPh>
    <phoneticPr fontId="1"/>
  </si>
  <si>
    <t>致命的な一押し</t>
  </si>
  <si>
    <t>B</t>
    <phoneticPr fontId="1"/>
  </si>
  <si>
    <t>I</t>
    <phoneticPr fontId="1"/>
  </si>
  <si>
    <t>生真面目な補充兵</t>
  </si>
  <si>
    <t>WW</t>
    <phoneticPr fontId="1"/>
  </si>
  <si>
    <t>.2/2</t>
    <phoneticPr fontId="1"/>
  </si>
  <si>
    <t>二段攻撃　紛争:自終時+1/+1</t>
    <rPh sb="0" eb="2">
      <t>ニダン</t>
    </rPh>
    <rPh sb="2" eb="4">
      <t>コウゲキ</t>
    </rPh>
    <rPh sb="5" eb="7">
      <t>フンソウ</t>
    </rPh>
    <rPh sb="8" eb="9">
      <t>ジ</t>
    </rPh>
    <rPh sb="9" eb="10">
      <t>オワ</t>
    </rPh>
    <rPh sb="10" eb="11">
      <t>ジ</t>
    </rPh>
    <phoneticPr fontId="1"/>
  </si>
  <si>
    <t>パンハモニコン</t>
    <phoneticPr fontId="1"/>
  </si>
  <si>
    <t>KLD</t>
    <phoneticPr fontId="1"/>
  </si>
  <si>
    <t>A</t>
    <phoneticPr fontId="1"/>
  </si>
  <si>
    <t>CIP倍加</t>
    <rPh sb="3" eb="5">
      <t>バイカ</t>
    </rPh>
    <phoneticPr fontId="1"/>
  </si>
  <si>
    <t>守護フェリダー</t>
    <rPh sb="0" eb="2">
      <t>シュゴ</t>
    </rPh>
    <phoneticPr fontId="1"/>
  </si>
  <si>
    <t>AER</t>
    <phoneticPr fontId="1"/>
  </si>
  <si>
    <t>W</t>
    <phoneticPr fontId="1"/>
  </si>
  <si>
    <t>C</t>
    <phoneticPr fontId="1"/>
  </si>
  <si>
    <t>.1/4</t>
    <phoneticPr fontId="1"/>
  </si>
  <si>
    <t>CIP:非地P明滅</t>
    <rPh sb="4" eb="5">
      <t>ヒ</t>
    </rPh>
    <rPh sb="5" eb="6">
      <t>チ</t>
    </rPh>
    <rPh sb="7" eb="9">
      <t>メイメツ</t>
    </rPh>
    <phoneticPr fontId="1"/>
  </si>
  <si>
    <t>ピーマの改革派、リシュカー</t>
  </si>
  <si>
    <t>G</t>
    <phoneticPr fontId="1"/>
  </si>
  <si>
    <t>C</t>
    <phoneticPr fontId="1"/>
  </si>
  <si>
    <t>.2/2</t>
    <phoneticPr fontId="1"/>
  </si>
  <si>
    <t>枷はずれな成長</t>
  </si>
  <si>
    <t>G</t>
    <phoneticPr fontId="1"/>
  </si>
  <si>
    <t>E</t>
    <phoneticPr fontId="1"/>
  </si>
  <si>
    <t>ゼンディカーの代弁者、ニッサ</t>
  </si>
  <si>
    <t>OGW</t>
    <phoneticPr fontId="1"/>
  </si>
  <si>
    <t>GG</t>
    <phoneticPr fontId="1"/>
  </si>
  <si>
    <t>PW</t>
    <phoneticPr fontId="1"/>
  </si>
  <si>
    <t>ゼンディカーの同盟者、ギデオン</t>
  </si>
  <si>
    <t>BFZ</t>
    <phoneticPr fontId="1"/>
  </si>
  <si>
    <t>WW</t>
    <phoneticPr fontId="1"/>
  </si>
  <si>
    <t>紛争sw</t>
    <rPh sb="0" eb="2">
      <t>フンソウ</t>
    </rPh>
    <phoneticPr fontId="1"/>
  </si>
  <si>
    <t>霊気装置の展示</t>
  </si>
  <si>
    <t>KLD</t>
  </si>
  <si>
    <t>W</t>
  </si>
  <si>
    <t>S</t>
    <phoneticPr fontId="1"/>
  </si>
  <si>
    <t>.1/1*2</t>
  </si>
  <si>
    <t>模範的な造り手</t>
  </si>
  <si>
    <t>C</t>
  </si>
  <si>
    <t>C</t>
    <phoneticPr fontId="1"/>
  </si>
  <si>
    <t>.1/1</t>
    <phoneticPr fontId="1"/>
  </si>
  <si>
    <t>A:+2/+1 A3:FS</t>
    <phoneticPr fontId="1"/>
  </si>
  <si>
    <t>B</t>
  </si>
  <si>
    <t>.2/2</t>
  </si>
  <si>
    <t>BFZ</t>
  </si>
  <si>
    <t>CS：CD</t>
  </si>
  <si>
    <t>I</t>
  </si>
  <si>
    <t>WW</t>
  </si>
  <si>
    <t>PW</t>
  </si>
  <si>
    <t>競争排除</t>
  </si>
  <si>
    <t>B</t>
    <phoneticPr fontId="1"/>
  </si>
  <si>
    <t>XCS:XCD</t>
    <phoneticPr fontId="1"/>
  </si>
  <si>
    <t>豪華の王、ゴンティ</t>
  </si>
  <si>
    <t>BB</t>
  </si>
  <si>
    <t>.2/3</t>
  </si>
  <si>
    <t>陳腐化</t>
  </si>
  <si>
    <t>敵軍-1/-1</t>
    <rPh sb="0" eb="2">
      <t>テキグン</t>
    </rPh>
    <phoneticPr fontId="1"/>
  </si>
  <si>
    <t>サヒーリコンボ対策</t>
    <rPh sb="7" eb="9">
      <t>タイサク</t>
    </rPh>
    <phoneticPr fontId="1"/>
  </si>
  <si>
    <t>マリオネットの達人</t>
  </si>
  <si>
    <t>.1/3</t>
  </si>
  <si>
    <t>製造3　AD→P分D</t>
    <rPh sb="0" eb="2">
      <t>セイゾウ</t>
    </rPh>
    <rPh sb="8" eb="9">
      <t>ブン</t>
    </rPh>
    <phoneticPr fontId="1"/>
  </si>
  <si>
    <t>組織の密売人</t>
  </si>
  <si>
    <t>.3/1</t>
    <phoneticPr fontId="1"/>
  </si>
  <si>
    <t>武器作り狂</t>
  </si>
  <si>
    <t>.0/1</t>
    <phoneticPr fontId="1"/>
  </si>
  <si>
    <t>製造2</t>
    <rPh sb="0" eb="2">
      <t>セイゾウ</t>
    </rPh>
    <phoneticPr fontId="1"/>
  </si>
  <si>
    <t>復讐作戦</t>
  </si>
  <si>
    <t>EMN</t>
    <phoneticPr fontId="1"/>
  </si>
  <si>
    <t>WB</t>
  </si>
  <si>
    <t>WB</t>
    <phoneticPr fontId="1"/>
  </si>
  <si>
    <t>XDL　X=ATKC</t>
    <phoneticPr fontId="1"/>
  </si>
  <si>
    <t>金線の使い魔</t>
  </si>
  <si>
    <t>.2/2</t>
    <phoneticPr fontId="1"/>
  </si>
  <si>
    <t>CIP:2G　RIP:1D</t>
    <phoneticPr fontId="1"/>
  </si>
  <si>
    <t>屑鉄場のたかり屋</t>
  </si>
  <si>
    <t>WBミシュラン</t>
    <phoneticPr fontId="1"/>
  </si>
  <si>
    <t>秘密の備蓄品</t>
  </si>
  <si>
    <t>紛争:自終時1/1生成　1CS:Scry</t>
    <rPh sb="0" eb="2">
      <t>フンソウ</t>
    </rPh>
    <rPh sb="3" eb="4">
      <t>ジ</t>
    </rPh>
    <rPh sb="4" eb="5">
      <t>オワ</t>
    </rPh>
    <rPh sb="5" eb="6">
      <t>ジ</t>
    </rPh>
    <rPh sb="9" eb="11">
      <t>セイセイ</t>
    </rPh>
    <phoneticPr fontId="1"/>
  </si>
  <si>
    <t>才気ある霊基体</t>
  </si>
  <si>
    <t>.2/3</t>
    <phoneticPr fontId="1"/>
  </si>
  <si>
    <t>DT SL</t>
    <phoneticPr fontId="1"/>
  </si>
  <si>
    <t>スレイベンの検査官</t>
  </si>
  <si>
    <t>SOI</t>
    <phoneticPr fontId="1"/>
  </si>
  <si>
    <t>.1/2</t>
  </si>
  <si>
    <t>CIP:clue</t>
    <phoneticPr fontId="1"/>
  </si>
  <si>
    <t>スラムの巧技</t>
    <rPh sb="4" eb="5">
      <t>コウ</t>
    </rPh>
    <rPh sb="5" eb="6">
      <t>ギ</t>
    </rPh>
    <phoneticPr fontId="1"/>
  </si>
  <si>
    <t>AER</t>
    <phoneticPr fontId="1"/>
  </si>
  <si>
    <t>WW</t>
    <phoneticPr fontId="1"/>
  </si>
  <si>
    <t>S</t>
    <phoneticPr fontId="1"/>
  </si>
  <si>
    <t>.1/1*3　CMC3↓唱</t>
    <rPh sb="12" eb="13">
      <t>トナ</t>
    </rPh>
    <phoneticPr fontId="1"/>
  </si>
  <si>
    <t>破滅の道</t>
    <rPh sb="0" eb="2">
      <t>ハメツ</t>
    </rPh>
    <rPh sb="3" eb="4">
      <t>ミチ</t>
    </rPh>
    <phoneticPr fontId="1"/>
  </si>
  <si>
    <t>BFZ</t>
    <phoneticPr fontId="1"/>
  </si>
  <si>
    <t>BB</t>
    <phoneticPr fontId="1"/>
  </si>
  <si>
    <t>CorPWD</t>
    <phoneticPr fontId="1"/>
  </si>
  <si>
    <t>CS:Iｎd</t>
    <phoneticPr fontId="1"/>
  </si>
  <si>
    <t>1,AS：+1/+1C&amp;Ind</t>
    <phoneticPr fontId="1"/>
  </si>
  <si>
    <t>A</t>
    <phoneticPr fontId="1"/>
  </si>
  <si>
    <t>霊気装置の設計図</t>
  </si>
  <si>
    <t>CIP:1/1 RIP:1/1</t>
    <phoneticPr fontId="1"/>
  </si>
  <si>
    <t>GWシャドラン</t>
    <phoneticPr fontId="1"/>
  </si>
  <si>
    <t>XX</t>
    <phoneticPr fontId="1"/>
  </si>
  <si>
    <t>速接会の技師</t>
  </si>
  <si>
    <t>BR</t>
  </si>
  <si>
    <t>BR</t>
    <phoneticPr fontId="1"/>
  </si>
  <si>
    <t>C</t>
    <phoneticPr fontId="1"/>
  </si>
  <si>
    <t>.3/3</t>
    <phoneticPr fontId="1"/>
  </si>
  <si>
    <t>殺戮の先陣</t>
  </si>
  <si>
    <t>.3/2</t>
    <phoneticPr fontId="1"/>
  </si>
  <si>
    <t>塵の中を忍び寄るもの</t>
  </si>
  <si>
    <t>.5/3</t>
    <phoneticPr fontId="1"/>
  </si>
  <si>
    <t>真実を覆すもの</t>
  </si>
  <si>
    <t>BB</t>
    <phoneticPr fontId="1"/>
  </si>
  <si>
    <t>.6/6</t>
    <phoneticPr fontId="1"/>
  </si>
  <si>
    <t>鎮定工作機</t>
  </si>
  <si>
    <t>A</t>
    <phoneticPr fontId="1"/>
  </si>
  <si>
    <t>2T:AorCT</t>
    <phoneticPr fontId="1"/>
  </si>
  <si>
    <t>パラドックス装置</t>
  </si>
  <si>
    <t>SpCast→NLUT</t>
    <phoneticPr fontId="1"/>
  </si>
  <si>
    <t>A</t>
    <phoneticPr fontId="1"/>
  </si>
  <si>
    <t>CIP:1/1,RIP1/1</t>
    <phoneticPr fontId="1"/>
  </si>
  <si>
    <t>鼓舞する彫像</t>
  </si>
  <si>
    <t>NA:即席</t>
    <rPh sb="3" eb="5">
      <t>ソクセキ</t>
    </rPh>
    <phoneticPr fontId="1"/>
  </si>
  <si>
    <t>羽ばたき飛行機械</t>
  </si>
  <si>
    <t>金属の支配者、テゼレット</t>
  </si>
  <si>
    <t>UB</t>
    <phoneticPr fontId="1"/>
  </si>
  <si>
    <t>テゼレットの企み</t>
  </si>
  <si>
    <t>CD→PWテゼサーチ</t>
    <phoneticPr fontId="1"/>
  </si>
  <si>
    <t>テゼレットの代人</t>
  </si>
  <si>
    <t>.2/3</t>
    <phoneticPr fontId="1"/>
  </si>
  <si>
    <t>T:1D_ifTezzCot3D</t>
    <phoneticPr fontId="1"/>
  </si>
  <si>
    <t>遵法長、バラル</t>
  </si>
  <si>
    <t>U</t>
    <phoneticPr fontId="1"/>
  </si>
  <si>
    <t>C</t>
    <phoneticPr fontId="1"/>
  </si>
  <si>
    <t>.1/3</t>
    <phoneticPr fontId="1"/>
  </si>
  <si>
    <t>策謀家テゼレット</t>
  </si>
  <si>
    <t>.+1:使捨MF　-2:+A/-A　-7:emblem</t>
    <rPh sb="4" eb="5">
      <t>ツカ</t>
    </rPh>
    <rPh sb="5" eb="6">
      <t>ス</t>
    </rPh>
    <phoneticPr fontId="1"/>
  </si>
  <si>
    <t>.+1:AfromDT -3:AD -8:全押収</t>
    <rPh sb="21" eb="22">
      <t>ゼン</t>
    </rPh>
    <rPh sb="22" eb="24">
      <t>オウシュウ</t>
    </rPh>
    <phoneticPr fontId="1"/>
  </si>
  <si>
    <t>バラルの巧技</t>
  </si>
  <si>
    <t>UU</t>
    <phoneticPr fontId="1"/>
  </si>
  <si>
    <t>不許可</t>
  </si>
  <si>
    <t>虚空粘</t>
    <rPh sb="0" eb="2">
      <t>コクウ</t>
    </rPh>
    <rPh sb="2" eb="3">
      <t>ネン</t>
    </rPh>
    <phoneticPr fontId="1"/>
  </si>
  <si>
    <t>金属の叱責</t>
  </si>
  <si>
    <t>U</t>
    <phoneticPr fontId="1"/>
  </si>
  <si>
    <t>即席　マナ漏出</t>
    <rPh sb="0" eb="2">
      <t>ソクセキ</t>
    </rPh>
    <rPh sb="5" eb="7">
      <t>ロウシュツ</t>
    </rPh>
    <phoneticPr fontId="1"/>
  </si>
  <si>
    <t>歯車襲いの海蛇</t>
  </si>
  <si>
    <t>.5/6</t>
    <phoneticPr fontId="1"/>
  </si>
  <si>
    <t>親和(A)　5U:アンブロ</t>
    <rPh sb="0" eb="2">
      <t>シンワ</t>
    </rPh>
    <phoneticPr fontId="1"/>
  </si>
  <si>
    <t>天才の片鱗</t>
  </si>
  <si>
    <t>2Scry 2dr EE</t>
    <phoneticPr fontId="1"/>
  </si>
  <si>
    <t>空中対応員</t>
  </si>
  <si>
    <t>永代巡礼者、アイリ</t>
  </si>
  <si>
    <t>折れた刃、ギセラ</t>
  </si>
  <si>
    <t>ファルケンラスの後継者</t>
  </si>
  <si>
    <t>単体騎手</t>
  </si>
  <si>
    <t>苦渋の破棄</t>
  </si>
  <si>
    <t>闇の掌握</t>
  </si>
  <si>
    <t>永遠の見守り</t>
  </si>
  <si>
    <t>忘れられていた家宝</t>
  </si>
  <si>
    <t>灯の再覚醒、オブ・ニクシリス</t>
  </si>
  <si>
    <t>秘密の中庭</t>
  </si>
  <si>
    <t>乱脈な気孔</t>
  </si>
  <si>
    <t>放棄された聖域</t>
  </si>
  <si>
    <t>進化する未開地</t>
  </si>
  <si>
    <t>沼</t>
  </si>
  <si>
    <t>平地</t>
  </si>
  <si>
    <t>SOI</t>
  </si>
  <si>
    <t>WW</t>
    <phoneticPr fontId="1"/>
  </si>
  <si>
    <t>WB</t>
    <phoneticPr fontId="1"/>
  </si>
  <si>
    <t>BB</t>
    <phoneticPr fontId="1"/>
  </si>
  <si>
    <t>B</t>
    <phoneticPr fontId="1"/>
  </si>
  <si>
    <t>W</t>
    <phoneticPr fontId="1"/>
  </si>
  <si>
    <t>C</t>
    <phoneticPr fontId="1"/>
  </si>
  <si>
    <t>I</t>
    <phoneticPr fontId="1"/>
  </si>
  <si>
    <t>E</t>
    <phoneticPr fontId="1"/>
  </si>
  <si>
    <t>A</t>
    <phoneticPr fontId="1"/>
  </si>
  <si>
    <t>PW</t>
    <phoneticPr fontId="1"/>
  </si>
  <si>
    <t>.4/3</t>
    <phoneticPr fontId="1"/>
  </si>
  <si>
    <t>同体騎手</t>
  </si>
  <si>
    <t>.1/1</t>
    <phoneticPr fontId="1"/>
  </si>
  <si>
    <t>.4/4</t>
    <phoneticPr fontId="1"/>
  </si>
  <si>
    <t>FS LL</t>
    <phoneticPr fontId="1"/>
  </si>
  <si>
    <t>EndT:3↑G:TF</t>
    <phoneticPr fontId="1"/>
  </si>
  <si>
    <t>FS LL TP</t>
    <phoneticPr fontId="1"/>
  </si>
  <si>
    <t>1DisC:TF</t>
    <phoneticPr fontId="1"/>
  </si>
  <si>
    <t>.3/2</t>
    <phoneticPr fontId="1"/>
  </si>
  <si>
    <t>夜陰の後継者</t>
  </si>
  <si>
    <t>Fly</t>
    <phoneticPr fontId="1"/>
  </si>
  <si>
    <t>Fly FS LL</t>
    <phoneticPr fontId="1"/>
  </si>
  <si>
    <t>EndT:Mald</t>
    <phoneticPr fontId="1"/>
  </si>
  <si>
    <t>悪夢の声、ブリセラ</t>
  </si>
  <si>
    <t>.9/10</t>
    <phoneticPr fontId="1"/>
  </si>
  <si>
    <t>Fly FS LL Vig</t>
    <phoneticPr fontId="1"/>
  </si>
  <si>
    <t>op3↓Sp×</t>
    <phoneticPr fontId="1"/>
  </si>
  <si>
    <t>消えゆく光、ブルーナ</t>
  </si>
  <si>
    <t>.5/7</t>
    <phoneticPr fontId="1"/>
  </si>
  <si>
    <t>Fly Vig</t>
    <phoneticPr fontId="1"/>
  </si>
  <si>
    <t>灰口の刃</t>
  </si>
  <si>
    <t>1:EQ +1/+1</t>
    <phoneticPr fontId="1"/>
  </si>
  <si>
    <t>EQCTF:TF</t>
    <phoneticPr fontId="1"/>
  </si>
  <si>
    <t>3:EQ +3/+3FS</t>
    <phoneticPr fontId="1"/>
  </si>
  <si>
    <t>NTkn:+1/+1Vig</t>
    <phoneticPr fontId="1"/>
  </si>
  <si>
    <t>.-4/-4</t>
    <phoneticPr fontId="1"/>
  </si>
  <si>
    <t>cmc2D,revolt:cmc4</t>
    <phoneticPr fontId="1"/>
  </si>
  <si>
    <t>NLP:Ex 3LD</t>
    <phoneticPr fontId="1"/>
  </si>
  <si>
    <t>Fly Vig LL</t>
    <phoneticPr fontId="1"/>
  </si>
  <si>
    <t>DT 1,CS:Taf=G 1WB,CS:ifLf&gt;30,NLPEx</t>
    <phoneticPr fontId="1"/>
  </si>
  <si>
    <t>DT LL</t>
    <phoneticPr fontId="1"/>
  </si>
  <si>
    <t>.+1:1L1D/-3:CD/-8:Emblm</t>
    <phoneticPr fontId="1"/>
  </si>
  <si>
    <t>異端聖戦士、サリア</t>
  </si>
  <si>
    <t>Cast:AngorHum:Riani</t>
    <phoneticPr fontId="1"/>
  </si>
  <si>
    <t>ゲトの裏切り者、カリタス</t>
    <phoneticPr fontId="1"/>
  </si>
  <si>
    <t>石の宣告</t>
  </si>
  <si>
    <t>感動的な眺望所</t>
  </si>
  <si>
    <t>ボーマットの急使</t>
  </si>
  <si>
    <t>倒し霊</t>
  </si>
  <si>
    <t>狼の試作機</t>
  </si>
  <si>
    <t>永存確約</t>
  </si>
  <si>
    <t>街の鍵</t>
  </si>
  <si>
    <t>グリフの加護</t>
  </si>
  <si>
    <t>産業の塔</t>
  </si>
  <si>
    <t>領事の権限</t>
  </si>
  <si>
    <t>断片化</t>
  </si>
  <si>
    <t>無私の霊魂</t>
  </si>
  <si>
    <t>W</t>
    <phoneticPr fontId="1"/>
  </si>
  <si>
    <t>WW</t>
    <phoneticPr fontId="1"/>
  </si>
  <si>
    <t>.3/2</t>
    <phoneticPr fontId="1"/>
  </si>
  <si>
    <t>.7/11</t>
    <phoneticPr fontId="1"/>
  </si>
  <si>
    <t>C</t>
    <phoneticPr fontId="1"/>
  </si>
  <si>
    <t>I</t>
    <phoneticPr fontId="1"/>
  </si>
  <si>
    <t>A</t>
    <phoneticPr fontId="1"/>
  </si>
  <si>
    <t>A</t>
    <phoneticPr fontId="1"/>
  </si>
  <si>
    <t>E</t>
    <phoneticPr fontId="1"/>
  </si>
  <si>
    <t>Heist</t>
    <phoneticPr fontId="1"/>
  </si>
  <si>
    <t>Clue</t>
    <phoneticPr fontId="1"/>
  </si>
  <si>
    <t>A+2/+1,A3FS</t>
    <phoneticPr fontId="1"/>
  </si>
  <si>
    <t>CIPTAP:Del:APTAP</t>
    <phoneticPr fontId="1"/>
  </si>
  <si>
    <t>テゼレットの手法</t>
  </si>
  <si>
    <t>UB</t>
  </si>
  <si>
    <t>E</t>
    <phoneticPr fontId="1"/>
  </si>
  <si>
    <t>.5/5</t>
    <phoneticPr fontId="1"/>
  </si>
  <si>
    <t>飛行CIP：EE　E:絆魂</t>
    <rPh sb="0" eb="2">
      <t>ヒコウ</t>
    </rPh>
    <rPh sb="11" eb="12">
      <t>キズナ</t>
    </rPh>
    <rPh sb="12" eb="13">
      <t>タマシイ</t>
    </rPh>
    <phoneticPr fontId="1"/>
  </si>
  <si>
    <t>ギラプールの希望</t>
  </si>
  <si>
    <t>.1/1</t>
    <phoneticPr fontId="1"/>
  </si>
  <si>
    <t>G</t>
  </si>
  <si>
    <t>GW</t>
  </si>
  <si>
    <t>サリアの副官</t>
  </si>
  <si>
    <t>薄暮見の徴募兵</t>
  </si>
  <si>
    <t>ラムホルトの平和主義者</t>
  </si>
  <si>
    <t>不屈の追跡者</t>
  </si>
  <si>
    <t>優雅な鷺の勇者</t>
  </si>
  <si>
    <t>優雅な鷺、シガルダ</t>
  </si>
  <si>
    <t>実地研究者、タミヨウ</t>
  </si>
  <si>
    <t>.1/1</t>
  </si>
  <si>
    <t>.3/2</t>
  </si>
  <si>
    <t>瞬速　絆魂</t>
    <rPh sb="0" eb="1">
      <t>シュン</t>
    </rPh>
    <rPh sb="1" eb="2">
      <t>ソク</t>
    </rPh>
    <rPh sb="3" eb="4">
      <t>キズナ</t>
    </rPh>
    <rPh sb="4" eb="5">
      <t>タマシイ</t>
    </rPh>
    <phoneticPr fontId="1"/>
  </si>
  <si>
    <t>cip:人間+1/+1+絆魂</t>
    <rPh sb="4" eb="6">
      <t>ニンゲン</t>
    </rPh>
    <rPh sb="12" eb="13">
      <t>キズナ</t>
    </rPh>
    <rPh sb="13" eb="14">
      <t>タマシイ</t>
    </rPh>
    <phoneticPr fontId="1"/>
  </si>
  <si>
    <t>.4/5</t>
  </si>
  <si>
    <t>人間呪禁</t>
    <rPh sb="0" eb="2">
      <t>ニンゲン</t>
    </rPh>
    <rPh sb="2" eb="3">
      <t>ジュ</t>
    </rPh>
    <rPh sb="3" eb="4">
      <t>キン</t>
    </rPh>
    <phoneticPr fontId="1"/>
  </si>
  <si>
    <t>GWU</t>
  </si>
  <si>
    <t>金属ミミック</t>
    <rPh sb="0" eb="2">
      <t>キンゾク</t>
    </rPh>
    <phoneticPr fontId="1"/>
  </si>
  <si>
    <t>.2/2</t>
    <phoneticPr fontId="1"/>
  </si>
  <si>
    <t>U</t>
  </si>
  <si>
    <t>U</t>
    <phoneticPr fontId="1"/>
  </si>
  <si>
    <t>C</t>
    <phoneticPr fontId="1"/>
  </si>
  <si>
    <t>.1/3</t>
    <phoneticPr fontId="1"/>
  </si>
  <si>
    <t>C</t>
    <phoneticPr fontId="1"/>
  </si>
  <si>
    <t>完成態の講師</t>
  </si>
  <si>
    <t>UU</t>
    <phoneticPr fontId="1"/>
  </si>
  <si>
    <t>C</t>
    <phoneticPr fontId="1"/>
  </si>
  <si>
    <t>.5/4</t>
    <phoneticPr fontId="1"/>
  </si>
  <si>
    <t>Fly I/Scast→1/1,wiz*3↑TF</t>
    <phoneticPr fontId="1"/>
  </si>
  <si>
    <t>繰り返しつくしたもの</t>
  </si>
  <si>
    <t>.6/5</t>
    <phoneticPr fontId="1"/>
  </si>
  <si>
    <t>Fly wiz+2/+1+Fly I/Scast→1/1wiz</t>
    <phoneticPr fontId="1"/>
  </si>
  <si>
    <t>詮索好きのホムンクルス</t>
  </si>
  <si>
    <t>.1/1</t>
    <phoneticPr fontId="1"/>
  </si>
  <si>
    <t>T:I/S用( C) 自開時墓I/S*3:TF</t>
    <rPh sb="5" eb="6">
      <t>ヨウ</t>
    </rPh>
    <rPh sb="11" eb="12">
      <t>ジ</t>
    </rPh>
    <rPh sb="12" eb="13">
      <t>カイ</t>
    </rPh>
    <rPh sb="13" eb="14">
      <t>ジ</t>
    </rPh>
    <rPh sb="14" eb="15">
      <t>ボ</t>
    </rPh>
    <phoneticPr fontId="1"/>
  </si>
  <si>
    <t>貪欲な読書家</t>
  </si>
  <si>
    <t>.3/4</t>
    <phoneticPr fontId="1"/>
  </si>
  <si>
    <t>果敢 I/S-1</t>
    <rPh sb="0" eb="2">
      <t>カカン</t>
    </rPh>
    <phoneticPr fontId="1"/>
  </si>
  <si>
    <t>UU</t>
  </si>
  <si>
    <t>EE2Scry2do</t>
  </si>
  <si>
    <t>否認</t>
  </si>
  <si>
    <t>虚空粘</t>
    <rPh sb="0" eb="2">
      <t>コクウ</t>
    </rPh>
    <rPh sb="2" eb="3">
      <t>ネン</t>
    </rPh>
    <phoneticPr fontId="1"/>
  </si>
  <si>
    <t>山</t>
  </si>
  <si>
    <t>島</t>
  </si>
  <si>
    <t>尖塔断の運河</t>
  </si>
  <si>
    <t>さまよう噴気孔</t>
  </si>
  <si>
    <t>霊気拠点</t>
  </si>
  <si>
    <t>遺跡潜り、ジョリー・エン</t>
  </si>
  <si>
    <t>手酷い失敗</t>
  </si>
  <si>
    <t>革命的拒絶</t>
  </si>
  <si>
    <t>予期</t>
  </si>
  <si>
    <t>蓄霊稲妻</t>
  </si>
  <si>
    <t>焼夷流</t>
  </si>
  <si>
    <t>儀礼的拒否</t>
  </si>
  <si>
    <t>U</t>
    <phoneticPr fontId="1"/>
  </si>
  <si>
    <t>I</t>
    <phoneticPr fontId="1"/>
  </si>
  <si>
    <t>S</t>
    <phoneticPr fontId="1"/>
  </si>
  <si>
    <t>R</t>
    <phoneticPr fontId="1"/>
  </si>
  <si>
    <t>UR</t>
    <phoneticPr fontId="1"/>
  </si>
  <si>
    <t>NColCT</t>
    <phoneticPr fontId="1"/>
  </si>
  <si>
    <t>NCreCT</t>
    <phoneticPr fontId="1"/>
  </si>
  <si>
    <t>CMC4undCreCT</t>
    <phoneticPr fontId="1"/>
  </si>
  <si>
    <t>NACT</t>
    <phoneticPr fontId="1"/>
  </si>
  <si>
    <t>C</t>
    <phoneticPr fontId="1"/>
  </si>
  <si>
    <t>.2/3</t>
    <phoneticPr fontId="1"/>
  </si>
  <si>
    <t>S</t>
    <phoneticPr fontId="1"/>
  </si>
  <si>
    <t>秘密の解明者、ジェイス</t>
  </si>
  <si>
    <t>PW</t>
    <phoneticPr fontId="1"/>
  </si>
  <si>
    <t>ただの風</t>
  </si>
  <si>
    <t>潮からの蘇生</t>
  </si>
  <si>
    <t>U</t>
    <phoneticPr fontId="1"/>
  </si>
  <si>
    <t>S</t>
    <phoneticPr fontId="1"/>
  </si>
  <si>
    <t>証拠の痕跡</t>
  </si>
  <si>
    <t>U</t>
    <phoneticPr fontId="1"/>
  </si>
  <si>
    <t>E</t>
    <phoneticPr fontId="1"/>
  </si>
  <si>
    <t>鈍化する脈動</t>
  </si>
  <si>
    <t>風への散乱</t>
  </si>
  <si>
    <t>慮外な押収</t>
  </si>
  <si>
    <t>目覚めた恐怖</t>
  </si>
  <si>
    <t>.0/4</t>
    <phoneticPr fontId="1"/>
  </si>
  <si>
    <t>.7/8</t>
    <phoneticPr fontId="1"/>
  </si>
  <si>
    <t>氷の中の存在</t>
    <phoneticPr fontId="1"/>
  </si>
  <si>
    <t>秘蔵の縫合体</t>
  </si>
  <si>
    <t>ギサとゲラルフ</t>
  </si>
  <si>
    <t>金属の支配者、テゼレット</t>
    <phoneticPr fontId="1"/>
  </si>
  <si>
    <t>霊気との調和</t>
  </si>
  <si>
    <t>G</t>
    <phoneticPr fontId="1"/>
  </si>
  <si>
    <t>S</t>
    <phoneticPr fontId="1"/>
  </si>
  <si>
    <t>EE 地勢</t>
    <rPh sb="3" eb="5">
      <t>チセイ</t>
    </rPh>
    <phoneticPr fontId="1"/>
  </si>
  <si>
    <t>導路の召使い</t>
  </si>
  <si>
    <t>C</t>
    <phoneticPr fontId="1"/>
  </si>
  <si>
    <t>.2/2</t>
    <phoneticPr fontId="1"/>
  </si>
  <si>
    <t>EE　E,T:AnyMana</t>
    <phoneticPr fontId="1"/>
  </si>
  <si>
    <t>.3/2</t>
    <phoneticPr fontId="1"/>
  </si>
  <si>
    <t>CIPClue ClueS→+1/+1</t>
    <phoneticPr fontId="1"/>
  </si>
  <si>
    <t>.5/6</t>
  </si>
  <si>
    <t>機械化製法</t>
  </si>
  <si>
    <t>解析調査</t>
  </si>
  <si>
    <t>U</t>
    <phoneticPr fontId="1"/>
  </si>
  <si>
    <t>即席</t>
    <rPh sb="0" eb="2">
      <t>ソクセキ</t>
    </rPh>
    <phoneticPr fontId="1"/>
  </si>
  <si>
    <t>3Dr</t>
    <phoneticPr fontId="1"/>
  </si>
  <si>
    <t>E-A</t>
  </si>
  <si>
    <t>艱苦の伝令</t>
  </si>
  <si>
    <t>.5/5</t>
    <phoneticPr fontId="1"/>
  </si>
  <si>
    <t>即席　飛行</t>
    <rPh sb="0" eb="2">
      <t>ソクセキ</t>
    </rPh>
    <rPh sb="3" eb="5">
      <t>ヒコウ</t>
    </rPh>
    <phoneticPr fontId="1"/>
  </si>
  <si>
    <t>緑青FL</t>
    <rPh sb="0" eb="1">
      <t>ミドリ</t>
    </rPh>
    <rPh sb="1" eb="2">
      <t>アオ</t>
    </rPh>
    <phoneticPr fontId="1"/>
  </si>
  <si>
    <t>黒緑FL</t>
    <rPh sb="0" eb="1">
      <t>クロ</t>
    </rPh>
    <rPh sb="1" eb="2">
      <t>ミドリ</t>
    </rPh>
    <phoneticPr fontId="1"/>
  </si>
  <si>
    <t>島</t>
    <rPh sb="0" eb="1">
      <t>シマ</t>
    </rPh>
    <phoneticPr fontId="1"/>
  </si>
  <si>
    <t>CD→PWテゼサーチ</t>
  </si>
  <si>
    <t>奇妙な幕間</t>
  </si>
  <si>
    <t>I</t>
    <phoneticPr fontId="1"/>
  </si>
  <si>
    <t>AnyC,brink</t>
    <phoneticPr fontId="1"/>
  </si>
  <si>
    <t>W</t>
    <phoneticPr fontId="1"/>
  </si>
  <si>
    <t>敬虔な福音者</t>
  </si>
  <si>
    <t>むら気な信奉者</t>
  </si>
  <si>
    <t>.2/4</t>
    <phoneticPr fontId="1"/>
  </si>
  <si>
    <t>.1/2</t>
    <phoneticPr fontId="1"/>
  </si>
  <si>
    <t>たなびき織りの天使</t>
  </si>
  <si>
    <t>.4/4</t>
    <phoneticPr fontId="1"/>
  </si>
  <si>
    <t>パンハモニコン</t>
  </si>
  <si>
    <t>A</t>
    <phoneticPr fontId="1"/>
  </si>
  <si>
    <t>守護フェリダー</t>
  </si>
  <si>
    <t>.1/4</t>
    <phoneticPr fontId="1"/>
  </si>
  <si>
    <t>雲先案内人</t>
  </si>
  <si>
    <t>WU</t>
    <phoneticPr fontId="1"/>
  </si>
  <si>
    <t>.2/2</t>
    <phoneticPr fontId="1"/>
  </si>
  <si>
    <t>霊気貯蔵器</t>
  </si>
  <si>
    <t>抽出機構</t>
  </si>
  <si>
    <t>A</t>
    <phoneticPr fontId="1"/>
  </si>
  <si>
    <t>C:CIP:E</t>
    <phoneticPr fontId="1"/>
  </si>
  <si>
    <t>機械修復職人</t>
    <rPh sb="0" eb="2">
      <t>キカイ</t>
    </rPh>
    <phoneticPr fontId="1"/>
  </si>
  <si>
    <t>血の間の僧侶</t>
  </si>
  <si>
    <t>ナヒリの怒り</t>
  </si>
  <si>
    <t>R</t>
    <phoneticPr fontId="1"/>
  </si>
  <si>
    <t>終わりなき時計</t>
  </si>
  <si>
    <t>癇しゃく</t>
  </si>
  <si>
    <t>稲妻の斧</t>
  </si>
  <si>
    <t>R</t>
    <phoneticPr fontId="1"/>
  </si>
  <si>
    <t>皮膚への浸入</t>
  </si>
  <si>
    <t>村の伝書使</t>
  </si>
  <si>
    <t>.1/1</t>
    <phoneticPr fontId="1"/>
  </si>
  <si>
    <t>C</t>
    <phoneticPr fontId="1"/>
  </si>
  <si>
    <t>.1/1</t>
    <phoneticPr fontId="1"/>
  </si>
  <si>
    <t>月の出の侵入者</t>
  </si>
  <si>
    <t>.2/2</t>
    <phoneticPr fontId="1"/>
  </si>
  <si>
    <t>C</t>
    <phoneticPr fontId="1"/>
  </si>
  <si>
    <t>.5/5</t>
    <phoneticPr fontId="1"/>
  </si>
  <si>
    <t>.3/2</t>
    <phoneticPr fontId="1"/>
  </si>
  <si>
    <t>.5/3</t>
    <phoneticPr fontId="1"/>
  </si>
  <si>
    <t>.4/4</t>
    <phoneticPr fontId="1"/>
  </si>
  <si>
    <t>.6/6</t>
    <phoneticPr fontId="1"/>
  </si>
  <si>
    <t>I</t>
    <phoneticPr fontId="1"/>
  </si>
  <si>
    <t>E</t>
    <phoneticPr fontId="1"/>
  </si>
  <si>
    <t>A</t>
    <phoneticPr fontId="1"/>
  </si>
  <si>
    <t>S</t>
    <phoneticPr fontId="1"/>
  </si>
  <si>
    <t>電招の塔</t>
    <rPh sb="0" eb="1">
      <t>デン</t>
    </rPh>
    <rPh sb="1" eb="2">
      <t>ショウ</t>
    </rPh>
    <rPh sb="3" eb="4">
      <t>トウ</t>
    </rPh>
    <phoneticPr fontId="1"/>
  </si>
  <si>
    <t>KLD</t>
    <phoneticPr fontId="1"/>
  </si>
  <si>
    <t>金属ミミック</t>
  </si>
  <si>
    <t>.2/2</t>
    <phoneticPr fontId="1"/>
  </si>
  <si>
    <t>つむじ風の巨匠</t>
  </si>
  <si>
    <t>UR</t>
    <phoneticPr fontId="1"/>
  </si>
  <si>
    <t>UGTL</t>
    <phoneticPr fontId="1"/>
  </si>
  <si>
    <t>A</t>
    <phoneticPr fontId="1"/>
  </si>
  <si>
    <t>疑惑の裏付け</t>
  </si>
  <si>
    <t>I</t>
    <phoneticPr fontId="1"/>
  </si>
  <si>
    <t>.5/4</t>
  </si>
  <si>
    <t>Fly I/Scast→1/1,wiz*3↑TF</t>
  </si>
  <si>
    <t>Fly wiz+2/+1+Fly I/Scast→1/1wiz</t>
  </si>
  <si>
    <t>現実を砕くもの</t>
    <rPh sb="0" eb="2">
      <t>ゲンジツ</t>
    </rPh>
    <rPh sb="3" eb="4">
      <t>クダ</t>
    </rPh>
    <phoneticPr fontId="1"/>
  </si>
  <si>
    <t>C</t>
    <phoneticPr fontId="1"/>
  </si>
  <si>
    <t>.5/5</t>
    <phoneticPr fontId="1"/>
  </si>
  <si>
    <t>下生えの勇者</t>
  </si>
  <si>
    <t>C</t>
    <phoneticPr fontId="1"/>
  </si>
  <si>
    <t>.2/2</t>
    <phoneticPr fontId="1"/>
  </si>
  <si>
    <t>放浪する森林</t>
  </si>
  <si>
    <t>.2/2</t>
    <phoneticPr fontId="1"/>
  </si>
  <si>
    <t>屑鉄のたかり屋４</t>
  </si>
  <si>
    <t>静寂を担うもの２</t>
  </si>
  <si>
    <t>才気ある霊気体４（２）</t>
  </si>
  <si>
    <t>（キランの真意号２）</t>
  </si>
  <si>
    <t>マラキールの解放者、ドラーナ２</t>
  </si>
  <si>
    <t>永遠の災い魔２</t>
  </si>
  <si>
    <t>作り変えるもの４</t>
  </si>
  <si>
    <t>難題の予見者３</t>
  </si>
  <si>
    <t>現実を砕くもの4</t>
  </si>
  <si>
    <t>・呪文８</t>
  </si>
  <si>
    <t>プッシュ3（４）</t>
  </si>
  <si>
    <t>闇の掌握２（１）</t>
  </si>
  <si>
    <t>無許可の分解3（４）</t>
  </si>
  <si>
    <t>耕作者の荷馬車２</t>
  </si>
  <si>
    <t>・土地2６（２５）</t>
  </si>
  <si>
    <t>産業の塔４、海門の残骸３、オランリーフ２、霊気拠点４、荒廃した湿原１</t>
  </si>
  <si>
    <t>.+1:5/5</t>
  </si>
  <si>
    <t>0：2/2</t>
  </si>
  <si>
    <t>.-4:+1/+1紋章</t>
    <rPh sb="9" eb="11">
      <t>モンショウ</t>
    </rPh>
    <phoneticPr fontId="1"/>
  </si>
  <si>
    <t>[4]</t>
  </si>
  <si>
    <t>[4]</t>
    <phoneticPr fontId="1"/>
  </si>
  <si>
    <t>Gideon</t>
  </si>
  <si>
    <t>[3]</t>
    <phoneticPr fontId="1"/>
  </si>
  <si>
    <t>Ajani</t>
  </si>
  <si>
    <t>.+2:DT3P→H</t>
  </si>
  <si>
    <t>.-2:流刑</t>
    <rPh sb="4" eb="6">
      <t>ルケイ</t>
    </rPh>
    <phoneticPr fontId="1"/>
  </si>
  <si>
    <t>.-9:+1/+1C+1LoC</t>
  </si>
  <si>
    <t>ゲートウォッチ配備</t>
  </si>
  <si>
    <t>S</t>
    <phoneticPr fontId="1"/>
  </si>
  <si>
    <t>自然のままに</t>
  </si>
  <si>
    <t>G</t>
    <phoneticPr fontId="1"/>
  </si>
  <si>
    <t>I</t>
    <phoneticPr fontId="1"/>
  </si>
  <si>
    <t>E</t>
    <phoneticPr fontId="1"/>
  </si>
  <si>
    <t>G</t>
    <phoneticPr fontId="1"/>
  </si>
  <si>
    <t>C</t>
    <phoneticPr fontId="1"/>
  </si>
  <si>
    <t>.2/2</t>
    <phoneticPr fontId="1"/>
  </si>
  <si>
    <t>Nissa, Voice of Zendikar</t>
  </si>
  <si>
    <t>.+1:0/1</t>
    <phoneticPr fontId="1"/>
  </si>
  <si>
    <t>.-2:+1/+1C</t>
    <phoneticPr fontId="1"/>
  </si>
  <si>
    <t>.-7:XG X=L</t>
    <phoneticPr fontId="1"/>
  </si>
  <si>
    <t>Chandra, Flamecaller</t>
  </si>
  <si>
    <t>RR</t>
    <phoneticPr fontId="1"/>
  </si>
  <si>
    <t>.+1:3/1*2</t>
    <phoneticPr fontId="1"/>
  </si>
  <si>
    <t>0:運命の輪</t>
    <rPh sb="2" eb="4">
      <t>ウンメイ</t>
    </rPh>
    <rPh sb="5" eb="6">
      <t>ワ</t>
    </rPh>
    <phoneticPr fontId="1"/>
  </si>
  <si>
    <t>.-X:CXD</t>
    <phoneticPr fontId="1"/>
  </si>
  <si>
    <t>ギデオンの誓い</t>
    <rPh sb="5" eb="6">
      <t>チカ</t>
    </rPh>
    <phoneticPr fontId="1"/>
  </si>
  <si>
    <t>PW:CIP_Op2Deal</t>
    <phoneticPr fontId="1"/>
  </si>
  <si>
    <t>CIP:OpC3Deal</t>
    <phoneticPr fontId="1"/>
  </si>
  <si>
    <t>チャンドラの誓い</t>
    <rPh sb="6" eb="7">
      <t>チカ</t>
    </rPh>
    <phoneticPr fontId="1"/>
  </si>
  <si>
    <t>CIP:1/1*2</t>
  </si>
  <si>
    <t>PW:LC+1</t>
  </si>
  <si>
    <t>G</t>
    <phoneticPr fontId="1"/>
  </si>
  <si>
    <t>G</t>
    <phoneticPr fontId="1"/>
  </si>
  <si>
    <t>AKH</t>
    <phoneticPr fontId="1"/>
  </si>
  <si>
    <t>ファルケンラスの過食者</t>
  </si>
  <si>
    <t>R</t>
    <phoneticPr fontId="1"/>
  </si>
  <si>
    <t>C</t>
    <phoneticPr fontId="1"/>
  </si>
  <si>
    <t>RR</t>
    <phoneticPr fontId="1"/>
  </si>
  <si>
    <t>I</t>
    <phoneticPr fontId="1"/>
  </si>
  <si>
    <t>手に負えない若輩</t>
  </si>
  <si>
    <t>速攻　2R:Mad</t>
    <rPh sb="0" eb="2">
      <t>ソッコウ</t>
    </rPh>
    <phoneticPr fontId="1"/>
  </si>
  <si>
    <t>3点　R:Mad</t>
    <rPh sb="1" eb="2">
      <t>テン</t>
    </rPh>
    <phoneticPr fontId="1"/>
  </si>
  <si>
    <t>R</t>
    <phoneticPr fontId="1"/>
  </si>
  <si>
    <t>生物5点　追加C:(5)or1Dis</t>
    <rPh sb="0" eb="2">
      <t>セイブツ</t>
    </rPh>
    <rPh sb="3" eb="4">
      <t>テン</t>
    </rPh>
    <rPh sb="5" eb="7">
      <t>ツイカ</t>
    </rPh>
    <phoneticPr fontId="1"/>
  </si>
  <si>
    <t>BR</t>
    <phoneticPr fontId="1"/>
  </si>
  <si>
    <t>1生物破　NC:3D</t>
    <rPh sb="1" eb="3">
      <t>セイブツ</t>
    </rPh>
    <rPh sb="3" eb="4">
      <t>ハ</t>
    </rPh>
    <phoneticPr fontId="1"/>
  </si>
  <si>
    <t>ステンシア仮面舞踏会</t>
  </si>
  <si>
    <t>E</t>
    <phoneticPr fontId="1"/>
  </si>
  <si>
    <t>怒り刃の吸血鬼</t>
  </si>
  <si>
    <t>R</t>
    <phoneticPr fontId="1"/>
  </si>
  <si>
    <t>貫通　Conbat,1D:+3/0</t>
    <rPh sb="0" eb="2">
      <t>カンツウ</t>
    </rPh>
    <phoneticPr fontId="1"/>
  </si>
  <si>
    <t>骨の粉砕</t>
    <phoneticPr fontId="1"/>
  </si>
  <si>
    <t>投げ飛ばし</t>
    <rPh sb="0" eb="1">
      <t>ナ</t>
    </rPh>
    <rPh sb="2" eb="3">
      <t>ト</t>
    </rPh>
    <phoneticPr fontId="1"/>
  </si>
  <si>
    <t>CS:SCPDeal</t>
    <phoneticPr fontId="1"/>
  </si>
  <si>
    <t>ハゾレトの指名</t>
    <rPh sb="5" eb="7">
      <t>シメイ</t>
    </rPh>
    <phoneticPr fontId="1"/>
  </si>
  <si>
    <t>AKH</t>
  </si>
  <si>
    <t>AKH</t>
    <phoneticPr fontId="1"/>
  </si>
  <si>
    <t>R</t>
    <phoneticPr fontId="1"/>
  </si>
  <si>
    <t>E</t>
    <phoneticPr fontId="1"/>
  </si>
  <si>
    <t>OGW</t>
    <phoneticPr fontId="1"/>
  </si>
  <si>
    <t>エルドラージの寸借者</t>
    <rPh sb="7" eb="9">
      <t>スンシャク</t>
    </rPh>
    <rPh sb="9" eb="10">
      <t>シャ</t>
    </rPh>
    <phoneticPr fontId="1"/>
  </si>
  <si>
    <t>.3/1</t>
    <phoneticPr fontId="1"/>
  </si>
  <si>
    <t>Haste</t>
  </si>
  <si>
    <t>CbS:C1+2/0+Haste+TES</t>
    <phoneticPr fontId="1"/>
  </si>
  <si>
    <t>K(1C):act</t>
    <phoneticPr fontId="1"/>
  </si>
  <si>
    <t>栄光の神バントゥ</t>
  </si>
  <si>
    <t>.4/6</t>
    <phoneticPr fontId="1"/>
  </si>
  <si>
    <t>Me In</t>
    <phoneticPr fontId="1"/>
  </si>
  <si>
    <t>1B,CS:1Dl</t>
    <phoneticPr fontId="1"/>
  </si>
  <si>
    <t>3Dl</t>
    <phoneticPr fontId="1"/>
  </si>
  <si>
    <t>ホネツツキ</t>
  </si>
  <si>
    <t>F,DT</t>
    <phoneticPr fontId="1"/>
  </si>
  <si>
    <t>霊気拠点</t>
    <rPh sb="0" eb="2">
      <t>レイキ</t>
    </rPh>
    <rPh sb="2" eb="4">
      <t>キョテン</t>
    </rPh>
    <phoneticPr fontId="1"/>
  </si>
  <si>
    <t>ダメージ砂漠</t>
    <rPh sb="4" eb="6">
      <t>サバク</t>
    </rPh>
    <phoneticPr fontId="1"/>
  </si>
  <si>
    <t>殺戮の先陣</t>
    <phoneticPr fontId="1"/>
  </si>
  <si>
    <t>BR</t>
    <phoneticPr fontId="1"/>
  </si>
  <si>
    <t>C</t>
    <phoneticPr fontId="1"/>
  </si>
  <si>
    <t>.3/2</t>
    <phoneticPr fontId="1"/>
  </si>
  <si>
    <t>1：Haste</t>
    <phoneticPr fontId="1"/>
  </si>
  <si>
    <t>塵の中を忍び寄るもの</t>
    <phoneticPr fontId="1"/>
  </si>
  <si>
    <t>.5/3</t>
    <phoneticPr fontId="1"/>
  </si>
  <si>
    <t>屑鉄場のたかり屋</t>
    <phoneticPr fontId="1"/>
  </si>
  <si>
    <t>マグマのしぶき</t>
    <phoneticPr fontId="1"/>
  </si>
  <si>
    <t>致命的な一押し</t>
    <phoneticPr fontId="1"/>
  </si>
  <si>
    <t>R</t>
    <phoneticPr fontId="1"/>
  </si>
  <si>
    <t>B</t>
    <phoneticPr fontId="1"/>
  </si>
  <si>
    <t>I</t>
    <phoneticPr fontId="1"/>
  </si>
  <si>
    <t>I</t>
    <phoneticPr fontId="1"/>
  </si>
  <si>
    <t>真夜中の随員</t>
  </si>
  <si>
    <t>BB</t>
    <phoneticPr fontId="1"/>
  </si>
  <si>
    <t>C</t>
    <phoneticPr fontId="1"/>
  </si>
  <si>
    <t>.3/3</t>
    <phoneticPr fontId="1"/>
  </si>
  <si>
    <t>.2/3</t>
    <phoneticPr fontId="1"/>
  </si>
  <si>
    <t>LL DT</t>
    <phoneticPr fontId="1"/>
  </si>
  <si>
    <t>HOU</t>
  </si>
  <si>
    <t>HOU</t>
    <phoneticPr fontId="1"/>
  </si>
  <si>
    <t>R</t>
    <phoneticPr fontId="1"/>
  </si>
  <si>
    <t>RR</t>
  </si>
  <si>
    <t>削剥</t>
  </si>
  <si>
    <t>I</t>
    <phoneticPr fontId="1"/>
  </si>
  <si>
    <t>C3Deal/Adestry</t>
    <phoneticPr fontId="1"/>
  </si>
  <si>
    <t>マグマロス</t>
  </si>
  <si>
    <t>R</t>
    <phoneticPr fontId="1"/>
  </si>
  <si>
    <t>C</t>
    <phoneticPr fontId="1"/>
  </si>
  <si>
    <t>.5/5</t>
    <phoneticPr fontId="1"/>
  </si>
  <si>
    <t>厳粛</t>
  </si>
  <si>
    <t>W</t>
    <phoneticPr fontId="1"/>
  </si>
  <si>
    <t>E</t>
    <phoneticPr fontId="1"/>
  </si>
  <si>
    <t>アムムトの永遠衆</t>
  </si>
  <si>
    <t>B</t>
    <phoneticPr fontId="1"/>
  </si>
  <si>
    <t>.5/5</t>
    <phoneticPr fontId="1"/>
  </si>
  <si>
    <t>療治の侍臣</t>
  </si>
  <si>
    <t>.2/1</t>
    <phoneticPr fontId="1"/>
  </si>
  <si>
    <t>傲慢な新生子</t>
  </si>
  <si>
    <t>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</si>
</sst>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56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6.emf"/><Relationship Id="rId1" Type="http://schemas.openxmlformats.org/officeDocument/2006/relationships/image" Target="../media/image65.emf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70.emf"/><Relationship Id="rId1" Type="http://schemas.openxmlformats.org/officeDocument/2006/relationships/image" Target="../media/image69.emf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78.emf"/><Relationship Id="rId1" Type="http://schemas.openxmlformats.org/officeDocument/2006/relationships/image" Target="../media/image77.emf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72.emf"/><Relationship Id="rId1" Type="http://schemas.openxmlformats.org/officeDocument/2006/relationships/image" Target="../media/image71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76.emf"/><Relationship Id="rId1" Type="http://schemas.openxmlformats.org/officeDocument/2006/relationships/image" Target="../media/image75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4</xdr:col>
          <xdr:colOff>38100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P$54:$W$55" spid="_x0000_s815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P$58:$V$59" spid="_x0000_s8153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36220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4</xdr:col>
          <xdr:colOff>38100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P$55:$W$56" spid="_x0000_s825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P$59:$V$60" spid="_x0000_s8253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64795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4</xdr:col>
          <xdr:colOff>38100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P$62:$W$63" spid="_x0000_s835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P$66:$V$67" spid="_x0000_s8352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64795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4</xdr:col>
          <xdr:colOff>38100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P$62:$W$63" spid="_x0000_s844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P$66:$V$67" spid="_x0000_s8447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64795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4</xdr:col>
          <xdr:colOff>38100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P$63:$W$64" spid="_x0000_s854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P$67:$V$68" spid="_x0000_s8549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64795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4</xdr:col>
          <xdr:colOff>38100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P$63:$W$64" spid="_x0000_s1006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P$67:$V$68" spid="_x0000_s10066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64795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4</xdr:col>
          <xdr:colOff>38100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P$63:$W$64" spid="_x0000_s955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P$67:$V$68" spid="_x0000_s9555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64795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3</xdr:col>
          <xdr:colOff>228600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P$53:$W$54" spid="_x0000_s885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P$57:$V$58" spid="_x0000_s8855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64795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3</xdr:col>
          <xdr:colOff>228600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P$61:$W$62" spid="_x0000_s915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P$65:$V$66" spid="_x0000_s9157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72415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3</xdr:col>
          <xdr:colOff>228600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P$53:$W$54" spid="_x0000_s895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P$57:$V$58" spid="_x0000_s8955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72415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3</xdr:col>
          <xdr:colOff>228600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P$53:$W$54" spid="_x0000_s1026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P$57:$V$58" spid="_x0000_s10267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72415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3</xdr:col>
          <xdr:colOff>228600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P$58:$W$59" spid="_x0000_s1036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P$62:$V$63" spid="_x0000_s10369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72415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3</xdr:col>
          <xdr:colOff>228600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P$55:$W$56" spid="_x0000_s1098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P$59:$V$60" spid="_x0000_s10981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72415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3</xdr:col>
          <xdr:colOff>228600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P$53:$W$54" spid="_x0000_s1128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P$57:$V$58" spid="_x0000_s11285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72415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4</xdr:col>
          <xdr:colOff>38100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P$64:$W$65" spid="_x0000_s865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P$68:$V$69" spid="_x0000_s8652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64795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3</xdr:col>
          <xdr:colOff>228600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P$53:$W$54" spid="_x0000_s1159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P$57:$V$58" spid="_x0000_s11590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72415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3</xdr:col>
          <xdr:colOff>228600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Q$53:$X$54" spid="_x0000_s1179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Q$57:$W$58" spid="_x0000_s11794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72415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3</xdr:col>
          <xdr:colOff>228600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P$53:$W$54" spid="_x0000_s1199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P$57:$V$58" spid="_x0000_s11995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72415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4</xdr:col>
          <xdr:colOff>38100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P$61:$W$62" spid="_x0000_s1219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P$65:$V$66" spid="_x0000_s12198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64795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3</xdr:col>
          <xdr:colOff>228600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P$50:$W$51" spid="_x0000_s1239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P$54:$V$55" spid="_x0000_s12394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72415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3</xdr:col>
          <xdr:colOff>228600</xdr:colOff>
          <xdr:row>2</xdr:row>
          <xdr:rowOff>28575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$P$53:$W$54" spid="_x0000_s905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" y="9525"/>
              <a:ext cx="2266950" cy="361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19050</xdr:rowOff>
        </xdr:from>
        <xdr:to>
          <xdr:col>8</xdr:col>
          <xdr:colOff>600075</xdr:colOff>
          <xdr:row>2</xdr:row>
          <xdr:rowOff>28575</xdr:rowOff>
        </xdr:to>
        <xdr:pic>
          <xdr:nvPicPr>
            <xdr:cNvPr id="3" name="図 2"/>
            <xdr:cNvPicPr>
              <a:picLocks noChangeAspect="1" noChangeArrowheads="1"/>
              <a:extLst>
                <a:ext uri="{84589F7E-364E-4C9E-8A38-B11213B215E9}">
                  <a14:cameraTool cellRange="$P$57:$V$58" spid="_x0000_s9055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724150" y="19050"/>
              <a:ext cx="1990725" cy="352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4:W59"/>
  <sheetViews>
    <sheetView workbookViewId="0">
      <selection activeCell="B25" sqref="B25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2.5" bestFit="1" customWidth="1"/>
    <col min="5" max="5" width="4" bestFit="1" customWidth="1"/>
    <col min="6" max="6" width="2" bestFit="1" customWidth="1"/>
    <col min="7" max="7" width="4.875" bestFit="1" customWidth="1"/>
    <col min="8" max="8" width="12.625" customWidth="1"/>
    <col min="9" max="9" width="14.875" style="1" customWidth="1"/>
    <col min="10" max="10" width="3.5" bestFit="1" customWidth="1"/>
    <col min="11" max="11" width="2.5" bestFit="1" customWidth="1"/>
    <col min="12" max="12" width="3.5" bestFit="1" customWidth="1"/>
    <col min="13" max="13" width="2.5" bestFit="1" customWidth="1"/>
    <col min="14" max="14" width="3.5" bestFit="1" customWidth="1"/>
    <col min="15" max="17" width="3.75" customWidth="1"/>
    <col min="18" max="18" width="3.625" customWidth="1"/>
    <col min="19" max="22" width="3.75" customWidth="1"/>
    <col min="23" max="23" width="3.625" customWidth="1"/>
  </cols>
  <sheetData>
    <row r="4" spans="1:11" ht="14.25" thickBot="1" x14ac:dyDescent="0.2">
      <c r="A4">
        <f>SUM(A5:A38)</f>
        <v>60</v>
      </c>
    </row>
    <row r="5" spans="1:11" x14ac:dyDescent="0.15">
      <c r="A5" s="2"/>
      <c r="G5" s="5"/>
      <c r="H5" s="5"/>
      <c r="J5" t="str">
        <f t="shared" ref="J5:J26" si="0">IF(AND(ISBLANK(D5),ISBLANK(E5)),"",D5+LEN(E5))</f>
        <v/>
      </c>
      <c r="K5">
        <f>A5</f>
        <v>0</v>
      </c>
    </row>
    <row r="6" spans="1:11" x14ac:dyDescent="0.15">
      <c r="A6" s="3"/>
      <c r="B6" t="s">
        <v>81</v>
      </c>
      <c r="C6" t="s">
        <v>83</v>
      </c>
      <c r="D6">
        <v>2</v>
      </c>
      <c r="E6" t="s">
        <v>84</v>
      </c>
      <c r="F6" t="s">
        <v>72</v>
      </c>
      <c r="G6" s="5" t="s">
        <v>85</v>
      </c>
      <c r="H6" s="5" t="s">
        <v>86</v>
      </c>
      <c r="J6">
        <f t="shared" si="0"/>
        <v>3</v>
      </c>
      <c r="K6">
        <f>A6</f>
        <v>0</v>
      </c>
    </row>
    <row r="7" spans="1:11" x14ac:dyDescent="0.15">
      <c r="A7" s="3"/>
      <c r="B7" t="s">
        <v>101</v>
      </c>
      <c r="C7" t="s">
        <v>99</v>
      </c>
      <c r="D7">
        <v>2</v>
      </c>
      <c r="E7" t="s">
        <v>84</v>
      </c>
      <c r="F7" t="s">
        <v>72</v>
      </c>
      <c r="G7" s="5" t="s">
        <v>90</v>
      </c>
      <c r="H7" s="5" t="s">
        <v>102</v>
      </c>
      <c r="J7">
        <f t="shared" si="0"/>
        <v>3</v>
      </c>
      <c r="K7">
        <f>A7</f>
        <v>0</v>
      </c>
    </row>
    <row r="8" spans="1:11" x14ac:dyDescent="0.15">
      <c r="A8" s="3">
        <v>4</v>
      </c>
      <c r="B8" t="s">
        <v>128</v>
      </c>
      <c r="C8" t="s">
        <v>83</v>
      </c>
      <c r="D8">
        <v>2</v>
      </c>
      <c r="E8" t="s">
        <v>118</v>
      </c>
      <c r="F8" t="s">
        <v>104</v>
      </c>
      <c r="G8" s="5" t="s">
        <v>73</v>
      </c>
      <c r="H8" s="5" t="s">
        <v>129</v>
      </c>
      <c r="J8">
        <f t="shared" si="0"/>
        <v>3</v>
      </c>
      <c r="K8">
        <f>A8</f>
        <v>4</v>
      </c>
    </row>
    <row r="9" spans="1:11" x14ac:dyDescent="0.15">
      <c r="A9" s="3">
        <v>4</v>
      </c>
      <c r="B9" t="s">
        <v>130</v>
      </c>
      <c r="C9" t="s">
        <v>83</v>
      </c>
      <c r="D9">
        <v>2</v>
      </c>
      <c r="E9" t="s">
        <v>118</v>
      </c>
      <c r="F9" t="s">
        <v>104</v>
      </c>
      <c r="G9" s="5" t="s">
        <v>73</v>
      </c>
      <c r="H9" s="5" t="s">
        <v>131</v>
      </c>
      <c r="J9">
        <f t="shared" ref="J9" si="1">IF(AND(ISBLANK(D9),ISBLANK(E9)),"",D9+LEN(E9))</f>
        <v>3</v>
      </c>
      <c r="K9">
        <f t="shared" ref="K9" si="2">A9</f>
        <v>4</v>
      </c>
    </row>
    <row r="10" spans="1:11" x14ac:dyDescent="0.15">
      <c r="A10" s="3"/>
      <c r="G10" s="5"/>
      <c r="H10" s="5"/>
      <c r="J10" t="str">
        <f t="shared" si="0"/>
        <v/>
      </c>
      <c r="K10">
        <f>A10</f>
        <v>0</v>
      </c>
    </row>
    <row r="11" spans="1:11" x14ac:dyDescent="0.15">
      <c r="A11" s="3">
        <v>2</v>
      </c>
      <c r="B11" t="s">
        <v>105</v>
      </c>
      <c r="C11" t="s">
        <v>103</v>
      </c>
      <c r="D11">
        <v>3</v>
      </c>
      <c r="E11" t="s">
        <v>87</v>
      </c>
      <c r="F11" t="s">
        <v>104</v>
      </c>
      <c r="G11" s="5" t="s">
        <v>106</v>
      </c>
      <c r="H11" s="5" t="s">
        <v>107</v>
      </c>
      <c r="J11">
        <f t="shared" si="0"/>
        <v>5</v>
      </c>
      <c r="K11">
        <f>A11</f>
        <v>2</v>
      </c>
    </row>
    <row r="12" spans="1:11" x14ac:dyDescent="0.15">
      <c r="A12" s="3">
        <v>2</v>
      </c>
      <c r="B12" t="s">
        <v>74</v>
      </c>
      <c r="C12" t="s">
        <v>80</v>
      </c>
      <c r="D12">
        <v>4</v>
      </c>
      <c r="E12" t="s">
        <v>75</v>
      </c>
      <c r="F12" t="s">
        <v>72</v>
      </c>
      <c r="G12" s="5" t="s">
        <v>76</v>
      </c>
      <c r="H12" t="s">
        <v>77</v>
      </c>
      <c r="J12">
        <f t="shared" si="0"/>
        <v>5</v>
      </c>
      <c r="K12">
        <f>A12</f>
        <v>2</v>
      </c>
    </row>
    <row r="13" spans="1:11" x14ac:dyDescent="0.15">
      <c r="A13" s="3"/>
      <c r="B13" t="s">
        <v>124</v>
      </c>
      <c r="C13" t="s">
        <v>96</v>
      </c>
      <c r="D13">
        <v>3</v>
      </c>
      <c r="E13" t="s">
        <v>125</v>
      </c>
      <c r="F13" t="s">
        <v>104</v>
      </c>
      <c r="G13" s="5" t="s">
        <v>126</v>
      </c>
      <c r="H13" s="5" t="s">
        <v>127</v>
      </c>
      <c r="J13">
        <f t="shared" ref="J13:J14" si="3">IF(AND(ISBLANK(D13),ISBLANK(E13)),"",D13+LEN(E13))</f>
        <v>5</v>
      </c>
      <c r="K13">
        <f t="shared" ref="K13:K14" si="4">A13</f>
        <v>0</v>
      </c>
    </row>
    <row r="14" spans="1:11" x14ac:dyDescent="0.15">
      <c r="A14" s="3"/>
      <c r="G14" s="5"/>
      <c r="J14" t="str">
        <f t="shared" si="3"/>
        <v/>
      </c>
      <c r="K14">
        <f t="shared" si="4"/>
        <v>0</v>
      </c>
    </row>
    <row r="15" spans="1:11" x14ac:dyDescent="0.15">
      <c r="A15" s="3">
        <v>2</v>
      </c>
      <c r="B15" t="s">
        <v>114</v>
      </c>
      <c r="C15" t="s">
        <v>96</v>
      </c>
      <c r="D15">
        <v>8</v>
      </c>
      <c r="F15" t="s">
        <v>104</v>
      </c>
      <c r="G15" s="5" t="s">
        <v>115</v>
      </c>
      <c r="H15" s="5" t="s">
        <v>116</v>
      </c>
      <c r="J15">
        <f t="shared" si="0"/>
        <v>8</v>
      </c>
      <c r="K15">
        <f>A15</f>
        <v>2</v>
      </c>
    </row>
    <row r="16" spans="1:11" x14ac:dyDescent="0.15">
      <c r="A16" s="3">
        <v>2</v>
      </c>
      <c r="B16" t="s">
        <v>111</v>
      </c>
      <c r="C16" t="s">
        <v>97</v>
      </c>
      <c r="D16">
        <v>8</v>
      </c>
      <c r="F16" t="s">
        <v>104</v>
      </c>
      <c r="G16" s="5" t="s">
        <v>112</v>
      </c>
      <c r="H16" s="5" t="s">
        <v>113</v>
      </c>
      <c r="J16">
        <f t="shared" ref="J16" si="5">IF(AND(ISBLANK(D16),ISBLANK(E16)),"",D16+LEN(E16))</f>
        <v>8</v>
      </c>
      <c r="K16">
        <f t="shared" ref="K16" si="6">A16</f>
        <v>2</v>
      </c>
    </row>
    <row r="17" spans="1:11" x14ac:dyDescent="0.15">
      <c r="A17" s="3"/>
      <c r="G17" s="5"/>
      <c r="H17" s="5"/>
      <c r="J17" t="str">
        <f t="shared" ref="J17:J22" si="7">IF(AND(ISBLANK(D17),ISBLANK(E17)),"",D17+LEN(E17))</f>
        <v/>
      </c>
      <c r="K17">
        <f t="shared" ref="K17:K22" si="8">A17</f>
        <v>0</v>
      </c>
    </row>
    <row r="18" spans="1:11" x14ac:dyDescent="0.15">
      <c r="A18" s="3">
        <v>4</v>
      </c>
      <c r="B18" t="s">
        <v>117</v>
      </c>
      <c r="C18" t="s">
        <v>80</v>
      </c>
      <c r="E18" t="s">
        <v>118</v>
      </c>
      <c r="F18" t="s">
        <v>88</v>
      </c>
      <c r="G18" s="5"/>
      <c r="H18" s="5" t="s">
        <v>119</v>
      </c>
      <c r="J18">
        <f t="shared" si="7"/>
        <v>1</v>
      </c>
      <c r="K18">
        <f t="shared" si="8"/>
        <v>4</v>
      </c>
    </row>
    <row r="19" spans="1:11" x14ac:dyDescent="0.15">
      <c r="A19" s="3"/>
      <c r="B19" t="s">
        <v>120</v>
      </c>
      <c r="C19" t="s">
        <v>80</v>
      </c>
      <c r="E19" t="s">
        <v>118</v>
      </c>
      <c r="F19" t="s">
        <v>121</v>
      </c>
      <c r="G19" s="5"/>
      <c r="H19" s="5" t="s">
        <v>122</v>
      </c>
      <c r="J19">
        <f t="shared" si="7"/>
        <v>1</v>
      </c>
      <c r="K19">
        <f t="shared" si="8"/>
        <v>0</v>
      </c>
    </row>
    <row r="20" spans="1:11" x14ac:dyDescent="0.15">
      <c r="A20" s="3"/>
      <c r="G20" s="5"/>
      <c r="H20" s="5"/>
      <c r="J20" t="str">
        <f t="shared" si="7"/>
        <v/>
      </c>
      <c r="K20">
        <f t="shared" si="8"/>
        <v>0</v>
      </c>
    </row>
    <row r="21" spans="1:11" x14ac:dyDescent="0.15">
      <c r="A21" s="3">
        <v>2</v>
      </c>
      <c r="B21" t="s">
        <v>93</v>
      </c>
      <c r="C21" t="s">
        <v>83</v>
      </c>
      <c r="D21">
        <v>1</v>
      </c>
      <c r="E21" t="s">
        <v>1</v>
      </c>
      <c r="F21" t="s">
        <v>88</v>
      </c>
      <c r="H21" t="s">
        <v>95</v>
      </c>
      <c r="J21">
        <f t="shared" si="7"/>
        <v>2</v>
      </c>
      <c r="K21">
        <f t="shared" si="8"/>
        <v>2</v>
      </c>
    </row>
    <row r="22" spans="1:11" x14ac:dyDescent="0.15">
      <c r="A22" s="3"/>
      <c r="J22" t="str">
        <f t="shared" si="7"/>
        <v/>
      </c>
      <c r="K22">
        <f t="shared" si="8"/>
        <v>0</v>
      </c>
    </row>
    <row r="23" spans="1:11" x14ac:dyDescent="0.15">
      <c r="A23" s="3">
        <v>4</v>
      </c>
      <c r="B23" t="s">
        <v>94</v>
      </c>
      <c r="C23" t="s">
        <v>83</v>
      </c>
      <c r="D23">
        <v>1</v>
      </c>
      <c r="E23" t="s">
        <v>87</v>
      </c>
      <c r="F23" t="s">
        <v>88</v>
      </c>
      <c r="G23" s="5"/>
      <c r="H23" t="s">
        <v>137</v>
      </c>
      <c r="J23">
        <f t="shared" si="0"/>
        <v>3</v>
      </c>
      <c r="K23">
        <f>A23</f>
        <v>4</v>
      </c>
    </row>
    <row r="24" spans="1:11" x14ac:dyDescent="0.15">
      <c r="A24" s="3">
        <v>2</v>
      </c>
      <c r="B24" t="s">
        <v>98</v>
      </c>
      <c r="C24" t="s">
        <v>99</v>
      </c>
      <c r="D24">
        <v>1</v>
      </c>
      <c r="E24" t="s">
        <v>87</v>
      </c>
      <c r="F24" t="s">
        <v>88</v>
      </c>
      <c r="G24" s="5"/>
      <c r="H24" t="s">
        <v>100</v>
      </c>
      <c r="J24">
        <f t="shared" ref="J24:J25" si="9">IF(AND(ISBLANK(D24),ISBLANK(E24)),"",D24+LEN(E24))</f>
        <v>3</v>
      </c>
      <c r="K24">
        <f t="shared" ref="K24:K25" si="10">A24</f>
        <v>2</v>
      </c>
    </row>
    <row r="25" spans="1:11" x14ac:dyDescent="0.15">
      <c r="A25" s="3"/>
      <c r="G25" s="5"/>
      <c r="J25" t="str">
        <f t="shared" si="9"/>
        <v/>
      </c>
      <c r="K25">
        <f t="shared" si="10"/>
        <v>0</v>
      </c>
    </row>
    <row r="26" spans="1:11" x14ac:dyDescent="0.15">
      <c r="A26" s="3">
        <v>3</v>
      </c>
      <c r="B26" t="s">
        <v>78</v>
      </c>
      <c r="C26" t="s">
        <v>80</v>
      </c>
      <c r="D26">
        <v>4</v>
      </c>
      <c r="E26" t="s">
        <v>2</v>
      </c>
      <c r="F26" t="s">
        <v>79</v>
      </c>
      <c r="G26" s="5"/>
      <c r="H26" t="s">
        <v>89</v>
      </c>
      <c r="J26">
        <f t="shared" si="0"/>
        <v>5</v>
      </c>
      <c r="K26">
        <f>A26</f>
        <v>3</v>
      </c>
    </row>
    <row r="27" spans="1:11" x14ac:dyDescent="0.15">
      <c r="A27" s="3">
        <v>2</v>
      </c>
      <c r="B27" t="s">
        <v>13</v>
      </c>
      <c r="C27" t="s">
        <v>97</v>
      </c>
      <c r="D27">
        <v>4</v>
      </c>
      <c r="E27" t="s">
        <v>118</v>
      </c>
      <c r="F27" t="s">
        <v>88</v>
      </c>
      <c r="G27" s="5"/>
      <c r="H27" t="s">
        <v>123</v>
      </c>
      <c r="J27">
        <f t="shared" ref="J27:J30" si="11">IF(AND(ISBLANK(D27),ISBLANK(E27)),"",D27+LEN(E27))</f>
        <v>5</v>
      </c>
      <c r="K27">
        <f t="shared" ref="K27:K30" si="12">A27</f>
        <v>2</v>
      </c>
    </row>
    <row r="28" spans="1:11" x14ac:dyDescent="0.15">
      <c r="A28" s="3"/>
      <c r="G28" s="5"/>
      <c r="J28" t="str">
        <f t="shared" si="11"/>
        <v/>
      </c>
      <c r="K28">
        <f t="shared" si="12"/>
        <v>0</v>
      </c>
    </row>
    <row r="29" spans="1:11" x14ac:dyDescent="0.15">
      <c r="A29" s="3">
        <v>4</v>
      </c>
      <c r="B29" t="s">
        <v>108</v>
      </c>
      <c r="C29" t="s">
        <v>97</v>
      </c>
      <c r="D29">
        <v>1</v>
      </c>
      <c r="F29" t="s">
        <v>109</v>
      </c>
      <c r="G29" s="5"/>
      <c r="H29" t="s">
        <v>110</v>
      </c>
      <c r="J29">
        <f t="shared" si="11"/>
        <v>1</v>
      </c>
      <c r="K29">
        <f t="shared" si="12"/>
        <v>4</v>
      </c>
    </row>
    <row r="30" spans="1:11" ht="14.25" thickBot="1" x14ac:dyDescent="0.2">
      <c r="A30" s="3"/>
      <c r="J30" t="str">
        <f t="shared" si="11"/>
        <v/>
      </c>
      <c r="K30">
        <f t="shared" si="12"/>
        <v>0</v>
      </c>
    </row>
    <row r="31" spans="1:11" x14ac:dyDescent="0.15">
      <c r="A31" s="2"/>
    </row>
    <row r="32" spans="1:11" x14ac:dyDescent="0.15">
      <c r="A32" s="3">
        <v>10</v>
      </c>
      <c r="B32" t="s">
        <v>12</v>
      </c>
    </row>
    <row r="33" spans="1:11" x14ac:dyDescent="0.15">
      <c r="A33" s="3">
        <v>5</v>
      </c>
      <c r="B33" t="s">
        <v>134</v>
      </c>
    </row>
    <row r="34" spans="1:11" x14ac:dyDescent="0.15">
      <c r="A34" s="3">
        <v>4</v>
      </c>
      <c r="B34" t="s">
        <v>132</v>
      </c>
    </row>
    <row r="35" spans="1:11" x14ac:dyDescent="0.15">
      <c r="A35" s="3">
        <v>4</v>
      </c>
      <c r="B35" t="s">
        <v>133</v>
      </c>
    </row>
    <row r="36" spans="1:11" x14ac:dyDescent="0.15">
      <c r="A36" s="3"/>
    </row>
    <row r="37" spans="1:11" x14ac:dyDescent="0.15">
      <c r="A37" s="3"/>
    </row>
    <row r="38" spans="1:11" ht="14.25" thickBot="1" x14ac:dyDescent="0.2">
      <c r="A38" s="4"/>
    </row>
    <row r="39" spans="1:11" x14ac:dyDescent="0.15">
      <c r="A39">
        <f>SUM(A31:A38)</f>
        <v>23</v>
      </c>
    </row>
    <row r="43" spans="1:11" ht="14.25" thickBot="1" x14ac:dyDescent="0.2"/>
    <row r="44" spans="1:11" x14ac:dyDescent="0.15">
      <c r="A44" s="2"/>
    </row>
    <row r="45" spans="1:11" x14ac:dyDescent="0.15">
      <c r="A45" s="3">
        <v>4</v>
      </c>
      <c r="B45" t="s">
        <v>135</v>
      </c>
      <c r="C45" t="s">
        <v>82</v>
      </c>
      <c r="D45">
        <v>3</v>
      </c>
      <c r="E45" t="s">
        <v>118</v>
      </c>
      <c r="F45" t="s">
        <v>4</v>
      </c>
      <c r="G45" s="5"/>
      <c r="H45" t="s">
        <v>136</v>
      </c>
      <c r="J45">
        <f>IF(AND(ISBLANK(D45),ISBLANK(E45)),"",D45+LEN(E45))</f>
        <v>4</v>
      </c>
      <c r="K45">
        <f>A45</f>
        <v>4</v>
      </c>
    </row>
    <row r="46" spans="1:11" x14ac:dyDescent="0.15">
      <c r="A46" s="3">
        <v>4</v>
      </c>
      <c r="B46" t="s">
        <v>138</v>
      </c>
      <c r="C46" t="s">
        <v>83</v>
      </c>
      <c r="D46">
        <v>1</v>
      </c>
      <c r="E46" t="s">
        <v>84</v>
      </c>
      <c r="F46" t="s">
        <v>72</v>
      </c>
      <c r="G46" s="5" t="s">
        <v>91</v>
      </c>
      <c r="H46" s="5" t="s">
        <v>92</v>
      </c>
      <c r="J46">
        <f>IF(AND(ISBLANK(D46),ISBLANK(E46)),"",D46+LEN(E46))</f>
        <v>2</v>
      </c>
      <c r="K46">
        <f>A46</f>
        <v>4</v>
      </c>
    </row>
    <row r="47" spans="1:11" x14ac:dyDescent="0.15">
      <c r="A47" s="3">
        <v>1</v>
      </c>
      <c r="B47" t="s">
        <v>98</v>
      </c>
      <c r="C47" t="s">
        <v>99</v>
      </c>
      <c r="D47">
        <v>1</v>
      </c>
      <c r="E47" t="s">
        <v>87</v>
      </c>
      <c r="F47" t="s">
        <v>88</v>
      </c>
      <c r="G47" s="5"/>
      <c r="H47" t="s">
        <v>100</v>
      </c>
      <c r="J47">
        <f t="shared" ref="J47:J49" si="13">IF(AND(ISBLANK(D47),ISBLANK(E47)),"",D47+LEN(E47))</f>
        <v>3</v>
      </c>
      <c r="K47">
        <f t="shared" ref="K47:K48" si="14">A47</f>
        <v>1</v>
      </c>
    </row>
    <row r="48" spans="1:11" x14ac:dyDescent="0.15">
      <c r="A48" s="3">
        <v>2</v>
      </c>
      <c r="B48" t="s">
        <v>13</v>
      </c>
      <c r="C48" t="s">
        <v>97</v>
      </c>
      <c r="D48">
        <v>4</v>
      </c>
      <c r="E48" t="s">
        <v>118</v>
      </c>
      <c r="F48" t="s">
        <v>88</v>
      </c>
      <c r="G48" s="5"/>
      <c r="H48" t="s">
        <v>123</v>
      </c>
      <c r="J48">
        <f t="shared" si="13"/>
        <v>5</v>
      </c>
      <c r="K48">
        <f t="shared" si="14"/>
        <v>2</v>
      </c>
    </row>
    <row r="49" spans="1:23" x14ac:dyDescent="0.15">
      <c r="A49" s="3">
        <v>1</v>
      </c>
      <c r="B49" t="s">
        <v>78</v>
      </c>
      <c r="C49" t="s">
        <v>80</v>
      </c>
      <c r="D49">
        <v>4</v>
      </c>
      <c r="E49" t="s">
        <v>2</v>
      </c>
      <c r="F49" t="s">
        <v>79</v>
      </c>
      <c r="G49" s="5"/>
      <c r="H49" t="s">
        <v>89</v>
      </c>
      <c r="J49">
        <f t="shared" si="13"/>
        <v>5</v>
      </c>
      <c r="K49">
        <f>A49</f>
        <v>1</v>
      </c>
    </row>
    <row r="50" spans="1:23" x14ac:dyDescent="0.15">
      <c r="A50" s="3"/>
    </row>
    <row r="51" spans="1:23" x14ac:dyDescent="0.15">
      <c r="A51" s="3"/>
    </row>
    <row r="52" spans="1:23" x14ac:dyDescent="0.15">
      <c r="A52" s="3"/>
    </row>
    <row r="53" spans="1:23" ht="14.25" thickBot="1" x14ac:dyDescent="0.2">
      <c r="A53" s="3"/>
    </row>
    <row r="54" spans="1:23" ht="14.25" thickBot="1" x14ac:dyDescent="0.2">
      <c r="A54" s="6">
        <f>SUM(A44:A53)</f>
        <v>12</v>
      </c>
      <c r="P54" s="7">
        <v>0</v>
      </c>
      <c r="Q54" s="8">
        <v>1</v>
      </c>
      <c r="R54" s="8">
        <v>2</v>
      </c>
      <c r="S54" s="8">
        <v>3</v>
      </c>
      <c r="T54" s="8">
        <v>4</v>
      </c>
      <c r="U54" s="8">
        <v>5</v>
      </c>
      <c r="V54" s="8">
        <v>6</v>
      </c>
      <c r="W54" s="9">
        <v>7</v>
      </c>
    </row>
    <row r="55" spans="1:23" ht="14.25" thickBot="1" x14ac:dyDescent="0.2">
      <c r="P55" s="10">
        <f t="shared" ref="P55:V55" si="15">SUMIF($J5:$J30,P54,$A5:$A30)</f>
        <v>0</v>
      </c>
      <c r="Q55" s="11">
        <f t="shared" si="15"/>
        <v>8</v>
      </c>
      <c r="R55" s="11">
        <f t="shared" si="15"/>
        <v>2</v>
      </c>
      <c r="S55" s="11">
        <f t="shared" si="15"/>
        <v>14</v>
      </c>
      <c r="T55" s="11">
        <f t="shared" si="15"/>
        <v>0</v>
      </c>
      <c r="U55" s="11">
        <f t="shared" si="15"/>
        <v>9</v>
      </c>
      <c r="V55" s="11">
        <f t="shared" si="15"/>
        <v>0</v>
      </c>
      <c r="W55" s="12">
        <f>SUMIF($J5:$J30,"&gt;6",$A5:$A30)</f>
        <v>4</v>
      </c>
    </row>
    <row r="57" spans="1:23" ht="14.25" thickBot="1" x14ac:dyDescent="0.2"/>
    <row r="58" spans="1:23" x14ac:dyDescent="0.15">
      <c r="P58" s="7" t="s">
        <v>3</v>
      </c>
      <c r="Q58" s="8" t="s">
        <v>6</v>
      </c>
      <c r="R58" s="8" t="s">
        <v>5</v>
      </c>
      <c r="S58" s="8" t="s">
        <v>7</v>
      </c>
      <c r="T58" s="8" t="s">
        <v>8</v>
      </c>
      <c r="U58" s="8" t="s">
        <v>10</v>
      </c>
      <c r="V58" s="9" t="s">
        <v>9</v>
      </c>
    </row>
    <row r="59" spans="1:23" ht="14.25" thickBot="1" x14ac:dyDescent="0.2">
      <c r="P59" s="10">
        <f t="shared" ref="P59:U59" si="16">SUMIF($F5:$F30,P58,$A5:$A30)</f>
        <v>16</v>
      </c>
      <c r="Q59" s="11">
        <f t="shared" si="16"/>
        <v>3</v>
      </c>
      <c r="R59" s="11">
        <f t="shared" si="16"/>
        <v>14</v>
      </c>
      <c r="S59" s="11">
        <f t="shared" si="16"/>
        <v>0</v>
      </c>
      <c r="T59" s="11">
        <f t="shared" si="16"/>
        <v>4</v>
      </c>
      <c r="U59" s="11">
        <f t="shared" si="16"/>
        <v>0</v>
      </c>
      <c r="V59" s="12">
        <f>A39</f>
        <v>23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4:W60"/>
  <sheetViews>
    <sheetView workbookViewId="0">
      <selection activeCell="B19" sqref="B19:I19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2.5" bestFit="1" customWidth="1"/>
    <col min="5" max="5" width="4" bestFit="1" customWidth="1"/>
    <col min="6" max="6" width="2" bestFit="1" customWidth="1"/>
    <col min="7" max="7" width="4.875" bestFit="1" customWidth="1"/>
    <col min="8" max="8" width="12.625" customWidth="1"/>
    <col min="9" max="9" width="14.875" style="1" customWidth="1"/>
    <col min="10" max="10" width="3.5" bestFit="1" customWidth="1"/>
    <col min="11" max="11" width="2.5" bestFit="1" customWidth="1"/>
    <col min="12" max="12" width="3.5" bestFit="1" customWidth="1"/>
    <col min="13" max="13" width="2.5" bestFit="1" customWidth="1"/>
    <col min="14" max="14" width="3.5" bestFit="1" customWidth="1"/>
    <col min="15" max="17" width="3.75" customWidth="1"/>
    <col min="18" max="18" width="3.625" customWidth="1"/>
    <col min="19" max="22" width="3.75" customWidth="1"/>
    <col min="23" max="23" width="3.625" customWidth="1"/>
  </cols>
  <sheetData>
    <row r="4" spans="1:11" ht="14.25" thickBot="1" x14ac:dyDescent="0.2">
      <c r="A4">
        <f>SUM(A5:A39)</f>
        <v>63</v>
      </c>
    </row>
    <row r="5" spans="1:11" x14ac:dyDescent="0.15">
      <c r="A5" s="2"/>
      <c r="G5" s="5"/>
      <c r="H5" s="5"/>
      <c r="J5" t="str">
        <f t="shared" ref="J5" si="0">IF(AND(ISBLANK(D5),ISBLANK(E5)),"",D5+LEN(E5))</f>
        <v/>
      </c>
      <c r="K5">
        <f>A5</f>
        <v>0</v>
      </c>
    </row>
    <row r="6" spans="1:11" x14ac:dyDescent="0.15">
      <c r="A6" s="3">
        <v>4</v>
      </c>
      <c r="B6" t="s">
        <v>162</v>
      </c>
      <c r="C6" t="s">
        <v>140</v>
      </c>
      <c r="E6" t="s">
        <v>146</v>
      </c>
      <c r="F6" t="s">
        <v>104</v>
      </c>
      <c r="G6" s="5" t="s">
        <v>163</v>
      </c>
      <c r="H6" s="5" t="s">
        <v>164</v>
      </c>
      <c r="J6">
        <f t="shared" ref="J6:J31" si="1">IF(AND(ISBLANK(D6),ISBLANK(E6)),"",D6+LEN(E6))</f>
        <v>1</v>
      </c>
      <c r="K6">
        <f t="shared" ref="K6:K31" si="2">A6</f>
        <v>4</v>
      </c>
    </row>
    <row r="7" spans="1:11" x14ac:dyDescent="0.15">
      <c r="A7" s="3"/>
      <c r="G7" s="5"/>
      <c r="H7" s="5"/>
      <c r="J7" t="str">
        <f t="shared" si="1"/>
        <v/>
      </c>
      <c r="K7">
        <f t="shared" si="2"/>
        <v>0</v>
      </c>
    </row>
    <row r="8" spans="1:11" x14ac:dyDescent="0.15">
      <c r="A8" s="3">
        <v>4</v>
      </c>
      <c r="B8" t="s">
        <v>165</v>
      </c>
      <c r="C8" t="s">
        <v>140</v>
      </c>
      <c r="D8">
        <v>1</v>
      </c>
      <c r="E8" t="s">
        <v>146</v>
      </c>
      <c r="F8" t="s">
        <v>167</v>
      </c>
      <c r="G8" s="5" t="s">
        <v>168</v>
      </c>
      <c r="H8" s="5" t="s">
        <v>169</v>
      </c>
      <c r="J8">
        <f t="shared" si="1"/>
        <v>2</v>
      </c>
      <c r="K8">
        <f t="shared" si="2"/>
        <v>4</v>
      </c>
    </row>
    <row r="9" spans="1:11" x14ac:dyDescent="0.15">
      <c r="A9" s="3">
        <v>4</v>
      </c>
      <c r="B9" t="s">
        <v>170</v>
      </c>
      <c r="C9" t="s">
        <v>140</v>
      </c>
      <c r="D9">
        <v>1</v>
      </c>
      <c r="E9" t="s">
        <v>146</v>
      </c>
      <c r="F9" t="s">
        <v>167</v>
      </c>
      <c r="G9" s="5" t="s">
        <v>171</v>
      </c>
      <c r="H9" s="5" t="s">
        <v>172</v>
      </c>
      <c r="J9">
        <f t="shared" si="1"/>
        <v>2</v>
      </c>
      <c r="K9">
        <f t="shared" si="2"/>
        <v>4</v>
      </c>
    </row>
    <row r="10" spans="1:11" x14ac:dyDescent="0.15">
      <c r="A10" s="3">
        <v>2</v>
      </c>
      <c r="B10" t="s">
        <v>160</v>
      </c>
      <c r="C10" t="s">
        <v>140</v>
      </c>
      <c r="E10" t="s">
        <v>273</v>
      </c>
      <c r="F10" t="s">
        <v>166</v>
      </c>
      <c r="G10" s="5" t="s">
        <v>161</v>
      </c>
      <c r="H10" s="5"/>
      <c r="I10" s="1" t="s">
        <v>204</v>
      </c>
      <c r="J10">
        <f>IF(AND(ISBLANK(D10),ISBLANK(E10)),"",D10+LEN(E10))</f>
        <v>2</v>
      </c>
      <c r="K10">
        <f>A10</f>
        <v>2</v>
      </c>
    </row>
    <row r="11" spans="1:11" x14ac:dyDescent="0.15">
      <c r="A11" s="3"/>
      <c r="G11" s="5"/>
      <c r="H11" s="5"/>
      <c r="J11" t="str">
        <f t="shared" si="1"/>
        <v/>
      </c>
      <c r="K11">
        <f t="shared" si="2"/>
        <v>0</v>
      </c>
    </row>
    <row r="12" spans="1:11" x14ac:dyDescent="0.15">
      <c r="A12" s="3">
        <v>1</v>
      </c>
      <c r="B12" t="s">
        <v>190</v>
      </c>
      <c r="C12" t="s">
        <v>82</v>
      </c>
      <c r="D12">
        <v>2</v>
      </c>
      <c r="E12" t="s">
        <v>191</v>
      </c>
      <c r="F12" t="s">
        <v>192</v>
      </c>
      <c r="G12" s="5" t="s">
        <v>193</v>
      </c>
      <c r="J12">
        <f t="shared" si="1"/>
        <v>3</v>
      </c>
      <c r="K12">
        <f t="shared" si="2"/>
        <v>1</v>
      </c>
    </row>
    <row r="13" spans="1:11" x14ac:dyDescent="0.15">
      <c r="A13" s="3">
        <v>4</v>
      </c>
      <c r="B13" t="s">
        <v>139</v>
      </c>
      <c r="C13" t="s">
        <v>140</v>
      </c>
      <c r="D13">
        <v>1</v>
      </c>
      <c r="E13" t="s">
        <v>141</v>
      </c>
      <c r="F13" t="s">
        <v>104</v>
      </c>
      <c r="G13" s="5" t="s">
        <v>142</v>
      </c>
      <c r="H13" s="5" t="s">
        <v>143</v>
      </c>
      <c r="J13">
        <f t="shared" si="1"/>
        <v>3</v>
      </c>
      <c r="K13">
        <f t="shared" si="2"/>
        <v>4</v>
      </c>
    </row>
    <row r="14" spans="1:11" x14ac:dyDescent="0.15">
      <c r="A14" s="3">
        <v>4</v>
      </c>
      <c r="B14" t="s">
        <v>176</v>
      </c>
      <c r="C14" t="s">
        <v>140</v>
      </c>
      <c r="D14">
        <v>1</v>
      </c>
      <c r="E14" t="s">
        <v>177</v>
      </c>
      <c r="F14" t="s">
        <v>104</v>
      </c>
      <c r="G14" s="5" t="s">
        <v>178</v>
      </c>
      <c r="H14" s="5" t="s">
        <v>179</v>
      </c>
      <c r="J14">
        <f t="shared" si="1"/>
        <v>3</v>
      </c>
      <c r="K14">
        <f t="shared" si="2"/>
        <v>4</v>
      </c>
    </row>
    <row r="15" spans="1:11" x14ac:dyDescent="0.15">
      <c r="A15" s="3"/>
      <c r="G15" s="5"/>
      <c r="H15" s="5"/>
      <c r="J15" t="str">
        <f t="shared" si="1"/>
        <v/>
      </c>
      <c r="K15">
        <f t="shared" si="2"/>
        <v>0</v>
      </c>
    </row>
    <row r="16" spans="1:11" x14ac:dyDescent="0.15">
      <c r="A16" s="3">
        <v>2</v>
      </c>
      <c r="B16" t="s">
        <v>184</v>
      </c>
      <c r="C16" t="s">
        <v>185</v>
      </c>
      <c r="D16">
        <v>3</v>
      </c>
      <c r="E16" t="s">
        <v>186</v>
      </c>
      <c r="F16" t="s">
        <v>187</v>
      </c>
      <c r="G16" s="5" t="s">
        <v>188</v>
      </c>
      <c r="H16" s="5" t="s">
        <v>189</v>
      </c>
      <c r="I16" s="1" t="s">
        <v>204</v>
      </c>
      <c r="J16">
        <f t="shared" si="1"/>
        <v>4</v>
      </c>
      <c r="K16">
        <f t="shared" si="2"/>
        <v>2</v>
      </c>
    </row>
    <row r="17" spans="1:11" x14ac:dyDescent="0.15">
      <c r="A17" s="3"/>
      <c r="G17" s="5"/>
      <c r="H17" s="5"/>
      <c r="J17" t="str">
        <f t="shared" si="1"/>
        <v/>
      </c>
      <c r="K17">
        <f t="shared" si="2"/>
        <v>0</v>
      </c>
    </row>
    <row r="18" spans="1:11" x14ac:dyDescent="0.15">
      <c r="A18" s="3">
        <v>4</v>
      </c>
      <c r="B18" t="s">
        <v>194</v>
      </c>
      <c r="C18" t="s">
        <v>82</v>
      </c>
      <c r="E18" t="s">
        <v>195</v>
      </c>
      <c r="F18" t="s">
        <v>196</v>
      </c>
      <c r="G18" s="5"/>
      <c r="H18" s="5"/>
      <c r="I18" s="1" t="s">
        <v>204</v>
      </c>
      <c r="J18">
        <f t="shared" si="1"/>
        <v>1</v>
      </c>
      <c r="K18">
        <f t="shared" si="2"/>
        <v>4</v>
      </c>
    </row>
    <row r="19" spans="1:11" x14ac:dyDescent="0.15">
      <c r="A19" s="3"/>
      <c r="B19" t="s">
        <v>173</v>
      </c>
      <c r="C19" t="s">
        <v>140</v>
      </c>
      <c r="E19" t="s">
        <v>174</v>
      </c>
      <c r="F19" t="s">
        <v>175</v>
      </c>
      <c r="G19" s="5"/>
      <c r="H19" s="5"/>
      <c r="J19">
        <f t="shared" si="1"/>
        <v>1</v>
      </c>
      <c r="K19">
        <f t="shared" si="2"/>
        <v>0</v>
      </c>
    </row>
    <row r="20" spans="1:11" x14ac:dyDescent="0.15">
      <c r="A20" s="3">
        <v>4</v>
      </c>
      <c r="B20" t="s">
        <v>144</v>
      </c>
      <c r="C20" t="s">
        <v>145</v>
      </c>
      <c r="E20" t="s">
        <v>146</v>
      </c>
      <c r="F20" t="s">
        <v>121</v>
      </c>
      <c r="G20" s="5"/>
      <c r="I20" s="1" t="s">
        <v>204</v>
      </c>
      <c r="J20">
        <f t="shared" si="1"/>
        <v>1</v>
      </c>
      <c r="K20">
        <f t="shared" si="2"/>
        <v>4</v>
      </c>
    </row>
    <row r="21" spans="1:11" x14ac:dyDescent="0.15">
      <c r="A21" s="3">
        <v>4</v>
      </c>
      <c r="B21" t="s">
        <v>148</v>
      </c>
      <c r="C21" t="s">
        <v>140</v>
      </c>
      <c r="E21" t="s">
        <v>141</v>
      </c>
      <c r="F21" t="s">
        <v>121</v>
      </c>
      <c r="G21" s="5"/>
      <c r="I21" s="1" t="s">
        <v>204</v>
      </c>
      <c r="J21">
        <f t="shared" si="1"/>
        <v>2</v>
      </c>
      <c r="K21">
        <f t="shared" si="2"/>
        <v>4</v>
      </c>
    </row>
    <row r="22" spans="1:11" x14ac:dyDescent="0.15">
      <c r="A22" s="3"/>
      <c r="J22" t="str">
        <f t="shared" si="1"/>
        <v/>
      </c>
      <c r="K22">
        <f t="shared" si="2"/>
        <v>0</v>
      </c>
    </row>
    <row r="23" spans="1:11" x14ac:dyDescent="0.15">
      <c r="A23" s="3">
        <v>2</v>
      </c>
      <c r="B23" t="s">
        <v>197</v>
      </c>
      <c r="C23" t="s">
        <v>198</v>
      </c>
      <c r="D23">
        <v>1</v>
      </c>
      <c r="E23" t="s">
        <v>199</v>
      </c>
      <c r="F23" t="s">
        <v>200</v>
      </c>
      <c r="J23">
        <f t="shared" si="1"/>
        <v>3</v>
      </c>
      <c r="K23">
        <f t="shared" si="2"/>
        <v>2</v>
      </c>
    </row>
    <row r="24" spans="1:11" x14ac:dyDescent="0.15">
      <c r="A24" s="3"/>
      <c r="J24" t="str">
        <f t="shared" si="1"/>
        <v/>
      </c>
      <c r="K24">
        <f t="shared" si="2"/>
        <v>0</v>
      </c>
    </row>
    <row r="25" spans="1:11" x14ac:dyDescent="0.15">
      <c r="A25" s="3"/>
      <c r="B25" t="s">
        <v>154</v>
      </c>
      <c r="C25" t="s">
        <v>140</v>
      </c>
      <c r="D25">
        <v>3</v>
      </c>
      <c r="E25" t="s">
        <v>146</v>
      </c>
      <c r="F25" t="s">
        <v>155</v>
      </c>
      <c r="H25" t="s">
        <v>156</v>
      </c>
      <c r="J25">
        <f t="shared" si="1"/>
        <v>4</v>
      </c>
      <c r="K25">
        <f t="shared" si="2"/>
        <v>0</v>
      </c>
    </row>
    <row r="26" spans="1:11" x14ac:dyDescent="0.15">
      <c r="A26" s="3"/>
      <c r="B26" t="s">
        <v>180</v>
      </c>
      <c r="C26" t="s">
        <v>181</v>
      </c>
      <c r="D26">
        <v>4</v>
      </c>
      <c r="F26" t="s">
        <v>182</v>
      </c>
      <c r="G26" s="5"/>
      <c r="H26" t="s">
        <v>183</v>
      </c>
      <c r="J26">
        <f t="shared" si="1"/>
        <v>4</v>
      </c>
      <c r="K26">
        <f t="shared" si="2"/>
        <v>0</v>
      </c>
    </row>
    <row r="27" spans="1:11" x14ac:dyDescent="0.15">
      <c r="A27" s="3">
        <v>2</v>
      </c>
      <c r="B27" t="s">
        <v>201</v>
      </c>
      <c r="C27" t="s">
        <v>202</v>
      </c>
      <c r="D27">
        <v>2</v>
      </c>
      <c r="E27" t="s">
        <v>203</v>
      </c>
      <c r="F27" t="s">
        <v>200</v>
      </c>
      <c r="G27" s="5"/>
      <c r="J27">
        <f t="shared" si="1"/>
        <v>4</v>
      </c>
      <c r="K27">
        <f t="shared" si="2"/>
        <v>2</v>
      </c>
    </row>
    <row r="28" spans="1:11" x14ac:dyDescent="0.15">
      <c r="A28" s="3"/>
      <c r="G28" s="5"/>
      <c r="J28" t="str">
        <f t="shared" ref="J28" si="3">IF(AND(ISBLANK(D28),ISBLANK(E28)),"",D28+LEN(E28))</f>
        <v/>
      </c>
      <c r="K28">
        <f t="shared" ref="K28" si="4">A28</f>
        <v>0</v>
      </c>
    </row>
    <row r="29" spans="1:11" x14ac:dyDescent="0.15">
      <c r="A29" s="3"/>
      <c r="B29" t="s">
        <v>157</v>
      </c>
      <c r="C29" t="s">
        <v>82</v>
      </c>
      <c r="D29">
        <v>3</v>
      </c>
      <c r="E29" t="s">
        <v>158</v>
      </c>
      <c r="F29" t="s">
        <v>147</v>
      </c>
      <c r="G29" s="5"/>
      <c r="H29" t="s">
        <v>159</v>
      </c>
      <c r="J29">
        <f t="shared" si="1"/>
        <v>5</v>
      </c>
      <c r="K29">
        <f t="shared" si="2"/>
        <v>0</v>
      </c>
    </row>
    <row r="30" spans="1:11" x14ac:dyDescent="0.15">
      <c r="A30" s="3"/>
      <c r="G30" s="5"/>
      <c r="J30" t="str">
        <f t="shared" si="1"/>
        <v/>
      </c>
      <c r="K30">
        <f t="shared" si="2"/>
        <v>0</v>
      </c>
    </row>
    <row r="31" spans="1:11" ht="14.25" thickBot="1" x14ac:dyDescent="0.2">
      <c r="A31" s="3"/>
      <c r="J31" t="str">
        <f t="shared" si="1"/>
        <v/>
      </c>
      <c r="K31">
        <f t="shared" si="2"/>
        <v>0</v>
      </c>
    </row>
    <row r="32" spans="1:11" x14ac:dyDescent="0.15">
      <c r="A32" s="2">
        <v>6</v>
      </c>
      <c r="B32" t="s">
        <v>149</v>
      </c>
    </row>
    <row r="33" spans="1:9" x14ac:dyDescent="0.15">
      <c r="A33" s="3">
        <v>4</v>
      </c>
      <c r="B33" t="s">
        <v>150</v>
      </c>
    </row>
    <row r="34" spans="1:9" x14ac:dyDescent="0.15">
      <c r="A34" s="3"/>
      <c r="B34" t="s">
        <v>134</v>
      </c>
    </row>
    <row r="35" spans="1:9" x14ac:dyDescent="0.15">
      <c r="A35" s="3">
        <v>4</v>
      </c>
      <c r="B35" t="s">
        <v>151</v>
      </c>
      <c r="I35" s="1" t="s">
        <v>204</v>
      </c>
    </row>
    <row r="36" spans="1:9" x14ac:dyDescent="0.15">
      <c r="A36" s="3">
        <v>4</v>
      </c>
      <c r="B36" t="s">
        <v>152</v>
      </c>
    </row>
    <row r="37" spans="1:9" x14ac:dyDescent="0.15">
      <c r="A37" s="3"/>
      <c r="B37" t="s">
        <v>153</v>
      </c>
    </row>
    <row r="38" spans="1:9" x14ac:dyDescent="0.15">
      <c r="A38" s="3">
        <v>4</v>
      </c>
      <c r="B38" t="s">
        <v>272</v>
      </c>
    </row>
    <row r="39" spans="1:9" ht="14.25" thickBot="1" x14ac:dyDescent="0.2">
      <c r="A39" s="4"/>
    </row>
    <row r="40" spans="1:9" x14ac:dyDescent="0.15">
      <c r="A40">
        <f>SUM(A32:A39)</f>
        <v>22</v>
      </c>
    </row>
    <row r="44" spans="1:9" ht="14.25" thickBot="1" x14ac:dyDescent="0.2"/>
    <row r="45" spans="1:9" x14ac:dyDescent="0.15">
      <c r="A45" s="2"/>
    </row>
    <row r="46" spans="1:9" x14ac:dyDescent="0.15">
      <c r="A46" s="3"/>
      <c r="G46" s="5"/>
    </row>
    <row r="47" spans="1:9" x14ac:dyDescent="0.15">
      <c r="A47" s="3"/>
      <c r="G47" s="5"/>
      <c r="H47" s="5"/>
    </row>
    <row r="48" spans="1:9" x14ac:dyDescent="0.15">
      <c r="A48" s="3"/>
      <c r="G48" s="5"/>
    </row>
    <row r="49" spans="1:23" x14ac:dyDescent="0.15">
      <c r="A49" s="3"/>
      <c r="G49" s="5"/>
    </row>
    <row r="50" spans="1:23" x14ac:dyDescent="0.15">
      <c r="A50" s="3"/>
      <c r="G50" s="5"/>
    </row>
    <row r="51" spans="1:23" x14ac:dyDescent="0.15">
      <c r="A51" s="3"/>
    </row>
    <row r="52" spans="1:23" x14ac:dyDescent="0.15">
      <c r="A52" s="3"/>
    </row>
    <row r="53" spans="1:23" x14ac:dyDescent="0.15">
      <c r="A53" s="3"/>
    </row>
    <row r="54" spans="1:23" ht="14.25" thickBot="1" x14ac:dyDescent="0.2">
      <c r="A54" s="3"/>
    </row>
    <row r="55" spans="1:23" ht="14.25" thickBot="1" x14ac:dyDescent="0.2">
      <c r="A55" s="6">
        <f>SUM(A45:A54)</f>
        <v>0</v>
      </c>
      <c r="P55" s="7">
        <v>0</v>
      </c>
      <c r="Q55" s="8">
        <v>1</v>
      </c>
      <c r="R55" s="8">
        <v>2</v>
      </c>
      <c r="S55" s="8">
        <v>3</v>
      </c>
      <c r="T55" s="8">
        <v>4</v>
      </c>
      <c r="U55" s="8">
        <v>5</v>
      </c>
      <c r="V55" s="8">
        <v>6</v>
      </c>
      <c r="W55" s="9">
        <v>7</v>
      </c>
    </row>
    <row r="56" spans="1:23" ht="14.25" thickBot="1" x14ac:dyDescent="0.2">
      <c r="P56" s="10">
        <f t="shared" ref="P56:V56" si="5">SUMIF($J5:$J31,P55,$A5:$A31)</f>
        <v>0</v>
      </c>
      <c r="Q56" s="11">
        <f t="shared" si="5"/>
        <v>12</v>
      </c>
      <c r="R56" s="11">
        <f t="shared" si="5"/>
        <v>14</v>
      </c>
      <c r="S56" s="11">
        <f t="shared" si="5"/>
        <v>11</v>
      </c>
      <c r="T56" s="11">
        <f t="shared" si="5"/>
        <v>4</v>
      </c>
      <c r="U56" s="11">
        <f t="shared" si="5"/>
        <v>0</v>
      </c>
      <c r="V56" s="11">
        <f t="shared" si="5"/>
        <v>0</v>
      </c>
      <c r="W56" s="12">
        <f>SUMIF($J5:$J31,"&gt;6",$A5:$A31)</f>
        <v>0</v>
      </c>
    </row>
    <row r="58" spans="1:23" ht="14.25" thickBot="1" x14ac:dyDescent="0.2"/>
    <row r="59" spans="1:23" x14ac:dyDescent="0.15">
      <c r="P59" s="7" t="s">
        <v>3</v>
      </c>
      <c r="Q59" s="8" t="s">
        <v>6</v>
      </c>
      <c r="R59" s="8" t="s">
        <v>5</v>
      </c>
      <c r="S59" s="8" t="s">
        <v>7</v>
      </c>
      <c r="T59" s="8" t="s">
        <v>8</v>
      </c>
      <c r="U59" s="8" t="s">
        <v>10</v>
      </c>
      <c r="V59" s="9" t="s">
        <v>9</v>
      </c>
    </row>
    <row r="60" spans="1:23" ht="14.25" thickBot="1" x14ac:dyDescent="0.2">
      <c r="P60" s="10">
        <f t="shared" ref="P60:U60" si="6">SUMIF($F5:$F31,P59,$A5:$A31)</f>
        <v>25</v>
      </c>
      <c r="Q60" s="11">
        <f t="shared" si="6"/>
        <v>0</v>
      </c>
      <c r="R60" s="11">
        <f t="shared" si="6"/>
        <v>0</v>
      </c>
      <c r="S60" s="11">
        <f t="shared" si="6"/>
        <v>12</v>
      </c>
      <c r="T60" s="11">
        <f t="shared" si="6"/>
        <v>0</v>
      </c>
      <c r="U60" s="11">
        <f t="shared" si="6"/>
        <v>4</v>
      </c>
      <c r="V60" s="12">
        <f>A40</f>
        <v>22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4:W67"/>
  <sheetViews>
    <sheetView topLeftCell="A4" workbookViewId="0">
      <selection activeCell="O15" sqref="O15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2.5" bestFit="1" customWidth="1"/>
    <col min="5" max="5" width="4" bestFit="1" customWidth="1"/>
    <col min="6" max="6" width="2" bestFit="1" customWidth="1"/>
    <col min="7" max="7" width="4.875" bestFit="1" customWidth="1"/>
    <col min="8" max="8" width="12.625" customWidth="1"/>
    <col min="9" max="9" width="14.875" style="1" customWidth="1"/>
    <col min="10" max="10" width="3.5" bestFit="1" customWidth="1"/>
    <col min="11" max="11" width="2.5" bestFit="1" customWidth="1"/>
    <col min="12" max="12" width="3.5" bestFit="1" customWidth="1"/>
    <col min="13" max="13" width="2.5" bestFit="1" customWidth="1"/>
    <col min="14" max="14" width="3.5" bestFit="1" customWidth="1"/>
    <col min="15" max="17" width="3.75" customWidth="1"/>
    <col min="18" max="18" width="3.625" customWidth="1"/>
    <col min="19" max="22" width="3.75" customWidth="1"/>
    <col min="23" max="23" width="3.625" customWidth="1"/>
  </cols>
  <sheetData>
    <row r="4" spans="1:11" ht="14.25" thickBot="1" x14ac:dyDescent="0.2">
      <c r="A4">
        <f>SUM(A5:A46)</f>
        <v>60</v>
      </c>
    </row>
    <row r="5" spans="1:11" x14ac:dyDescent="0.15">
      <c r="A5" s="2"/>
      <c r="G5" s="5"/>
      <c r="H5" s="5"/>
      <c r="J5" t="str">
        <f t="shared" ref="J5:J38" si="0">IF(AND(ISBLANK(D5),ISBLANK(E5)),"",D5+LEN(E5))</f>
        <v/>
      </c>
      <c r="K5">
        <f>A5</f>
        <v>0</v>
      </c>
    </row>
    <row r="6" spans="1:11" x14ac:dyDescent="0.15">
      <c r="A6" s="3">
        <v>2</v>
      </c>
      <c r="B6" t="s">
        <v>210</v>
      </c>
      <c r="C6" t="s">
        <v>206</v>
      </c>
      <c r="E6" t="s">
        <v>207</v>
      </c>
      <c r="F6" t="s">
        <v>212</v>
      </c>
      <c r="G6" s="5" t="s">
        <v>213</v>
      </c>
      <c r="H6" s="5" t="s">
        <v>214</v>
      </c>
      <c r="J6">
        <f t="shared" si="0"/>
        <v>1</v>
      </c>
      <c r="K6">
        <f t="shared" ref="K6:K38" si="1">A6</f>
        <v>2</v>
      </c>
    </row>
    <row r="7" spans="1:11" x14ac:dyDescent="0.15">
      <c r="A7" s="3">
        <v>4</v>
      </c>
      <c r="B7" t="s">
        <v>254</v>
      </c>
      <c r="C7" t="s">
        <v>255</v>
      </c>
      <c r="E7" t="s">
        <v>207</v>
      </c>
      <c r="F7" t="s">
        <v>211</v>
      </c>
      <c r="G7" s="5" t="s">
        <v>256</v>
      </c>
      <c r="H7" s="5" t="s">
        <v>257</v>
      </c>
      <c r="J7">
        <f t="shared" si="0"/>
        <v>1</v>
      </c>
      <c r="K7">
        <f t="shared" si="1"/>
        <v>4</v>
      </c>
    </row>
    <row r="8" spans="1:11" x14ac:dyDescent="0.15">
      <c r="A8" s="3"/>
      <c r="G8" s="5"/>
      <c r="H8" s="5"/>
      <c r="J8" t="str">
        <f t="shared" ref="J8" si="2">IF(AND(ISBLANK(D8),ISBLANK(E8)),"",D8+LEN(E8))</f>
        <v/>
      </c>
      <c r="K8">
        <f t="shared" ref="K8" si="3">A8</f>
        <v>0</v>
      </c>
    </row>
    <row r="9" spans="1:11" x14ac:dyDescent="0.15">
      <c r="A9" s="3">
        <v>2</v>
      </c>
      <c r="B9" t="s">
        <v>247</v>
      </c>
      <c r="C9" t="s">
        <v>206</v>
      </c>
      <c r="D9">
        <v>2</v>
      </c>
      <c r="F9" t="s">
        <v>104</v>
      </c>
      <c r="G9" s="5" t="s">
        <v>142</v>
      </c>
      <c r="H9" s="5"/>
      <c r="J9">
        <f t="shared" ref="J9" si="4">IF(AND(ISBLANK(D9),ISBLANK(E9)),"",D9+LEN(E9))</f>
        <v>2</v>
      </c>
      <c r="K9">
        <f t="shared" ref="K9" si="5">A9</f>
        <v>2</v>
      </c>
    </row>
    <row r="10" spans="1:11" x14ac:dyDescent="0.15">
      <c r="A10" s="3">
        <v>4</v>
      </c>
      <c r="B10" t="s">
        <v>234</v>
      </c>
      <c r="C10" t="s">
        <v>206</v>
      </c>
      <c r="D10">
        <v>1</v>
      </c>
      <c r="E10" t="s">
        <v>118</v>
      </c>
      <c r="F10" t="s">
        <v>104</v>
      </c>
      <c r="G10" s="5" t="s">
        <v>235</v>
      </c>
      <c r="H10" s="5" t="s">
        <v>268</v>
      </c>
      <c r="J10">
        <f t="shared" si="0"/>
        <v>2</v>
      </c>
      <c r="K10">
        <f t="shared" si="1"/>
        <v>4</v>
      </c>
    </row>
    <row r="11" spans="1:11" x14ac:dyDescent="0.15">
      <c r="A11" s="3"/>
      <c r="B11" t="s">
        <v>251</v>
      </c>
      <c r="C11" t="s">
        <v>82</v>
      </c>
      <c r="E11" t="s">
        <v>226</v>
      </c>
      <c r="F11" t="s">
        <v>104</v>
      </c>
      <c r="G11" s="5" t="s">
        <v>252</v>
      </c>
      <c r="H11" s="5" t="s">
        <v>253</v>
      </c>
      <c r="J11">
        <f t="shared" ref="J11" si="6">IF(AND(ISBLANK(D11),ISBLANK(E11)),"",D11+LEN(E11))</f>
        <v>2</v>
      </c>
      <c r="K11">
        <f t="shared" ref="K11" si="7">A11</f>
        <v>0</v>
      </c>
    </row>
    <row r="12" spans="1:11" x14ac:dyDescent="0.15">
      <c r="A12" s="3"/>
      <c r="G12" s="5"/>
      <c r="H12" s="5"/>
      <c r="J12" t="str">
        <f t="shared" si="0"/>
        <v/>
      </c>
      <c r="K12">
        <f t="shared" si="1"/>
        <v>0</v>
      </c>
    </row>
    <row r="13" spans="1:11" x14ac:dyDescent="0.15">
      <c r="A13" s="3"/>
      <c r="B13" t="s">
        <v>244</v>
      </c>
      <c r="C13" t="s">
        <v>206</v>
      </c>
      <c r="D13">
        <v>3</v>
      </c>
      <c r="F13" t="s">
        <v>104</v>
      </c>
      <c r="G13" s="5" t="s">
        <v>245</v>
      </c>
      <c r="H13" s="5" t="s">
        <v>246</v>
      </c>
      <c r="J13">
        <f t="shared" si="0"/>
        <v>3</v>
      </c>
      <c r="K13">
        <f t="shared" si="1"/>
        <v>0</v>
      </c>
    </row>
    <row r="14" spans="1:11" x14ac:dyDescent="0.15">
      <c r="A14" s="3">
        <v>3</v>
      </c>
      <c r="B14" t="s">
        <v>236</v>
      </c>
      <c r="C14" t="s">
        <v>206</v>
      </c>
      <c r="D14">
        <v>2</v>
      </c>
      <c r="E14" t="s">
        <v>215</v>
      </c>
      <c r="F14" t="s">
        <v>211</v>
      </c>
      <c r="G14" s="5" t="s">
        <v>237</v>
      </c>
      <c r="H14" s="5" t="s">
        <v>238</v>
      </c>
      <c r="J14">
        <f t="shared" si="0"/>
        <v>3</v>
      </c>
      <c r="K14">
        <f t="shared" si="1"/>
        <v>3</v>
      </c>
    </row>
    <row r="15" spans="1:11" x14ac:dyDescent="0.15">
      <c r="A15" s="3">
        <v>3</v>
      </c>
      <c r="B15" t="s">
        <v>130</v>
      </c>
      <c r="C15" t="s">
        <v>82</v>
      </c>
      <c r="D15">
        <v>2</v>
      </c>
      <c r="E15" t="s">
        <v>215</v>
      </c>
      <c r="F15" t="s">
        <v>211</v>
      </c>
      <c r="G15" s="5" t="s">
        <v>216</v>
      </c>
      <c r="H15" t="s">
        <v>267</v>
      </c>
      <c r="J15">
        <f t="shared" si="0"/>
        <v>3</v>
      </c>
      <c r="K15">
        <f t="shared" si="1"/>
        <v>3</v>
      </c>
    </row>
    <row r="16" spans="1:11" x14ac:dyDescent="0.15">
      <c r="A16" s="3"/>
      <c r="G16" s="5"/>
      <c r="H16" s="5"/>
      <c r="J16" t="str">
        <f t="shared" si="0"/>
        <v/>
      </c>
      <c r="K16">
        <f t="shared" si="1"/>
        <v>0</v>
      </c>
    </row>
    <row r="17" spans="1:11" x14ac:dyDescent="0.15">
      <c r="A17" s="3">
        <v>1</v>
      </c>
      <c r="B17" t="s">
        <v>225</v>
      </c>
      <c r="C17" t="s">
        <v>206</v>
      </c>
      <c r="D17">
        <v>2</v>
      </c>
      <c r="E17" t="s">
        <v>226</v>
      </c>
      <c r="F17" t="s">
        <v>211</v>
      </c>
      <c r="G17" s="5" t="s">
        <v>227</v>
      </c>
      <c r="H17" s="5"/>
      <c r="J17">
        <f t="shared" si="0"/>
        <v>4</v>
      </c>
      <c r="K17">
        <f t="shared" si="1"/>
        <v>1</v>
      </c>
    </row>
    <row r="18" spans="1:11" x14ac:dyDescent="0.15">
      <c r="A18" s="3"/>
      <c r="G18" s="5"/>
      <c r="H18" s="5"/>
      <c r="J18" t="str">
        <f t="shared" si="0"/>
        <v/>
      </c>
      <c r="K18">
        <f t="shared" si="1"/>
        <v>0</v>
      </c>
    </row>
    <row r="19" spans="1:11" x14ac:dyDescent="0.15">
      <c r="A19" s="3">
        <v>1</v>
      </c>
      <c r="B19" t="s">
        <v>231</v>
      </c>
      <c r="C19" t="s">
        <v>206</v>
      </c>
      <c r="D19">
        <v>4</v>
      </c>
      <c r="E19" t="s">
        <v>226</v>
      </c>
      <c r="F19" t="s">
        <v>211</v>
      </c>
      <c r="G19" s="5" t="s">
        <v>232</v>
      </c>
      <c r="H19" s="5" t="s">
        <v>233</v>
      </c>
      <c r="J19">
        <f t="shared" si="0"/>
        <v>6</v>
      </c>
      <c r="K19">
        <f t="shared" si="1"/>
        <v>1</v>
      </c>
    </row>
    <row r="20" spans="1:11" x14ac:dyDescent="0.15">
      <c r="A20" s="3"/>
      <c r="G20" s="5"/>
      <c r="H20" s="5"/>
      <c r="J20" t="str">
        <f t="shared" si="0"/>
        <v/>
      </c>
      <c r="K20">
        <f t="shared" si="1"/>
        <v>0</v>
      </c>
    </row>
    <row r="21" spans="1:11" x14ac:dyDescent="0.15">
      <c r="A21" s="3">
        <v>2</v>
      </c>
      <c r="B21" t="s">
        <v>117</v>
      </c>
      <c r="C21" t="s">
        <v>217</v>
      </c>
      <c r="E21" t="s">
        <v>215</v>
      </c>
      <c r="F21" t="s">
        <v>4</v>
      </c>
      <c r="G21" s="5"/>
      <c r="H21" s="5" t="s">
        <v>218</v>
      </c>
      <c r="J21">
        <f t="shared" si="0"/>
        <v>1</v>
      </c>
      <c r="K21">
        <f t="shared" si="1"/>
        <v>2</v>
      </c>
    </row>
    <row r="22" spans="1:11" x14ac:dyDescent="0.15">
      <c r="A22" s="3">
        <v>3</v>
      </c>
      <c r="B22" t="s">
        <v>173</v>
      </c>
      <c r="C22" t="s">
        <v>82</v>
      </c>
      <c r="E22" t="s">
        <v>215</v>
      </c>
      <c r="F22" t="s">
        <v>219</v>
      </c>
      <c r="G22" s="5"/>
      <c r="H22" s="5"/>
      <c r="J22">
        <f t="shared" si="0"/>
        <v>1</v>
      </c>
      <c r="K22">
        <f t="shared" si="1"/>
        <v>3</v>
      </c>
    </row>
    <row r="23" spans="1:11" x14ac:dyDescent="0.15">
      <c r="A23" s="3"/>
      <c r="G23" s="5"/>
      <c r="J23" t="str">
        <f t="shared" si="0"/>
        <v/>
      </c>
      <c r="K23">
        <f t="shared" si="1"/>
        <v>0</v>
      </c>
    </row>
    <row r="24" spans="1:11" x14ac:dyDescent="0.15">
      <c r="A24" s="3">
        <v>3</v>
      </c>
      <c r="B24" t="s">
        <v>205</v>
      </c>
      <c r="C24" t="s">
        <v>206</v>
      </c>
      <c r="D24">
        <v>1</v>
      </c>
      <c r="E24" t="s">
        <v>207</v>
      </c>
      <c r="F24" t="s">
        <v>4</v>
      </c>
      <c r="G24" s="5"/>
      <c r="H24" t="s">
        <v>209</v>
      </c>
      <c r="J24">
        <f t="shared" si="0"/>
        <v>2</v>
      </c>
      <c r="K24">
        <f t="shared" si="1"/>
        <v>3</v>
      </c>
    </row>
    <row r="25" spans="1:11" x14ac:dyDescent="0.15">
      <c r="A25" s="3">
        <v>2</v>
      </c>
      <c r="B25" t="s">
        <v>249</v>
      </c>
      <c r="C25" t="s">
        <v>82</v>
      </c>
      <c r="E25" t="s">
        <v>241</v>
      </c>
      <c r="F25" t="s">
        <v>121</v>
      </c>
      <c r="H25" t="s">
        <v>250</v>
      </c>
      <c r="J25">
        <f t="shared" si="0"/>
        <v>2</v>
      </c>
      <c r="K25">
        <f t="shared" si="1"/>
        <v>2</v>
      </c>
    </row>
    <row r="26" spans="1:11" x14ac:dyDescent="0.15">
      <c r="A26" s="3"/>
      <c r="B26" t="s">
        <v>270</v>
      </c>
      <c r="C26" t="s">
        <v>82</v>
      </c>
      <c r="D26">
        <v>2</v>
      </c>
      <c r="F26" t="s">
        <v>269</v>
      </c>
      <c r="H26" t="s">
        <v>271</v>
      </c>
      <c r="J26">
        <f t="shared" ref="J26:J27" si="8">IF(AND(ISBLANK(D26),ISBLANK(E26)),"",D26+LEN(E26))</f>
        <v>2</v>
      </c>
      <c r="K26">
        <f t="shared" ref="K26:K27" si="9">A26</f>
        <v>0</v>
      </c>
    </row>
    <row r="27" spans="1:11" x14ac:dyDescent="0.15">
      <c r="A27" s="3"/>
      <c r="J27" t="str">
        <f t="shared" si="8"/>
        <v/>
      </c>
      <c r="K27">
        <f t="shared" si="9"/>
        <v>0</v>
      </c>
    </row>
    <row r="28" spans="1:11" x14ac:dyDescent="0.15">
      <c r="A28" s="3"/>
      <c r="J28" t="str">
        <f t="shared" si="0"/>
        <v/>
      </c>
      <c r="K28">
        <f t="shared" si="1"/>
        <v>0</v>
      </c>
    </row>
    <row r="29" spans="1:11" x14ac:dyDescent="0.15">
      <c r="A29" s="3">
        <v>3</v>
      </c>
      <c r="B29" t="s">
        <v>263</v>
      </c>
      <c r="C29" t="s">
        <v>264</v>
      </c>
      <c r="D29">
        <v>1</v>
      </c>
      <c r="E29" t="s">
        <v>265</v>
      </c>
      <c r="F29" t="s">
        <v>261</v>
      </c>
      <c r="H29" t="s">
        <v>266</v>
      </c>
      <c r="J29">
        <f t="shared" ref="J29:J31" si="10">IF(AND(ISBLANK(D29),ISBLANK(E29)),"",D29+LEN(E29))</f>
        <v>3</v>
      </c>
      <c r="K29">
        <f t="shared" ref="K29:K31" si="11">A29</f>
        <v>3</v>
      </c>
    </row>
    <row r="30" spans="1:11" x14ac:dyDescent="0.15">
      <c r="A30" s="3"/>
      <c r="J30" t="str">
        <f t="shared" si="10"/>
        <v/>
      </c>
      <c r="K30">
        <f t="shared" si="11"/>
        <v>0</v>
      </c>
    </row>
    <row r="31" spans="1:11" x14ac:dyDescent="0.15">
      <c r="A31" s="3">
        <v>1</v>
      </c>
      <c r="B31" t="s">
        <v>201</v>
      </c>
      <c r="C31" t="s">
        <v>217</v>
      </c>
      <c r="D31">
        <v>2</v>
      </c>
      <c r="E31" t="s">
        <v>220</v>
      </c>
      <c r="F31" t="s">
        <v>221</v>
      </c>
      <c r="J31">
        <f t="shared" si="10"/>
        <v>4</v>
      </c>
      <c r="K31">
        <f t="shared" si="11"/>
        <v>1</v>
      </c>
    </row>
    <row r="32" spans="1:11" x14ac:dyDescent="0.15">
      <c r="A32" s="3">
        <v>3</v>
      </c>
      <c r="B32" t="s">
        <v>258</v>
      </c>
      <c r="C32" t="s">
        <v>259</v>
      </c>
      <c r="D32">
        <v>2</v>
      </c>
      <c r="E32" t="s">
        <v>260</v>
      </c>
      <c r="F32" t="s">
        <v>261</v>
      </c>
      <c r="H32" t="s">
        <v>262</v>
      </c>
      <c r="J32">
        <f t="shared" si="0"/>
        <v>4</v>
      </c>
      <c r="K32">
        <f t="shared" si="1"/>
        <v>3</v>
      </c>
    </row>
    <row r="33" spans="1:11" x14ac:dyDescent="0.15">
      <c r="A33" s="3"/>
      <c r="G33" s="5"/>
      <c r="J33" t="str">
        <f t="shared" si="0"/>
        <v/>
      </c>
      <c r="K33">
        <f t="shared" si="1"/>
        <v>0</v>
      </c>
    </row>
    <row r="34" spans="1:11" x14ac:dyDescent="0.15">
      <c r="A34" s="3"/>
      <c r="G34" s="5"/>
      <c r="J34" t="str">
        <f t="shared" si="0"/>
        <v/>
      </c>
      <c r="K34">
        <f t="shared" si="1"/>
        <v>0</v>
      </c>
    </row>
    <row r="35" spans="1:11" x14ac:dyDescent="0.15">
      <c r="A35" s="3">
        <v>1</v>
      </c>
      <c r="B35" t="s">
        <v>222</v>
      </c>
      <c r="C35" t="s">
        <v>181</v>
      </c>
      <c r="D35">
        <v>4</v>
      </c>
      <c r="E35" t="s">
        <v>223</v>
      </c>
      <c r="F35" t="s">
        <v>208</v>
      </c>
      <c r="G35" s="5"/>
      <c r="H35" t="s">
        <v>224</v>
      </c>
      <c r="J35">
        <f t="shared" si="0"/>
        <v>5</v>
      </c>
      <c r="K35">
        <f t="shared" si="1"/>
        <v>1</v>
      </c>
    </row>
    <row r="36" spans="1:11" x14ac:dyDescent="0.15">
      <c r="A36" s="3"/>
      <c r="B36" t="s">
        <v>239</v>
      </c>
      <c r="C36" t="s">
        <v>240</v>
      </c>
      <c r="D36">
        <v>3</v>
      </c>
      <c r="E36" t="s">
        <v>242</v>
      </c>
      <c r="F36" t="s">
        <v>121</v>
      </c>
      <c r="G36" s="5"/>
      <c r="H36" t="s">
        <v>243</v>
      </c>
      <c r="J36">
        <f t="shared" si="0"/>
        <v>5</v>
      </c>
      <c r="K36">
        <f t="shared" si="1"/>
        <v>0</v>
      </c>
    </row>
    <row r="37" spans="1:11" x14ac:dyDescent="0.15">
      <c r="A37" s="3"/>
      <c r="G37" s="5"/>
      <c r="J37" t="str">
        <f t="shared" si="0"/>
        <v/>
      </c>
      <c r="K37">
        <f t="shared" si="1"/>
        <v>0</v>
      </c>
    </row>
    <row r="38" spans="1:11" ht="14.25" thickBot="1" x14ac:dyDescent="0.2">
      <c r="A38" s="3"/>
      <c r="J38" t="str">
        <f t="shared" si="0"/>
        <v/>
      </c>
      <c r="K38">
        <f t="shared" si="1"/>
        <v>0</v>
      </c>
    </row>
    <row r="39" spans="1:11" x14ac:dyDescent="0.15">
      <c r="A39" s="2"/>
      <c r="B39" t="s">
        <v>149</v>
      </c>
    </row>
    <row r="40" spans="1:11" x14ac:dyDescent="0.15">
      <c r="A40" s="3">
        <v>4</v>
      </c>
      <c r="B40" t="s">
        <v>150</v>
      </c>
    </row>
    <row r="41" spans="1:11" x14ac:dyDescent="0.15">
      <c r="A41" s="3">
        <v>6</v>
      </c>
      <c r="B41" t="s">
        <v>134</v>
      </c>
    </row>
    <row r="42" spans="1:11" x14ac:dyDescent="0.15">
      <c r="A42" s="3">
        <v>4</v>
      </c>
      <c r="B42" t="s">
        <v>151</v>
      </c>
      <c r="I42" s="1" t="s">
        <v>204</v>
      </c>
    </row>
    <row r="43" spans="1:11" x14ac:dyDescent="0.15">
      <c r="A43" s="3"/>
    </row>
    <row r="44" spans="1:11" x14ac:dyDescent="0.15">
      <c r="A44" s="3">
        <v>4</v>
      </c>
      <c r="B44" t="s">
        <v>153</v>
      </c>
    </row>
    <row r="45" spans="1:11" x14ac:dyDescent="0.15">
      <c r="A45" s="3">
        <v>4</v>
      </c>
      <c r="B45" t="s">
        <v>248</v>
      </c>
    </row>
    <row r="46" spans="1:11" ht="14.25" thickBot="1" x14ac:dyDescent="0.2">
      <c r="A46" s="4"/>
    </row>
    <row r="47" spans="1:11" x14ac:dyDescent="0.15">
      <c r="A47">
        <f>SUM(A39:A46)</f>
        <v>22</v>
      </c>
    </row>
    <row r="51" spans="1:23" ht="14.25" thickBot="1" x14ac:dyDescent="0.2"/>
    <row r="52" spans="1:23" x14ac:dyDescent="0.15">
      <c r="A52" s="2"/>
    </row>
    <row r="53" spans="1:23" x14ac:dyDescent="0.15">
      <c r="A53" s="3"/>
      <c r="G53" s="5"/>
    </row>
    <row r="54" spans="1:23" x14ac:dyDescent="0.15">
      <c r="A54" s="3"/>
      <c r="B54" t="s">
        <v>228</v>
      </c>
      <c r="C54" t="s">
        <v>181</v>
      </c>
      <c r="D54">
        <v>2</v>
      </c>
      <c r="E54" t="s">
        <v>223</v>
      </c>
      <c r="F54" t="s">
        <v>155</v>
      </c>
      <c r="G54" s="5"/>
      <c r="H54" s="5" t="s">
        <v>229</v>
      </c>
      <c r="I54" s="1" t="s">
        <v>230</v>
      </c>
    </row>
    <row r="55" spans="1:23" x14ac:dyDescent="0.15">
      <c r="A55" s="3"/>
      <c r="G55" s="5"/>
    </row>
    <row r="56" spans="1:23" x14ac:dyDescent="0.15">
      <c r="A56" s="3"/>
      <c r="G56" s="5"/>
    </row>
    <row r="57" spans="1:23" x14ac:dyDescent="0.15">
      <c r="A57" s="3"/>
      <c r="G57" s="5"/>
    </row>
    <row r="58" spans="1:23" x14ac:dyDescent="0.15">
      <c r="A58" s="3"/>
    </row>
    <row r="59" spans="1:23" x14ac:dyDescent="0.15">
      <c r="A59" s="3"/>
    </row>
    <row r="60" spans="1:23" x14ac:dyDescent="0.15">
      <c r="A60" s="3"/>
    </row>
    <row r="61" spans="1:23" ht="14.25" thickBot="1" x14ac:dyDescent="0.2">
      <c r="A61" s="3"/>
    </row>
    <row r="62" spans="1:23" ht="14.25" thickBot="1" x14ac:dyDescent="0.2">
      <c r="A62" s="6">
        <f>SUM(A52:A61)</f>
        <v>0</v>
      </c>
      <c r="P62" s="7">
        <v>0</v>
      </c>
      <c r="Q62" s="8">
        <v>1</v>
      </c>
      <c r="R62" s="8">
        <v>2</v>
      </c>
      <c r="S62" s="8">
        <v>3</v>
      </c>
      <c r="T62" s="8">
        <v>4</v>
      </c>
      <c r="U62" s="8">
        <v>5</v>
      </c>
      <c r="V62" s="8">
        <v>6</v>
      </c>
      <c r="W62" s="9">
        <v>7</v>
      </c>
    </row>
    <row r="63" spans="1:23" ht="14.25" thickBot="1" x14ac:dyDescent="0.2">
      <c r="P63" s="10">
        <f t="shared" ref="P63:V63" si="12">SUMIF($J5:$J38,P62,$A5:$A38)</f>
        <v>0</v>
      </c>
      <c r="Q63" s="11">
        <f t="shared" si="12"/>
        <v>11</v>
      </c>
      <c r="R63" s="11">
        <f t="shared" si="12"/>
        <v>11</v>
      </c>
      <c r="S63" s="11">
        <f t="shared" si="12"/>
        <v>9</v>
      </c>
      <c r="T63" s="11">
        <f t="shared" si="12"/>
        <v>5</v>
      </c>
      <c r="U63" s="11">
        <f t="shared" si="12"/>
        <v>1</v>
      </c>
      <c r="V63" s="11">
        <f t="shared" si="12"/>
        <v>1</v>
      </c>
      <c r="W63" s="12">
        <f>SUMIF($J5:$J38,"&gt;6",$A5:$A38)</f>
        <v>0</v>
      </c>
    </row>
    <row r="65" spans="16:22" ht="14.25" thickBot="1" x14ac:dyDescent="0.2"/>
    <row r="66" spans="16:22" x14ac:dyDescent="0.15">
      <c r="P66" s="7" t="s">
        <v>3</v>
      </c>
      <c r="Q66" s="8" t="s">
        <v>6</v>
      </c>
      <c r="R66" s="8" t="s">
        <v>5</v>
      </c>
      <c r="S66" s="8" t="s">
        <v>7</v>
      </c>
      <c r="T66" s="8" t="s">
        <v>8</v>
      </c>
      <c r="U66" s="8" t="s">
        <v>10</v>
      </c>
      <c r="V66" s="9" t="s">
        <v>9</v>
      </c>
    </row>
    <row r="67" spans="16:22" ht="14.25" thickBot="1" x14ac:dyDescent="0.2">
      <c r="P67" s="10">
        <f t="shared" ref="P67:U67" si="13">SUMIF($F5:$F38,P66,$A5:$A38)</f>
        <v>20</v>
      </c>
      <c r="Q67" s="11">
        <f t="shared" si="13"/>
        <v>3</v>
      </c>
      <c r="R67" s="11">
        <f t="shared" si="13"/>
        <v>12</v>
      </c>
      <c r="S67" s="11">
        <f t="shared" si="13"/>
        <v>2</v>
      </c>
      <c r="T67" s="11">
        <f t="shared" si="13"/>
        <v>0</v>
      </c>
      <c r="U67" s="11">
        <f t="shared" si="13"/>
        <v>1</v>
      </c>
      <c r="V67" s="12">
        <f>A47</f>
        <v>22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W67"/>
  <sheetViews>
    <sheetView topLeftCell="A4" workbookViewId="0">
      <selection activeCell="H20" sqref="H20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2.5" bestFit="1" customWidth="1"/>
    <col min="5" max="5" width="4" bestFit="1" customWidth="1"/>
    <col min="6" max="6" width="2" bestFit="1" customWidth="1"/>
    <col min="7" max="7" width="4.875" bestFit="1" customWidth="1"/>
    <col min="8" max="8" width="12.625" customWidth="1"/>
    <col min="9" max="9" width="14.875" style="1" customWidth="1"/>
    <col min="10" max="10" width="3.5" bestFit="1" customWidth="1"/>
    <col min="11" max="11" width="2.5" bestFit="1" customWidth="1"/>
    <col min="12" max="12" width="3.5" bestFit="1" customWidth="1"/>
    <col min="13" max="13" width="2.5" bestFit="1" customWidth="1"/>
    <col min="14" max="14" width="3.5" bestFit="1" customWidth="1"/>
    <col min="15" max="17" width="3.75" customWidth="1"/>
    <col min="18" max="18" width="3.625" customWidth="1"/>
    <col min="19" max="22" width="3.75" customWidth="1"/>
    <col min="23" max="23" width="3.625" customWidth="1"/>
  </cols>
  <sheetData>
    <row r="1" spans="1:21" x14ac:dyDescent="0.15">
      <c r="P1" t="s">
        <v>202</v>
      </c>
      <c r="Q1" t="s">
        <v>145</v>
      </c>
      <c r="R1" t="s">
        <v>255</v>
      </c>
      <c r="S1" t="s">
        <v>97</v>
      </c>
      <c r="T1" t="s">
        <v>99</v>
      </c>
      <c r="U1" t="s">
        <v>83</v>
      </c>
    </row>
    <row r="4" spans="1:21" ht="14.25" thickBot="1" x14ac:dyDescent="0.2">
      <c r="A4">
        <f>SUM(A5:A46)</f>
        <v>0</v>
      </c>
    </row>
    <row r="5" spans="1:21" x14ac:dyDescent="0.15">
      <c r="A5" s="2"/>
      <c r="G5" s="5"/>
      <c r="H5" s="5"/>
      <c r="J5" t="str">
        <f t="shared" ref="J5:J38" si="0">IF(AND(ISBLANK(D5),ISBLANK(E5)),"",D5+LEN(E5))</f>
        <v/>
      </c>
      <c r="K5">
        <f>A5</f>
        <v>0</v>
      </c>
    </row>
    <row r="6" spans="1:21" x14ac:dyDescent="0.15">
      <c r="A6" s="3"/>
      <c r="G6" s="5"/>
      <c r="H6" s="5"/>
      <c r="J6" t="str">
        <f t="shared" si="0"/>
        <v/>
      </c>
      <c r="K6">
        <f t="shared" ref="K6:K38" si="1">A6</f>
        <v>0</v>
      </c>
    </row>
    <row r="7" spans="1:21" x14ac:dyDescent="0.15">
      <c r="A7" s="3"/>
      <c r="G7" s="5"/>
      <c r="H7" s="5"/>
      <c r="J7" t="str">
        <f t="shared" si="0"/>
        <v/>
      </c>
      <c r="K7">
        <f t="shared" si="1"/>
        <v>0</v>
      </c>
    </row>
    <row r="8" spans="1:21" x14ac:dyDescent="0.15">
      <c r="A8" s="3"/>
      <c r="G8" s="5"/>
      <c r="H8" s="5"/>
      <c r="J8" t="str">
        <f t="shared" si="0"/>
        <v/>
      </c>
      <c r="K8">
        <f t="shared" si="1"/>
        <v>0</v>
      </c>
    </row>
    <row r="9" spans="1:21" x14ac:dyDescent="0.15">
      <c r="A9" s="3"/>
      <c r="G9" s="5"/>
      <c r="H9" s="5"/>
      <c r="J9" t="str">
        <f t="shared" si="0"/>
        <v/>
      </c>
      <c r="K9">
        <f t="shared" si="1"/>
        <v>0</v>
      </c>
    </row>
    <row r="10" spans="1:21" x14ac:dyDescent="0.15">
      <c r="A10" s="3"/>
      <c r="G10" s="5"/>
      <c r="H10" s="5"/>
      <c r="J10" t="str">
        <f t="shared" si="0"/>
        <v/>
      </c>
      <c r="K10">
        <f t="shared" si="1"/>
        <v>0</v>
      </c>
    </row>
    <row r="11" spans="1:21" x14ac:dyDescent="0.15">
      <c r="A11" s="3"/>
      <c r="G11" s="5"/>
      <c r="H11" s="5"/>
      <c r="J11" t="str">
        <f t="shared" si="0"/>
        <v/>
      </c>
      <c r="K11">
        <f t="shared" si="1"/>
        <v>0</v>
      </c>
    </row>
    <row r="12" spans="1:21" x14ac:dyDescent="0.15">
      <c r="A12" s="3"/>
      <c r="B12" t="s">
        <v>279</v>
      </c>
      <c r="C12" t="s">
        <v>217</v>
      </c>
      <c r="E12" t="s">
        <v>275</v>
      </c>
      <c r="F12" t="s">
        <v>211</v>
      </c>
      <c r="G12" s="5" t="s">
        <v>280</v>
      </c>
      <c r="H12" s="5"/>
      <c r="J12">
        <f t="shared" si="0"/>
        <v>2</v>
      </c>
      <c r="K12">
        <f t="shared" si="1"/>
        <v>0</v>
      </c>
    </row>
    <row r="13" spans="1:21" x14ac:dyDescent="0.15">
      <c r="A13" s="3"/>
      <c r="G13" s="5"/>
      <c r="H13" s="5"/>
      <c r="J13" t="str">
        <f t="shared" si="0"/>
        <v/>
      </c>
      <c r="K13">
        <f t="shared" si="1"/>
        <v>0</v>
      </c>
    </row>
    <row r="14" spans="1:21" x14ac:dyDescent="0.15">
      <c r="A14" s="3"/>
      <c r="G14" s="5"/>
      <c r="H14" s="5"/>
      <c r="J14" t="str">
        <f t="shared" si="0"/>
        <v/>
      </c>
      <c r="K14">
        <f t="shared" si="1"/>
        <v>0</v>
      </c>
    </row>
    <row r="15" spans="1:21" x14ac:dyDescent="0.15">
      <c r="A15" s="3"/>
      <c r="B15" t="s">
        <v>274</v>
      </c>
      <c r="C15" t="s">
        <v>82</v>
      </c>
      <c r="D15">
        <v>1</v>
      </c>
      <c r="E15" t="s">
        <v>276</v>
      </c>
      <c r="F15" t="s">
        <v>277</v>
      </c>
      <c r="G15" s="5" t="s">
        <v>278</v>
      </c>
      <c r="J15">
        <f t="shared" si="0"/>
        <v>3</v>
      </c>
      <c r="K15">
        <f t="shared" si="1"/>
        <v>0</v>
      </c>
    </row>
    <row r="16" spans="1:21" x14ac:dyDescent="0.15">
      <c r="A16" s="3"/>
      <c r="G16" s="5"/>
      <c r="H16" s="5"/>
      <c r="J16" t="str">
        <f t="shared" si="0"/>
        <v/>
      </c>
      <c r="K16">
        <f t="shared" si="1"/>
        <v>0</v>
      </c>
    </row>
    <row r="17" spans="1:11" x14ac:dyDescent="0.15">
      <c r="A17" s="3"/>
      <c r="G17" s="5"/>
      <c r="H17" s="5"/>
      <c r="J17" t="str">
        <f t="shared" si="0"/>
        <v/>
      </c>
      <c r="K17">
        <f t="shared" si="1"/>
        <v>0</v>
      </c>
    </row>
    <row r="18" spans="1:11" x14ac:dyDescent="0.15">
      <c r="A18" s="3"/>
      <c r="G18" s="5"/>
      <c r="H18" s="5"/>
      <c r="J18" t="str">
        <f t="shared" si="0"/>
        <v/>
      </c>
      <c r="K18">
        <f t="shared" si="1"/>
        <v>0</v>
      </c>
    </row>
    <row r="19" spans="1:11" x14ac:dyDescent="0.15">
      <c r="A19" s="3"/>
      <c r="B19" t="s">
        <v>281</v>
      </c>
      <c r="C19" t="s">
        <v>217</v>
      </c>
      <c r="D19">
        <v>2</v>
      </c>
      <c r="E19" t="s">
        <v>275</v>
      </c>
      <c r="F19" t="s">
        <v>211</v>
      </c>
      <c r="G19" s="5" t="s">
        <v>282</v>
      </c>
      <c r="H19" s="5"/>
      <c r="J19">
        <f t="shared" si="0"/>
        <v>4</v>
      </c>
      <c r="K19">
        <f t="shared" si="1"/>
        <v>0</v>
      </c>
    </row>
    <row r="20" spans="1:11" x14ac:dyDescent="0.15">
      <c r="A20" s="3"/>
      <c r="B20" t="s">
        <v>283</v>
      </c>
      <c r="C20" t="s">
        <v>103</v>
      </c>
      <c r="D20">
        <v>2</v>
      </c>
      <c r="E20" t="s">
        <v>284</v>
      </c>
      <c r="F20" t="s">
        <v>211</v>
      </c>
      <c r="G20" s="5" t="s">
        <v>285</v>
      </c>
      <c r="H20" s="5"/>
      <c r="J20">
        <f t="shared" si="0"/>
        <v>4</v>
      </c>
      <c r="K20">
        <f t="shared" si="1"/>
        <v>0</v>
      </c>
    </row>
    <row r="21" spans="1:11" x14ac:dyDescent="0.15">
      <c r="A21" s="3"/>
      <c r="G21" s="5"/>
      <c r="H21" s="5"/>
      <c r="J21" t="str">
        <f t="shared" si="0"/>
        <v/>
      </c>
      <c r="K21">
        <f t="shared" si="1"/>
        <v>0</v>
      </c>
    </row>
    <row r="22" spans="1:11" x14ac:dyDescent="0.15">
      <c r="A22" s="3"/>
      <c r="G22" s="5"/>
      <c r="H22" s="5"/>
      <c r="J22" t="str">
        <f t="shared" si="0"/>
        <v/>
      </c>
      <c r="K22">
        <f t="shared" si="1"/>
        <v>0</v>
      </c>
    </row>
    <row r="23" spans="1:11" x14ac:dyDescent="0.15">
      <c r="A23" s="3"/>
      <c r="G23" s="5"/>
      <c r="J23" t="str">
        <f t="shared" si="0"/>
        <v/>
      </c>
      <c r="K23">
        <f t="shared" si="1"/>
        <v>0</v>
      </c>
    </row>
    <row r="24" spans="1:11" x14ac:dyDescent="0.15">
      <c r="A24" s="3"/>
      <c r="G24" s="5"/>
      <c r="J24" t="str">
        <f t="shared" si="0"/>
        <v/>
      </c>
      <c r="K24">
        <f t="shared" si="1"/>
        <v>0</v>
      </c>
    </row>
    <row r="25" spans="1:11" x14ac:dyDescent="0.15">
      <c r="A25" s="3"/>
      <c r="J25" t="str">
        <f t="shared" si="0"/>
        <v/>
      </c>
      <c r="K25">
        <f t="shared" si="1"/>
        <v>0</v>
      </c>
    </row>
    <row r="26" spans="1:11" x14ac:dyDescent="0.15">
      <c r="A26" s="3"/>
      <c r="J26" t="str">
        <f t="shared" si="0"/>
        <v/>
      </c>
      <c r="K26">
        <f t="shared" si="1"/>
        <v>0</v>
      </c>
    </row>
    <row r="27" spans="1:11" x14ac:dyDescent="0.15">
      <c r="A27" s="3"/>
      <c r="J27" t="str">
        <f t="shared" si="0"/>
        <v/>
      </c>
      <c r="K27">
        <f t="shared" si="1"/>
        <v>0</v>
      </c>
    </row>
    <row r="28" spans="1:11" x14ac:dyDescent="0.15">
      <c r="A28" s="3"/>
      <c r="J28" t="str">
        <f t="shared" si="0"/>
        <v/>
      </c>
      <c r="K28">
        <f t="shared" si="1"/>
        <v>0</v>
      </c>
    </row>
    <row r="29" spans="1:11" x14ac:dyDescent="0.15">
      <c r="A29" s="3"/>
      <c r="J29" t="str">
        <f t="shared" si="0"/>
        <v/>
      </c>
      <c r="K29">
        <f t="shared" si="1"/>
        <v>0</v>
      </c>
    </row>
    <row r="30" spans="1:11" x14ac:dyDescent="0.15">
      <c r="A30" s="3"/>
      <c r="J30" t="str">
        <f t="shared" si="0"/>
        <v/>
      </c>
      <c r="K30">
        <f t="shared" si="1"/>
        <v>0</v>
      </c>
    </row>
    <row r="31" spans="1:11" x14ac:dyDescent="0.15">
      <c r="A31" s="3"/>
      <c r="J31" t="str">
        <f t="shared" si="0"/>
        <v/>
      </c>
      <c r="K31">
        <f t="shared" si="1"/>
        <v>0</v>
      </c>
    </row>
    <row r="32" spans="1:11" x14ac:dyDescent="0.15">
      <c r="A32" s="3"/>
      <c r="J32" t="str">
        <f t="shared" si="0"/>
        <v/>
      </c>
      <c r="K32">
        <f t="shared" si="1"/>
        <v>0</v>
      </c>
    </row>
    <row r="33" spans="1:11" x14ac:dyDescent="0.15">
      <c r="A33" s="3"/>
      <c r="G33" s="5"/>
      <c r="J33" t="str">
        <f t="shared" si="0"/>
        <v/>
      </c>
      <c r="K33">
        <f t="shared" si="1"/>
        <v>0</v>
      </c>
    </row>
    <row r="34" spans="1:11" x14ac:dyDescent="0.15">
      <c r="A34" s="3"/>
      <c r="G34" s="5"/>
      <c r="J34" t="str">
        <f t="shared" si="0"/>
        <v/>
      </c>
      <c r="K34">
        <f t="shared" si="1"/>
        <v>0</v>
      </c>
    </row>
    <row r="35" spans="1:11" x14ac:dyDescent="0.15">
      <c r="A35" s="3"/>
      <c r="G35" s="5"/>
      <c r="J35" t="str">
        <f t="shared" si="0"/>
        <v/>
      </c>
      <c r="K35">
        <f t="shared" si="1"/>
        <v>0</v>
      </c>
    </row>
    <row r="36" spans="1:11" x14ac:dyDescent="0.15">
      <c r="A36" s="3"/>
      <c r="G36" s="5"/>
      <c r="J36" t="str">
        <f t="shared" si="0"/>
        <v/>
      </c>
      <c r="K36">
        <f t="shared" si="1"/>
        <v>0</v>
      </c>
    </row>
    <row r="37" spans="1:11" x14ac:dyDescent="0.15">
      <c r="A37" s="3"/>
      <c r="G37" s="5"/>
      <c r="J37" t="str">
        <f t="shared" si="0"/>
        <v/>
      </c>
      <c r="K37">
        <f t="shared" si="1"/>
        <v>0</v>
      </c>
    </row>
    <row r="38" spans="1:11" ht="14.25" thickBot="1" x14ac:dyDescent="0.2">
      <c r="A38" s="3"/>
      <c r="J38" t="str">
        <f t="shared" si="0"/>
        <v/>
      </c>
      <c r="K38">
        <f t="shared" si="1"/>
        <v>0</v>
      </c>
    </row>
    <row r="39" spans="1:11" x14ac:dyDescent="0.15">
      <c r="A39" s="2"/>
    </row>
    <row r="40" spans="1:11" x14ac:dyDescent="0.15">
      <c r="A40" s="3"/>
    </row>
    <row r="41" spans="1:11" x14ac:dyDescent="0.15">
      <c r="A41" s="3"/>
    </row>
    <row r="42" spans="1:11" x14ac:dyDescent="0.15">
      <c r="A42" s="3"/>
    </row>
    <row r="43" spans="1:11" x14ac:dyDescent="0.15">
      <c r="A43" s="3"/>
    </row>
    <row r="44" spans="1:11" x14ac:dyDescent="0.15">
      <c r="A44" s="3"/>
    </row>
    <row r="45" spans="1:11" x14ac:dyDescent="0.15">
      <c r="A45" s="3"/>
    </row>
    <row r="46" spans="1:11" ht="14.25" thickBot="1" x14ac:dyDescent="0.2">
      <c r="A46" s="4"/>
    </row>
    <row r="47" spans="1:11" x14ac:dyDescent="0.15">
      <c r="A47">
        <f>SUM(A39:A46)</f>
        <v>0</v>
      </c>
    </row>
    <row r="51" spans="1:23" ht="14.25" thickBot="1" x14ac:dyDescent="0.2"/>
    <row r="52" spans="1:23" x14ac:dyDescent="0.15">
      <c r="A52" s="2"/>
    </row>
    <row r="53" spans="1:23" x14ac:dyDescent="0.15">
      <c r="A53" s="3"/>
      <c r="G53" s="5"/>
    </row>
    <row r="54" spans="1:23" x14ac:dyDescent="0.15">
      <c r="A54" s="3"/>
      <c r="B54" t="s">
        <v>228</v>
      </c>
      <c r="C54" t="s">
        <v>99</v>
      </c>
      <c r="D54">
        <v>2</v>
      </c>
      <c r="E54" t="s">
        <v>118</v>
      </c>
      <c r="F54" t="s">
        <v>155</v>
      </c>
      <c r="G54" s="5"/>
      <c r="H54" s="5" t="s">
        <v>229</v>
      </c>
      <c r="I54" s="1" t="s">
        <v>230</v>
      </c>
    </row>
    <row r="55" spans="1:23" x14ac:dyDescent="0.15">
      <c r="A55" s="3"/>
      <c r="G55" s="5"/>
    </row>
    <row r="56" spans="1:23" x14ac:dyDescent="0.15">
      <c r="A56" s="3"/>
      <c r="G56" s="5"/>
    </row>
    <row r="57" spans="1:23" x14ac:dyDescent="0.15">
      <c r="A57" s="3"/>
      <c r="G57" s="5"/>
    </row>
    <row r="58" spans="1:23" x14ac:dyDescent="0.15">
      <c r="A58" s="3"/>
    </row>
    <row r="59" spans="1:23" x14ac:dyDescent="0.15">
      <c r="A59" s="3"/>
    </row>
    <row r="60" spans="1:23" x14ac:dyDescent="0.15">
      <c r="A60" s="3"/>
    </row>
    <row r="61" spans="1:23" ht="14.25" thickBot="1" x14ac:dyDescent="0.2">
      <c r="A61" s="3"/>
    </row>
    <row r="62" spans="1:23" ht="14.25" thickBot="1" x14ac:dyDescent="0.2">
      <c r="A62" s="6">
        <f>SUM(A52:A61)</f>
        <v>0</v>
      </c>
      <c r="P62" s="7">
        <v>0</v>
      </c>
      <c r="Q62" s="8">
        <v>1</v>
      </c>
      <c r="R62" s="8">
        <v>2</v>
      </c>
      <c r="S62" s="8">
        <v>3</v>
      </c>
      <c r="T62" s="8">
        <v>4</v>
      </c>
      <c r="U62" s="8">
        <v>5</v>
      </c>
      <c r="V62" s="8">
        <v>6</v>
      </c>
      <c r="W62" s="9">
        <v>7</v>
      </c>
    </row>
    <row r="63" spans="1:23" ht="14.25" thickBot="1" x14ac:dyDescent="0.2">
      <c r="P63" s="10">
        <f t="shared" ref="P63:V63" si="2">SUMIF($J5:$J38,P62,$A5:$A38)</f>
        <v>0</v>
      </c>
      <c r="Q63" s="11">
        <f t="shared" si="2"/>
        <v>0</v>
      </c>
      <c r="R63" s="11">
        <f t="shared" si="2"/>
        <v>0</v>
      </c>
      <c r="S63" s="11">
        <f t="shared" si="2"/>
        <v>0</v>
      </c>
      <c r="T63" s="11">
        <f t="shared" si="2"/>
        <v>0</v>
      </c>
      <c r="U63" s="11">
        <f t="shared" si="2"/>
        <v>0</v>
      </c>
      <c r="V63" s="11">
        <f t="shared" si="2"/>
        <v>0</v>
      </c>
      <c r="W63" s="12">
        <f>SUMIF($J5:$J38,"&gt;6",$A5:$A38)</f>
        <v>0</v>
      </c>
    </row>
    <row r="65" spans="16:22" ht="14.25" thickBot="1" x14ac:dyDescent="0.2"/>
    <row r="66" spans="16:22" x14ac:dyDescent="0.15">
      <c r="P66" s="7" t="s">
        <v>3</v>
      </c>
      <c r="Q66" s="8" t="s">
        <v>6</v>
      </c>
      <c r="R66" s="8" t="s">
        <v>5</v>
      </c>
      <c r="S66" s="8" t="s">
        <v>7</v>
      </c>
      <c r="T66" s="8" t="s">
        <v>8</v>
      </c>
      <c r="U66" s="8" t="s">
        <v>10</v>
      </c>
      <c r="V66" s="9" t="s">
        <v>9</v>
      </c>
    </row>
    <row r="67" spans="16:22" ht="14.25" thickBot="1" x14ac:dyDescent="0.2">
      <c r="P67" s="10">
        <f t="shared" ref="P67:U67" si="3">SUMIF($F5:$F38,P66,$A5:$A38)</f>
        <v>0</v>
      </c>
      <c r="Q67" s="11">
        <f t="shared" si="3"/>
        <v>0</v>
      </c>
      <c r="R67" s="11">
        <f t="shared" si="3"/>
        <v>0</v>
      </c>
      <c r="S67" s="11">
        <f t="shared" si="3"/>
        <v>0</v>
      </c>
      <c r="T67" s="11">
        <f t="shared" si="3"/>
        <v>0</v>
      </c>
      <c r="U67" s="11">
        <f t="shared" si="3"/>
        <v>0</v>
      </c>
      <c r="V67" s="12">
        <f>A47</f>
        <v>0</v>
      </c>
    </row>
  </sheetData>
  <phoneticPr fontId="1"/>
  <dataValidations count="1">
    <dataValidation type="list" allowBlank="1" showInputMessage="1" showErrorMessage="1" sqref="C5:C38">
      <formula1>$P$1:$U$1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W68"/>
  <sheetViews>
    <sheetView workbookViewId="0">
      <selection activeCell="A44" sqref="A44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2.5" bestFit="1" customWidth="1"/>
    <col min="5" max="5" width="4" bestFit="1" customWidth="1"/>
    <col min="6" max="6" width="2" bestFit="1" customWidth="1"/>
    <col min="7" max="7" width="4.875" bestFit="1" customWidth="1"/>
    <col min="8" max="8" width="12.625" customWidth="1"/>
    <col min="9" max="9" width="14.875" style="1" customWidth="1"/>
    <col min="10" max="10" width="3.5" bestFit="1" customWidth="1"/>
    <col min="11" max="11" width="2.5" bestFit="1" customWidth="1"/>
    <col min="12" max="12" width="3.5" bestFit="1" customWidth="1"/>
    <col min="13" max="13" width="2.5" bestFit="1" customWidth="1"/>
    <col min="14" max="14" width="3.5" bestFit="1" customWidth="1"/>
    <col min="15" max="17" width="3.75" customWidth="1"/>
    <col min="18" max="18" width="3.625" customWidth="1"/>
    <col min="19" max="22" width="3.75" customWidth="1"/>
    <col min="23" max="23" width="3.625" customWidth="1"/>
  </cols>
  <sheetData>
    <row r="1" spans="1:21" x14ac:dyDescent="0.15">
      <c r="P1" t="s">
        <v>202</v>
      </c>
      <c r="Q1" t="s">
        <v>145</v>
      </c>
      <c r="R1" t="s">
        <v>255</v>
      </c>
      <c r="S1" t="s">
        <v>97</v>
      </c>
      <c r="T1" t="s">
        <v>99</v>
      </c>
      <c r="U1" t="s">
        <v>83</v>
      </c>
    </row>
    <row r="4" spans="1:21" ht="14.25" thickBot="1" x14ac:dyDescent="0.2">
      <c r="A4">
        <f>SUM(A5:A47)</f>
        <v>62</v>
      </c>
    </row>
    <row r="5" spans="1:21" x14ac:dyDescent="0.15">
      <c r="A5" s="2"/>
      <c r="G5" s="5"/>
      <c r="H5" s="5"/>
      <c r="J5" t="str">
        <f t="shared" ref="J5:J39" si="0">IF(AND(ISBLANK(D5),ISBLANK(E5)),"",D5+LEN(E5))</f>
        <v/>
      </c>
      <c r="K5">
        <f>A5</f>
        <v>0</v>
      </c>
    </row>
    <row r="6" spans="1:21" x14ac:dyDescent="0.15">
      <c r="A6" s="3"/>
      <c r="B6" t="s">
        <v>295</v>
      </c>
      <c r="C6" t="s">
        <v>82</v>
      </c>
      <c r="D6">
        <v>0</v>
      </c>
      <c r="F6" t="s">
        <v>104</v>
      </c>
      <c r="G6" s="5" t="s">
        <v>237</v>
      </c>
      <c r="H6" s="5" t="s">
        <v>0</v>
      </c>
      <c r="J6">
        <f t="shared" si="0"/>
        <v>0</v>
      </c>
      <c r="K6">
        <f t="shared" ref="K6:K39" si="1">A6</f>
        <v>0</v>
      </c>
    </row>
    <row r="7" spans="1:21" x14ac:dyDescent="0.15">
      <c r="A7" s="3"/>
      <c r="G7" s="5"/>
      <c r="H7" s="5"/>
      <c r="J7" t="str">
        <f t="shared" si="0"/>
        <v/>
      </c>
      <c r="K7">
        <f t="shared" si="1"/>
        <v>0</v>
      </c>
    </row>
    <row r="8" spans="1:21" x14ac:dyDescent="0.15">
      <c r="A8" s="3">
        <v>4</v>
      </c>
      <c r="B8" t="s">
        <v>414</v>
      </c>
      <c r="C8" t="s">
        <v>82</v>
      </c>
      <c r="D8">
        <v>1</v>
      </c>
      <c r="F8" t="s">
        <v>104</v>
      </c>
      <c r="G8" s="5" t="s">
        <v>415</v>
      </c>
      <c r="H8" s="5"/>
      <c r="J8">
        <f t="shared" si="0"/>
        <v>1</v>
      </c>
      <c r="K8">
        <f t="shared" si="1"/>
        <v>4</v>
      </c>
    </row>
    <row r="9" spans="1:21" x14ac:dyDescent="0.15">
      <c r="A9" s="3"/>
      <c r="B9" t="s">
        <v>303</v>
      </c>
      <c r="C9" t="s">
        <v>82</v>
      </c>
      <c r="D9">
        <v>1</v>
      </c>
      <c r="E9" t="s">
        <v>304</v>
      </c>
      <c r="F9" t="s">
        <v>305</v>
      </c>
      <c r="G9" s="5" t="s">
        <v>306</v>
      </c>
      <c r="H9" s="5"/>
      <c r="J9">
        <f t="shared" si="0"/>
        <v>2</v>
      </c>
      <c r="K9">
        <f t="shared" si="1"/>
        <v>0</v>
      </c>
    </row>
    <row r="10" spans="1:21" x14ac:dyDescent="0.15">
      <c r="A10" s="3"/>
      <c r="G10" s="5"/>
      <c r="H10" s="5"/>
      <c r="J10" t="str">
        <f t="shared" si="0"/>
        <v/>
      </c>
      <c r="K10">
        <f t="shared" si="1"/>
        <v>0</v>
      </c>
    </row>
    <row r="11" spans="1:21" x14ac:dyDescent="0.15">
      <c r="A11" s="3"/>
      <c r="G11" s="5"/>
      <c r="H11" s="5"/>
      <c r="J11" t="str">
        <f t="shared" si="0"/>
        <v/>
      </c>
      <c r="K11">
        <f t="shared" si="1"/>
        <v>0</v>
      </c>
    </row>
    <row r="12" spans="1:21" x14ac:dyDescent="0.15">
      <c r="A12" s="3">
        <v>4</v>
      </c>
      <c r="B12" t="s">
        <v>300</v>
      </c>
      <c r="C12" t="s">
        <v>82</v>
      </c>
      <c r="D12">
        <v>3</v>
      </c>
      <c r="F12" t="s">
        <v>104</v>
      </c>
      <c r="G12" s="5" t="s">
        <v>301</v>
      </c>
      <c r="H12" s="5" t="s">
        <v>302</v>
      </c>
      <c r="J12">
        <f t="shared" si="0"/>
        <v>3</v>
      </c>
      <c r="K12">
        <f t="shared" si="1"/>
        <v>4</v>
      </c>
    </row>
    <row r="13" spans="1:21" x14ac:dyDescent="0.15">
      <c r="A13" s="3"/>
      <c r="G13" s="5"/>
      <c r="H13" s="5"/>
      <c r="J13" t="str">
        <f t="shared" si="0"/>
        <v/>
      </c>
      <c r="K13">
        <f t="shared" si="1"/>
        <v>0</v>
      </c>
    </row>
    <row r="14" spans="1:21" x14ac:dyDescent="0.15">
      <c r="A14" s="3"/>
      <c r="G14" s="5"/>
      <c r="H14" s="5"/>
      <c r="J14" t="str">
        <f t="shared" si="0"/>
        <v/>
      </c>
      <c r="K14">
        <f t="shared" si="1"/>
        <v>0</v>
      </c>
    </row>
    <row r="15" spans="1:21" x14ac:dyDescent="0.15">
      <c r="A15" s="3">
        <v>4</v>
      </c>
      <c r="B15" t="s">
        <v>317</v>
      </c>
      <c r="C15" t="s">
        <v>206</v>
      </c>
      <c r="D15">
        <v>5</v>
      </c>
      <c r="E15" t="s">
        <v>311</v>
      </c>
      <c r="F15" t="s">
        <v>104</v>
      </c>
      <c r="G15" s="5" t="s">
        <v>318</v>
      </c>
      <c r="H15" t="s">
        <v>319</v>
      </c>
      <c r="J15">
        <f t="shared" si="0"/>
        <v>7</v>
      </c>
      <c r="K15">
        <f t="shared" si="1"/>
        <v>4</v>
      </c>
    </row>
    <row r="16" spans="1:21" x14ac:dyDescent="0.15">
      <c r="A16" s="3"/>
      <c r="G16" s="5"/>
      <c r="H16" s="5"/>
      <c r="J16" t="str">
        <f t="shared" si="0"/>
        <v/>
      </c>
      <c r="K16">
        <f t="shared" si="1"/>
        <v>0</v>
      </c>
    </row>
    <row r="17" spans="1:11" x14ac:dyDescent="0.15">
      <c r="A17" s="3">
        <v>4</v>
      </c>
      <c r="B17" t="s">
        <v>70</v>
      </c>
      <c r="D17">
        <v>2</v>
      </c>
      <c r="F17" t="s">
        <v>28</v>
      </c>
      <c r="G17" s="5" t="s">
        <v>227</v>
      </c>
      <c r="H17" s="5" t="s">
        <v>22</v>
      </c>
      <c r="I17" s="1" t="s">
        <v>0</v>
      </c>
      <c r="J17">
        <f t="shared" si="0"/>
        <v>2</v>
      </c>
      <c r="K17">
        <f t="shared" si="1"/>
        <v>4</v>
      </c>
    </row>
    <row r="18" spans="1:11" x14ac:dyDescent="0.15">
      <c r="A18" s="3">
        <v>3</v>
      </c>
      <c r="B18" t="s">
        <v>40</v>
      </c>
      <c r="D18">
        <v>3</v>
      </c>
      <c r="F18" t="s">
        <v>28</v>
      </c>
      <c r="G18" s="5" t="s">
        <v>52</v>
      </c>
      <c r="H18" s="5" t="s">
        <v>22</v>
      </c>
      <c r="I18" s="1" t="s">
        <v>413</v>
      </c>
      <c r="J18">
        <f t="shared" si="0"/>
        <v>3</v>
      </c>
      <c r="K18">
        <f t="shared" si="1"/>
        <v>3</v>
      </c>
    </row>
    <row r="19" spans="1:11" x14ac:dyDescent="0.15">
      <c r="A19" s="3"/>
      <c r="G19" s="5"/>
      <c r="H19" s="5"/>
      <c r="J19" t="str">
        <f t="shared" si="0"/>
        <v/>
      </c>
      <c r="K19">
        <f t="shared" si="1"/>
        <v>0</v>
      </c>
    </row>
    <row r="20" spans="1:11" x14ac:dyDescent="0.15">
      <c r="A20" s="3"/>
      <c r="B20" t="s">
        <v>286</v>
      </c>
      <c r="C20" t="s">
        <v>82</v>
      </c>
      <c r="D20">
        <v>1</v>
      </c>
      <c r="F20" t="s">
        <v>287</v>
      </c>
      <c r="G20" s="5"/>
      <c r="H20" s="5" t="s">
        <v>288</v>
      </c>
      <c r="J20">
        <f t="shared" si="0"/>
        <v>1</v>
      </c>
      <c r="K20">
        <f t="shared" si="1"/>
        <v>0</v>
      </c>
    </row>
    <row r="21" spans="1:11" x14ac:dyDescent="0.15">
      <c r="A21" s="3"/>
      <c r="G21" s="5"/>
      <c r="H21" s="5"/>
      <c r="J21" t="str">
        <f t="shared" si="0"/>
        <v/>
      </c>
      <c r="K21">
        <f t="shared" si="1"/>
        <v>0</v>
      </c>
    </row>
    <row r="22" spans="1:11" x14ac:dyDescent="0.15">
      <c r="A22" s="3"/>
      <c r="B22" t="s">
        <v>270</v>
      </c>
      <c r="C22" t="s">
        <v>82</v>
      </c>
      <c r="D22">
        <v>2</v>
      </c>
      <c r="F22" t="s">
        <v>291</v>
      </c>
      <c r="G22" s="5"/>
      <c r="H22" s="5" t="s">
        <v>292</v>
      </c>
      <c r="J22">
        <f t="shared" si="0"/>
        <v>2</v>
      </c>
      <c r="K22">
        <f t="shared" si="1"/>
        <v>0</v>
      </c>
    </row>
    <row r="23" spans="1:11" x14ac:dyDescent="0.15">
      <c r="A23" s="3"/>
      <c r="G23" s="5"/>
      <c r="J23" t="str">
        <f t="shared" si="0"/>
        <v/>
      </c>
      <c r="K23">
        <f t="shared" si="1"/>
        <v>0</v>
      </c>
    </row>
    <row r="24" spans="1:11" x14ac:dyDescent="0.15">
      <c r="A24" s="3">
        <v>4</v>
      </c>
      <c r="B24" t="s">
        <v>314</v>
      </c>
      <c r="C24" t="s">
        <v>82</v>
      </c>
      <c r="D24">
        <v>2</v>
      </c>
      <c r="E24" t="s">
        <v>315</v>
      </c>
      <c r="F24" t="s">
        <v>155</v>
      </c>
      <c r="G24" s="5"/>
      <c r="H24" t="s">
        <v>316</v>
      </c>
      <c r="J24">
        <f t="shared" si="0"/>
        <v>3</v>
      </c>
      <c r="K24">
        <f t="shared" si="1"/>
        <v>4</v>
      </c>
    </row>
    <row r="25" spans="1:11" x14ac:dyDescent="0.15">
      <c r="A25" s="3">
        <v>4</v>
      </c>
      <c r="B25" t="s">
        <v>312</v>
      </c>
      <c r="C25" t="s">
        <v>82</v>
      </c>
      <c r="D25">
        <v>1</v>
      </c>
      <c r="E25" t="s">
        <v>311</v>
      </c>
      <c r="F25" t="s">
        <v>155</v>
      </c>
      <c r="H25" t="s">
        <v>313</v>
      </c>
      <c r="J25">
        <f t="shared" si="0"/>
        <v>3</v>
      </c>
      <c r="K25">
        <f t="shared" si="1"/>
        <v>4</v>
      </c>
    </row>
    <row r="26" spans="1:11" x14ac:dyDescent="0.15">
      <c r="A26" s="3"/>
      <c r="B26" t="s">
        <v>293</v>
      </c>
      <c r="C26" t="s">
        <v>82</v>
      </c>
      <c r="D26">
        <v>3</v>
      </c>
      <c r="F26" t="s">
        <v>28</v>
      </c>
      <c r="H26" t="s">
        <v>294</v>
      </c>
      <c r="J26">
        <f t="shared" si="0"/>
        <v>3</v>
      </c>
      <c r="K26">
        <f t="shared" si="1"/>
        <v>0</v>
      </c>
    </row>
    <row r="27" spans="1:11" x14ac:dyDescent="0.15">
      <c r="A27" s="3">
        <v>4</v>
      </c>
      <c r="B27" t="s">
        <v>409</v>
      </c>
      <c r="C27" t="s">
        <v>82</v>
      </c>
      <c r="D27">
        <v>1</v>
      </c>
      <c r="E27" t="s">
        <v>410</v>
      </c>
      <c r="F27" t="s">
        <v>411</v>
      </c>
      <c r="H27" t="s">
        <v>412</v>
      </c>
    </row>
    <row r="28" spans="1:11" x14ac:dyDescent="0.15">
      <c r="A28" s="3"/>
      <c r="J28" t="str">
        <f t="shared" si="0"/>
        <v/>
      </c>
      <c r="K28">
        <f t="shared" si="1"/>
        <v>0</v>
      </c>
    </row>
    <row r="29" spans="1:11" x14ac:dyDescent="0.15">
      <c r="A29" s="3"/>
      <c r="B29" t="s">
        <v>320</v>
      </c>
      <c r="C29" t="s">
        <v>206</v>
      </c>
      <c r="D29">
        <v>3</v>
      </c>
      <c r="E29" t="s">
        <v>315</v>
      </c>
      <c r="F29" t="s">
        <v>155</v>
      </c>
      <c r="H29" t="s">
        <v>321</v>
      </c>
      <c r="J29">
        <f t="shared" si="0"/>
        <v>4</v>
      </c>
      <c r="K29">
        <f t="shared" si="1"/>
        <v>0</v>
      </c>
    </row>
    <row r="30" spans="1:11" x14ac:dyDescent="0.15">
      <c r="A30" s="3">
        <v>2</v>
      </c>
      <c r="B30" t="s">
        <v>307</v>
      </c>
      <c r="C30" t="s">
        <v>82</v>
      </c>
      <c r="D30">
        <v>2</v>
      </c>
      <c r="E30" t="s">
        <v>297</v>
      </c>
      <c r="F30" t="s">
        <v>200</v>
      </c>
      <c r="H30" t="s">
        <v>308</v>
      </c>
      <c r="J30">
        <f t="shared" si="0"/>
        <v>4</v>
      </c>
      <c r="K30">
        <f t="shared" si="1"/>
        <v>2</v>
      </c>
    </row>
    <row r="31" spans="1:11" x14ac:dyDescent="0.15">
      <c r="A31" s="3"/>
      <c r="J31" t="str">
        <f t="shared" si="0"/>
        <v/>
      </c>
      <c r="K31">
        <f t="shared" si="1"/>
        <v>0</v>
      </c>
    </row>
    <row r="32" spans="1:11" x14ac:dyDescent="0.15">
      <c r="A32" s="3">
        <v>2</v>
      </c>
      <c r="B32" t="s">
        <v>310</v>
      </c>
      <c r="C32" t="s">
        <v>82</v>
      </c>
      <c r="D32">
        <v>3</v>
      </c>
      <c r="E32" t="s">
        <v>311</v>
      </c>
      <c r="F32" t="s">
        <v>88</v>
      </c>
      <c r="J32">
        <f t="shared" si="0"/>
        <v>5</v>
      </c>
      <c r="K32">
        <f t="shared" si="1"/>
        <v>2</v>
      </c>
    </row>
    <row r="33" spans="1:11" x14ac:dyDescent="0.15">
      <c r="A33" s="3">
        <v>2</v>
      </c>
      <c r="B33" t="s">
        <v>298</v>
      </c>
      <c r="C33" t="s">
        <v>82</v>
      </c>
      <c r="D33">
        <v>3</v>
      </c>
      <c r="E33" t="s">
        <v>297</v>
      </c>
      <c r="F33" t="s">
        <v>88</v>
      </c>
      <c r="H33" t="s">
        <v>299</v>
      </c>
      <c r="J33">
        <f t="shared" si="0"/>
        <v>5</v>
      </c>
      <c r="K33">
        <f t="shared" si="1"/>
        <v>2</v>
      </c>
    </row>
    <row r="34" spans="1:11" x14ac:dyDescent="0.15">
      <c r="A34" s="3"/>
      <c r="B34" t="s">
        <v>289</v>
      </c>
      <c r="C34" t="s">
        <v>82</v>
      </c>
      <c r="D34">
        <v>5</v>
      </c>
      <c r="F34" t="s">
        <v>287</v>
      </c>
      <c r="G34" s="5"/>
      <c r="H34" t="s">
        <v>290</v>
      </c>
      <c r="J34">
        <f t="shared" si="0"/>
        <v>5</v>
      </c>
      <c r="K34">
        <f t="shared" si="1"/>
        <v>0</v>
      </c>
    </row>
    <row r="35" spans="1:11" x14ac:dyDescent="0.15">
      <c r="A35" s="3"/>
      <c r="G35" s="5"/>
      <c r="J35" t="str">
        <f t="shared" si="0"/>
        <v/>
      </c>
      <c r="K35">
        <f t="shared" si="1"/>
        <v>0</v>
      </c>
    </row>
    <row r="36" spans="1:11" x14ac:dyDescent="0.15">
      <c r="A36" s="3"/>
      <c r="G36" s="5"/>
      <c r="J36" t="str">
        <f t="shared" si="0"/>
        <v/>
      </c>
      <c r="K36">
        <f t="shared" si="1"/>
        <v>0</v>
      </c>
    </row>
    <row r="37" spans="1:11" x14ac:dyDescent="0.15">
      <c r="A37" s="3"/>
      <c r="G37" s="5"/>
      <c r="J37" t="str">
        <f t="shared" si="0"/>
        <v/>
      </c>
      <c r="K37">
        <f t="shared" si="1"/>
        <v>0</v>
      </c>
    </row>
    <row r="38" spans="1:11" x14ac:dyDescent="0.15">
      <c r="A38" s="3">
        <v>1</v>
      </c>
      <c r="B38" t="s">
        <v>499</v>
      </c>
      <c r="C38" t="s">
        <v>82</v>
      </c>
      <c r="D38">
        <v>4</v>
      </c>
      <c r="E38" t="s">
        <v>297</v>
      </c>
      <c r="F38" t="s">
        <v>200</v>
      </c>
      <c r="G38" s="5"/>
      <c r="H38" t="s">
        <v>309</v>
      </c>
      <c r="J38">
        <f t="shared" si="0"/>
        <v>6</v>
      </c>
      <c r="K38">
        <f t="shared" si="1"/>
        <v>1</v>
      </c>
    </row>
    <row r="39" spans="1:11" ht="14.25" thickBot="1" x14ac:dyDescent="0.2">
      <c r="A39" s="3"/>
      <c r="J39" t="str">
        <f t="shared" si="0"/>
        <v/>
      </c>
      <c r="K39">
        <f t="shared" si="1"/>
        <v>0</v>
      </c>
    </row>
    <row r="40" spans="1:11" x14ac:dyDescent="0.15">
      <c r="A40" s="2"/>
    </row>
    <row r="41" spans="1:11" x14ac:dyDescent="0.15">
      <c r="A41" s="3"/>
    </row>
    <row r="42" spans="1:11" x14ac:dyDescent="0.15">
      <c r="A42" s="3">
        <v>24</v>
      </c>
    </row>
    <row r="43" spans="1:11" x14ac:dyDescent="0.15">
      <c r="A43" s="3"/>
    </row>
    <row r="44" spans="1:11" x14ac:dyDescent="0.15">
      <c r="A44" s="3"/>
    </row>
    <row r="45" spans="1:11" x14ac:dyDescent="0.15">
      <c r="A45" s="3"/>
    </row>
    <row r="46" spans="1:11" x14ac:dyDescent="0.15">
      <c r="A46" s="3"/>
    </row>
    <row r="47" spans="1:11" ht="14.25" thickBot="1" x14ac:dyDescent="0.2">
      <c r="A47" s="4"/>
    </row>
    <row r="48" spans="1:11" x14ac:dyDescent="0.15">
      <c r="A48">
        <f>SUM(A40:A47)</f>
        <v>24</v>
      </c>
    </row>
    <row r="52" spans="1:23" ht="14.25" thickBot="1" x14ac:dyDescent="0.2"/>
    <row r="53" spans="1:23" x14ac:dyDescent="0.15">
      <c r="A53" s="2"/>
    </row>
    <row r="54" spans="1:23" x14ac:dyDescent="0.15">
      <c r="A54" s="3"/>
      <c r="G54" s="5"/>
    </row>
    <row r="55" spans="1:23" x14ac:dyDescent="0.15">
      <c r="A55" s="3"/>
      <c r="B55" t="s">
        <v>228</v>
      </c>
      <c r="C55" t="s">
        <v>99</v>
      </c>
      <c r="D55">
        <v>2</v>
      </c>
      <c r="E55" t="s">
        <v>118</v>
      </c>
      <c r="F55" t="s">
        <v>155</v>
      </c>
      <c r="G55" s="5"/>
      <c r="H55" s="5" t="s">
        <v>229</v>
      </c>
      <c r="I55" s="1" t="s">
        <v>230</v>
      </c>
    </row>
    <row r="56" spans="1:23" x14ac:dyDescent="0.15">
      <c r="A56" s="3"/>
      <c r="G56" s="5"/>
    </row>
    <row r="57" spans="1:23" x14ac:dyDescent="0.15">
      <c r="A57" s="3"/>
      <c r="G57" s="5"/>
    </row>
    <row r="58" spans="1:23" x14ac:dyDescent="0.15">
      <c r="A58" s="3"/>
      <c r="G58" s="5"/>
    </row>
    <row r="59" spans="1:23" x14ac:dyDescent="0.15">
      <c r="A59" s="3"/>
    </row>
    <row r="60" spans="1:23" x14ac:dyDescent="0.15">
      <c r="A60" s="3"/>
    </row>
    <row r="61" spans="1:23" x14ac:dyDescent="0.15">
      <c r="A61" s="3"/>
    </row>
    <row r="62" spans="1:23" ht="14.25" thickBot="1" x14ac:dyDescent="0.2">
      <c r="A62" s="3"/>
    </row>
    <row r="63" spans="1:23" ht="14.25" thickBot="1" x14ac:dyDescent="0.2">
      <c r="A63" s="6">
        <f>SUM(A53:A62)</f>
        <v>0</v>
      </c>
      <c r="P63" s="7">
        <v>0</v>
      </c>
      <c r="Q63" s="8">
        <v>1</v>
      </c>
      <c r="R63" s="8">
        <v>2</v>
      </c>
      <c r="S63" s="8">
        <v>3</v>
      </c>
      <c r="T63" s="8">
        <v>4</v>
      </c>
      <c r="U63" s="8">
        <v>5</v>
      </c>
      <c r="V63" s="8">
        <v>6</v>
      </c>
      <c r="W63" s="9">
        <v>7</v>
      </c>
    </row>
    <row r="64" spans="1:23" ht="14.25" thickBot="1" x14ac:dyDescent="0.2">
      <c r="P64" s="10">
        <f t="shared" ref="P64:V64" si="2">SUMIF($J5:$J39,P63,$A5:$A39)</f>
        <v>0</v>
      </c>
      <c r="Q64" s="11">
        <f t="shared" si="2"/>
        <v>4</v>
      </c>
      <c r="R64" s="11">
        <f t="shared" si="2"/>
        <v>4</v>
      </c>
      <c r="S64" s="11">
        <f t="shared" si="2"/>
        <v>15</v>
      </c>
      <c r="T64" s="11">
        <f t="shared" si="2"/>
        <v>2</v>
      </c>
      <c r="U64" s="11">
        <f t="shared" si="2"/>
        <v>4</v>
      </c>
      <c r="V64" s="11">
        <f t="shared" si="2"/>
        <v>1</v>
      </c>
      <c r="W64" s="12">
        <f>SUMIF($J5:$J39,"&gt;6",$A5:$A39)</f>
        <v>4</v>
      </c>
    </row>
    <row r="66" spans="16:22" ht="14.25" thickBot="1" x14ac:dyDescent="0.2"/>
    <row r="67" spans="16:22" x14ac:dyDescent="0.15">
      <c r="P67" s="7" t="s">
        <v>3</v>
      </c>
      <c r="Q67" s="8" t="s">
        <v>6</v>
      </c>
      <c r="R67" s="8" t="s">
        <v>5</v>
      </c>
      <c r="S67" s="8" t="s">
        <v>7</v>
      </c>
      <c r="T67" s="8" t="s">
        <v>8</v>
      </c>
      <c r="U67" s="8" t="s">
        <v>10</v>
      </c>
      <c r="V67" s="9" t="s">
        <v>9</v>
      </c>
    </row>
    <row r="68" spans="16:22" ht="14.25" thickBot="1" x14ac:dyDescent="0.2">
      <c r="P68" s="10">
        <f t="shared" ref="P68:U68" si="3">SUMIF($F5:$F39,P67,$A5:$A39)</f>
        <v>12</v>
      </c>
      <c r="Q68" s="11">
        <f t="shared" si="3"/>
        <v>8</v>
      </c>
      <c r="R68" s="11">
        <f t="shared" si="3"/>
        <v>4</v>
      </c>
      <c r="S68" s="11">
        <f t="shared" si="3"/>
        <v>4</v>
      </c>
      <c r="T68" s="11">
        <f t="shared" si="3"/>
        <v>7</v>
      </c>
      <c r="U68" s="11">
        <f t="shared" si="3"/>
        <v>3</v>
      </c>
      <c r="V68" s="12">
        <f>A48</f>
        <v>24</v>
      </c>
    </row>
  </sheetData>
  <phoneticPr fontId="1"/>
  <dataValidations count="1">
    <dataValidation type="list" allowBlank="1" showInputMessage="1" showErrorMessage="1" sqref="C5:C39">
      <formula1>$P$1:$U$1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1:W68"/>
  <sheetViews>
    <sheetView workbookViewId="0">
      <selection activeCell="H17" sqref="H17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2.5" bestFit="1" customWidth="1"/>
    <col min="5" max="5" width="4" bestFit="1" customWidth="1"/>
    <col min="6" max="6" width="2" bestFit="1" customWidth="1"/>
    <col min="7" max="7" width="4.875" bestFit="1" customWidth="1"/>
    <col min="8" max="8" width="12.625" customWidth="1"/>
    <col min="9" max="9" width="14.875" style="1" customWidth="1"/>
    <col min="10" max="10" width="3.5" bestFit="1" customWidth="1"/>
    <col min="11" max="11" width="2.5" bestFit="1" customWidth="1"/>
    <col min="12" max="12" width="3.5" bestFit="1" customWidth="1"/>
    <col min="13" max="13" width="2.5" bestFit="1" customWidth="1"/>
    <col min="14" max="14" width="3.5" bestFit="1" customWidth="1"/>
    <col min="15" max="17" width="3.75" customWidth="1"/>
    <col min="18" max="18" width="3.625" customWidth="1"/>
    <col min="19" max="22" width="3.75" customWidth="1"/>
    <col min="23" max="23" width="3.625" customWidth="1"/>
  </cols>
  <sheetData>
    <row r="1" spans="1:21" x14ac:dyDescent="0.15">
      <c r="P1" t="s">
        <v>202</v>
      </c>
      <c r="Q1" t="s">
        <v>145</v>
      </c>
      <c r="R1" t="s">
        <v>255</v>
      </c>
      <c r="S1" t="s">
        <v>97</v>
      </c>
      <c r="T1" t="s">
        <v>99</v>
      </c>
      <c r="U1" t="s">
        <v>83</v>
      </c>
    </row>
    <row r="4" spans="1:21" ht="14.25" thickBot="1" x14ac:dyDescent="0.2">
      <c r="A4">
        <f>SUM(A5:A47)</f>
        <v>25</v>
      </c>
    </row>
    <row r="5" spans="1:21" x14ac:dyDescent="0.15">
      <c r="A5" s="2"/>
      <c r="G5" s="5"/>
      <c r="H5" s="5"/>
      <c r="J5" t="str">
        <f t="shared" ref="J5:J39" si="0">IF(AND(ISBLANK(D5),ISBLANK(E5)),"",D5+LEN(E5))</f>
        <v/>
      </c>
      <c r="K5">
        <f>A5</f>
        <v>0</v>
      </c>
    </row>
    <row r="6" spans="1:21" x14ac:dyDescent="0.15">
      <c r="A6" s="3"/>
      <c r="G6" s="5"/>
      <c r="H6" s="5"/>
      <c r="J6" t="str">
        <f t="shared" si="0"/>
        <v/>
      </c>
      <c r="K6">
        <f t="shared" ref="K6:K39" si="1">A6</f>
        <v>0</v>
      </c>
    </row>
    <row r="7" spans="1:21" x14ac:dyDescent="0.15">
      <c r="A7" s="3"/>
      <c r="G7" s="5"/>
      <c r="H7" s="5"/>
      <c r="J7" t="str">
        <f t="shared" si="0"/>
        <v/>
      </c>
      <c r="K7">
        <f t="shared" si="1"/>
        <v>0</v>
      </c>
    </row>
    <row r="8" spans="1:21" x14ac:dyDescent="0.15">
      <c r="A8" s="3"/>
      <c r="G8" s="5"/>
      <c r="H8" s="5"/>
      <c r="J8" t="str">
        <f t="shared" si="0"/>
        <v/>
      </c>
      <c r="K8">
        <f t="shared" si="1"/>
        <v>0</v>
      </c>
    </row>
    <row r="9" spans="1:21" x14ac:dyDescent="0.15">
      <c r="A9" s="3"/>
      <c r="G9" s="5"/>
      <c r="H9" s="5"/>
      <c r="J9" t="str">
        <f t="shared" si="0"/>
        <v/>
      </c>
      <c r="K9">
        <f t="shared" si="1"/>
        <v>0</v>
      </c>
    </row>
    <row r="10" spans="1:21" x14ac:dyDescent="0.15">
      <c r="A10" s="3"/>
      <c r="G10" s="5"/>
      <c r="H10" s="5"/>
      <c r="J10" t="str">
        <f t="shared" si="0"/>
        <v/>
      </c>
      <c r="K10">
        <f t="shared" si="1"/>
        <v>0</v>
      </c>
    </row>
    <row r="11" spans="1:21" x14ac:dyDescent="0.15">
      <c r="A11" s="3"/>
      <c r="G11" s="5"/>
      <c r="H11" s="5"/>
      <c r="J11" t="str">
        <f t="shared" si="0"/>
        <v/>
      </c>
      <c r="K11">
        <f t="shared" si="1"/>
        <v>0</v>
      </c>
    </row>
    <row r="12" spans="1:21" x14ac:dyDescent="0.15">
      <c r="A12" s="3"/>
      <c r="G12" s="5"/>
      <c r="H12" s="5"/>
      <c r="J12" t="str">
        <f t="shared" si="0"/>
        <v/>
      </c>
      <c r="K12">
        <f t="shared" si="1"/>
        <v>0</v>
      </c>
    </row>
    <row r="13" spans="1:21" x14ac:dyDescent="0.15">
      <c r="A13" s="3"/>
      <c r="B13" t="s">
        <v>497</v>
      </c>
      <c r="C13" t="s">
        <v>338</v>
      </c>
      <c r="D13">
        <v>1</v>
      </c>
      <c r="E13" t="s">
        <v>297</v>
      </c>
      <c r="G13" s="5"/>
      <c r="H13" s="5"/>
      <c r="J13">
        <f t="shared" si="0"/>
        <v>3</v>
      </c>
      <c r="K13">
        <f t="shared" si="1"/>
        <v>0</v>
      </c>
    </row>
    <row r="14" spans="1:21" x14ac:dyDescent="0.15">
      <c r="A14" s="3"/>
      <c r="G14" s="5"/>
      <c r="H14" s="5"/>
      <c r="J14" t="str">
        <f t="shared" si="0"/>
        <v/>
      </c>
      <c r="K14">
        <f t="shared" si="1"/>
        <v>0</v>
      </c>
    </row>
    <row r="15" spans="1:21" x14ac:dyDescent="0.15">
      <c r="A15" s="3"/>
      <c r="G15" s="5"/>
      <c r="J15" t="str">
        <f t="shared" si="0"/>
        <v/>
      </c>
      <c r="K15">
        <f t="shared" si="1"/>
        <v>0</v>
      </c>
    </row>
    <row r="16" spans="1:21" x14ac:dyDescent="0.15">
      <c r="A16" s="3"/>
      <c r="G16" s="5"/>
      <c r="H16" s="5"/>
      <c r="J16" t="str">
        <f t="shared" si="0"/>
        <v/>
      </c>
      <c r="K16">
        <f t="shared" si="1"/>
        <v>0</v>
      </c>
    </row>
    <row r="17" spans="1:11" x14ac:dyDescent="0.15">
      <c r="A17" s="3"/>
      <c r="G17" s="5"/>
      <c r="H17" s="5"/>
      <c r="J17" t="str">
        <f t="shared" si="0"/>
        <v/>
      </c>
      <c r="K17">
        <f t="shared" si="1"/>
        <v>0</v>
      </c>
    </row>
    <row r="18" spans="1:11" x14ac:dyDescent="0.15">
      <c r="A18" s="3"/>
      <c r="B18" t="s">
        <v>498</v>
      </c>
      <c r="C18" t="s">
        <v>96</v>
      </c>
      <c r="D18">
        <v>2</v>
      </c>
      <c r="E18" t="s">
        <v>297</v>
      </c>
      <c r="G18" s="5"/>
      <c r="H18" s="5"/>
      <c r="J18">
        <f t="shared" si="0"/>
        <v>4</v>
      </c>
      <c r="K18">
        <f t="shared" si="1"/>
        <v>0</v>
      </c>
    </row>
    <row r="19" spans="1:11" x14ac:dyDescent="0.15">
      <c r="A19" s="3"/>
      <c r="G19" s="5"/>
      <c r="H19" s="5"/>
      <c r="J19" t="str">
        <f t="shared" si="0"/>
        <v/>
      </c>
      <c r="K19">
        <f t="shared" si="1"/>
        <v>0</v>
      </c>
    </row>
    <row r="20" spans="1:11" x14ac:dyDescent="0.15">
      <c r="A20" s="3"/>
      <c r="G20" s="5"/>
      <c r="H20" s="5"/>
      <c r="J20" t="str">
        <f t="shared" si="0"/>
        <v/>
      </c>
      <c r="K20">
        <f t="shared" si="1"/>
        <v>0</v>
      </c>
    </row>
    <row r="21" spans="1:11" x14ac:dyDescent="0.15">
      <c r="A21" s="3"/>
      <c r="G21" s="5"/>
      <c r="H21" s="5"/>
      <c r="J21" t="str">
        <f t="shared" si="0"/>
        <v/>
      </c>
      <c r="K21">
        <f t="shared" si="1"/>
        <v>0</v>
      </c>
    </row>
    <row r="22" spans="1:11" x14ac:dyDescent="0.15">
      <c r="A22" s="3"/>
      <c r="G22" s="5"/>
      <c r="H22" s="5"/>
      <c r="J22" t="str">
        <f t="shared" si="0"/>
        <v/>
      </c>
      <c r="K22">
        <f t="shared" si="1"/>
        <v>0</v>
      </c>
    </row>
    <row r="23" spans="1:11" x14ac:dyDescent="0.15">
      <c r="A23" s="3"/>
      <c r="G23" s="5"/>
      <c r="J23" t="str">
        <f t="shared" si="0"/>
        <v/>
      </c>
      <c r="K23">
        <f t="shared" si="1"/>
        <v>0</v>
      </c>
    </row>
    <row r="24" spans="1:11" x14ac:dyDescent="0.15">
      <c r="A24" s="3"/>
      <c r="G24" s="5"/>
      <c r="J24" t="str">
        <f t="shared" si="0"/>
        <v/>
      </c>
      <c r="K24">
        <f t="shared" si="1"/>
        <v>0</v>
      </c>
    </row>
    <row r="25" spans="1:11" x14ac:dyDescent="0.15">
      <c r="A25" s="3"/>
      <c r="J25" t="str">
        <f t="shared" si="0"/>
        <v/>
      </c>
      <c r="K25">
        <f t="shared" si="1"/>
        <v>0</v>
      </c>
    </row>
    <row r="26" spans="1:11" x14ac:dyDescent="0.15">
      <c r="A26" s="3"/>
      <c r="J26" t="str">
        <f t="shared" si="0"/>
        <v/>
      </c>
      <c r="K26">
        <f t="shared" si="1"/>
        <v>0</v>
      </c>
    </row>
    <row r="27" spans="1:11" x14ac:dyDescent="0.15">
      <c r="A27" s="3"/>
    </row>
    <row r="28" spans="1:11" x14ac:dyDescent="0.15">
      <c r="A28" s="3"/>
      <c r="J28" t="str">
        <f t="shared" si="0"/>
        <v/>
      </c>
      <c r="K28">
        <f t="shared" si="1"/>
        <v>0</v>
      </c>
    </row>
    <row r="29" spans="1:11" x14ac:dyDescent="0.15">
      <c r="A29" s="3"/>
      <c r="J29" t="str">
        <f t="shared" si="0"/>
        <v/>
      </c>
      <c r="K29">
        <f t="shared" si="1"/>
        <v>0</v>
      </c>
    </row>
    <row r="30" spans="1:11" x14ac:dyDescent="0.15">
      <c r="A30" s="3"/>
      <c r="J30" t="str">
        <f t="shared" si="0"/>
        <v/>
      </c>
      <c r="K30">
        <f t="shared" si="1"/>
        <v>0</v>
      </c>
    </row>
    <row r="31" spans="1:11" x14ac:dyDescent="0.15">
      <c r="A31" s="3"/>
      <c r="J31" t="str">
        <f t="shared" si="0"/>
        <v/>
      </c>
      <c r="K31">
        <f t="shared" si="1"/>
        <v>0</v>
      </c>
    </row>
    <row r="32" spans="1:11" x14ac:dyDescent="0.15">
      <c r="A32" s="3"/>
      <c r="J32" t="str">
        <f t="shared" si="0"/>
        <v/>
      </c>
      <c r="K32">
        <f t="shared" si="1"/>
        <v>0</v>
      </c>
    </row>
    <row r="33" spans="1:11" x14ac:dyDescent="0.15">
      <c r="A33" s="3"/>
      <c r="J33" t="str">
        <f t="shared" si="0"/>
        <v/>
      </c>
      <c r="K33">
        <f t="shared" si="1"/>
        <v>0</v>
      </c>
    </row>
    <row r="34" spans="1:11" x14ac:dyDescent="0.15">
      <c r="A34" s="3"/>
      <c r="G34" s="5"/>
      <c r="J34" t="str">
        <f t="shared" si="0"/>
        <v/>
      </c>
      <c r="K34">
        <f t="shared" si="1"/>
        <v>0</v>
      </c>
    </row>
    <row r="35" spans="1:11" x14ac:dyDescent="0.15">
      <c r="A35" s="3"/>
      <c r="G35" s="5"/>
      <c r="J35" t="str">
        <f t="shared" si="0"/>
        <v/>
      </c>
      <c r="K35">
        <f t="shared" si="1"/>
        <v>0</v>
      </c>
    </row>
    <row r="36" spans="1:11" x14ac:dyDescent="0.15">
      <c r="A36" s="3"/>
      <c r="G36" s="5"/>
      <c r="J36" t="str">
        <f t="shared" si="0"/>
        <v/>
      </c>
      <c r="K36">
        <f t="shared" si="1"/>
        <v>0</v>
      </c>
    </row>
    <row r="37" spans="1:11" x14ac:dyDescent="0.15">
      <c r="A37" s="3"/>
      <c r="G37" s="5"/>
      <c r="J37" t="str">
        <f t="shared" si="0"/>
        <v/>
      </c>
      <c r="K37">
        <f t="shared" si="1"/>
        <v>0</v>
      </c>
    </row>
    <row r="38" spans="1:11" x14ac:dyDescent="0.15">
      <c r="A38" s="3"/>
      <c r="G38" s="5"/>
      <c r="J38" t="str">
        <f t="shared" si="0"/>
        <v/>
      </c>
      <c r="K38">
        <f t="shared" si="1"/>
        <v>0</v>
      </c>
    </row>
    <row r="39" spans="1:11" ht="14.25" thickBot="1" x14ac:dyDescent="0.2">
      <c r="A39" s="3"/>
      <c r="J39" t="str">
        <f t="shared" si="0"/>
        <v/>
      </c>
      <c r="K39">
        <f t="shared" si="1"/>
        <v>0</v>
      </c>
    </row>
    <row r="40" spans="1:11" x14ac:dyDescent="0.15">
      <c r="A40" s="2"/>
    </row>
    <row r="41" spans="1:11" x14ac:dyDescent="0.15">
      <c r="A41" s="3"/>
    </row>
    <row r="42" spans="1:11" x14ac:dyDescent="0.15">
      <c r="A42" s="3">
        <v>25</v>
      </c>
    </row>
    <row r="43" spans="1:11" x14ac:dyDescent="0.15">
      <c r="A43" s="3"/>
    </row>
    <row r="44" spans="1:11" x14ac:dyDescent="0.15">
      <c r="A44" s="3"/>
    </row>
    <row r="45" spans="1:11" x14ac:dyDescent="0.15">
      <c r="A45" s="3"/>
    </row>
    <row r="46" spans="1:11" x14ac:dyDescent="0.15">
      <c r="A46" s="3"/>
    </row>
    <row r="47" spans="1:11" ht="14.25" thickBot="1" x14ac:dyDescent="0.2">
      <c r="A47" s="4"/>
    </row>
    <row r="48" spans="1:11" x14ac:dyDescent="0.15">
      <c r="A48">
        <f>SUM(A40:A47)</f>
        <v>25</v>
      </c>
    </row>
    <row r="52" spans="1:23" ht="14.25" thickBot="1" x14ac:dyDescent="0.2"/>
    <row r="53" spans="1:23" x14ac:dyDescent="0.15">
      <c r="A53" s="2"/>
    </row>
    <row r="54" spans="1:23" x14ac:dyDescent="0.15">
      <c r="A54" s="3"/>
      <c r="G54" s="5"/>
    </row>
    <row r="55" spans="1:23" x14ac:dyDescent="0.15">
      <c r="A55" s="3"/>
      <c r="B55" t="s">
        <v>228</v>
      </c>
      <c r="C55" t="s">
        <v>99</v>
      </c>
      <c r="D55">
        <v>2</v>
      </c>
      <c r="E55" t="s">
        <v>118</v>
      </c>
      <c r="F55" t="s">
        <v>155</v>
      </c>
      <c r="G55" s="5"/>
      <c r="H55" s="5" t="s">
        <v>229</v>
      </c>
      <c r="I55" s="1" t="s">
        <v>230</v>
      </c>
    </row>
    <row r="56" spans="1:23" x14ac:dyDescent="0.15">
      <c r="A56" s="3"/>
      <c r="G56" s="5"/>
    </row>
    <row r="57" spans="1:23" x14ac:dyDescent="0.15">
      <c r="A57" s="3"/>
      <c r="G57" s="5"/>
    </row>
    <row r="58" spans="1:23" x14ac:dyDescent="0.15">
      <c r="A58" s="3"/>
      <c r="G58" s="5"/>
    </row>
    <row r="59" spans="1:23" x14ac:dyDescent="0.15">
      <c r="A59" s="3"/>
    </row>
    <row r="60" spans="1:23" x14ac:dyDescent="0.15">
      <c r="A60" s="3"/>
    </row>
    <row r="61" spans="1:23" x14ac:dyDescent="0.15">
      <c r="A61" s="3"/>
    </row>
    <row r="62" spans="1:23" ht="14.25" thickBot="1" x14ac:dyDescent="0.2">
      <c r="A62" s="3"/>
    </row>
    <row r="63" spans="1:23" ht="14.25" thickBot="1" x14ac:dyDescent="0.2">
      <c r="A63" s="6">
        <f>SUM(A53:A62)</f>
        <v>0</v>
      </c>
      <c r="P63" s="7">
        <v>0</v>
      </c>
      <c r="Q63" s="8">
        <v>1</v>
      </c>
      <c r="R63" s="8">
        <v>2</v>
      </c>
      <c r="S63" s="8">
        <v>3</v>
      </c>
      <c r="T63" s="8">
        <v>4</v>
      </c>
      <c r="U63" s="8">
        <v>5</v>
      </c>
      <c r="V63" s="8">
        <v>6</v>
      </c>
      <c r="W63" s="9">
        <v>7</v>
      </c>
    </row>
    <row r="64" spans="1:23" ht="14.25" thickBot="1" x14ac:dyDescent="0.2">
      <c r="P64" s="10">
        <f t="shared" ref="P64:V64" si="2">SUMIF($J5:$J39,P63,$A5:$A39)</f>
        <v>0</v>
      </c>
      <c r="Q64" s="11">
        <f t="shared" si="2"/>
        <v>0</v>
      </c>
      <c r="R64" s="11">
        <f t="shared" si="2"/>
        <v>0</v>
      </c>
      <c r="S64" s="11">
        <f t="shared" si="2"/>
        <v>0</v>
      </c>
      <c r="T64" s="11">
        <f t="shared" si="2"/>
        <v>0</v>
      </c>
      <c r="U64" s="11">
        <f t="shared" si="2"/>
        <v>0</v>
      </c>
      <c r="V64" s="11">
        <f t="shared" si="2"/>
        <v>0</v>
      </c>
      <c r="W64" s="12">
        <f>SUMIF($J5:$J39,"&gt;6",$A5:$A39)</f>
        <v>0</v>
      </c>
    </row>
    <row r="66" spans="16:22" ht="14.25" thickBot="1" x14ac:dyDescent="0.2"/>
    <row r="67" spans="16:22" x14ac:dyDescent="0.15">
      <c r="P67" s="7" t="s">
        <v>3</v>
      </c>
      <c r="Q67" s="8" t="s">
        <v>6</v>
      </c>
      <c r="R67" s="8" t="s">
        <v>5</v>
      </c>
      <c r="S67" s="8" t="s">
        <v>7</v>
      </c>
      <c r="T67" s="8" t="s">
        <v>8</v>
      </c>
      <c r="U67" s="8" t="s">
        <v>10</v>
      </c>
      <c r="V67" s="9" t="s">
        <v>9</v>
      </c>
    </row>
    <row r="68" spans="16:22" ht="14.25" thickBot="1" x14ac:dyDescent="0.2">
      <c r="P68" s="10">
        <f t="shared" ref="P68:U68" si="3">SUMIF($F5:$F39,P67,$A5:$A39)</f>
        <v>0</v>
      </c>
      <c r="Q68" s="11">
        <f t="shared" si="3"/>
        <v>0</v>
      </c>
      <c r="R68" s="11">
        <f t="shared" si="3"/>
        <v>0</v>
      </c>
      <c r="S68" s="11">
        <f t="shared" si="3"/>
        <v>0</v>
      </c>
      <c r="T68" s="11">
        <f t="shared" si="3"/>
        <v>0</v>
      </c>
      <c r="U68" s="11">
        <f t="shared" si="3"/>
        <v>0</v>
      </c>
      <c r="V68" s="12">
        <f>A48</f>
        <v>25</v>
      </c>
    </row>
  </sheetData>
  <phoneticPr fontId="1"/>
  <dataValidations count="1">
    <dataValidation type="list" allowBlank="1" showInputMessage="1" showErrorMessage="1" sqref="C5:C39">
      <formula1>$P$1:$U$1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W68"/>
  <sheetViews>
    <sheetView workbookViewId="0">
      <selection activeCell="A45" sqref="A45:B45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2.5" bestFit="1" customWidth="1"/>
    <col min="5" max="5" width="4" bestFit="1" customWidth="1"/>
    <col min="6" max="6" width="2" bestFit="1" customWidth="1"/>
    <col min="7" max="7" width="4.875" bestFit="1" customWidth="1"/>
    <col min="8" max="8" width="12.625" customWidth="1"/>
    <col min="9" max="9" width="14.875" style="1" customWidth="1"/>
    <col min="10" max="10" width="3.5" bestFit="1" customWidth="1"/>
    <col min="11" max="11" width="2.5" bestFit="1" customWidth="1"/>
    <col min="12" max="12" width="3.5" bestFit="1" customWidth="1"/>
    <col min="13" max="13" width="2.5" bestFit="1" customWidth="1"/>
    <col min="14" max="14" width="3.5" bestFit="1" customWidth="1"/>
    <col min="15" max="17" width="3.75" customWidth="1"/>
    <col min="18" max="18" width="3.625" customWidth="1"/>
    <col min="19" max="22" width="3.75" customWidth="1"/>
    <col min="23" max="23" width="3.625" customWidth="1"/>
  </cols>
  <sheetData>
    <row r="1" spans="1:21" x14ac:dyDescent="0.15">
      <c r="P1" t="s">
        <v>202</v>
      </c>
      <c r="Q1" t="s">
        <v>145</v>
      </c>
      <c r="R1" t="s">
        <v>255</v>
      </c>
      <c r="S1" t="s">
        <v>97</v>
      </c>
      <c r="T1" t="s">
        <v>99</v>
      </c>
      <c r="U1" t="s">
        <v>83</v>
      </c>
    </row>
    <row r="4" spans="1:21" ht="14.25" thickBot="1" x14ac:dyDescent="0.2">
      <c r="A4">
        <f>SUM(A5:A47)</f>
        <v>64</v>
      </c>
    </row>
    <row r="5" spans="1:21" x14ac:dyDescent="0.15">
      <c r="A5" s="2"/>
      <c r="G5" s="5"/>
      <c r="H5" s="5"/>
      <c r="J5" t="str">
        <f t="shared" ref="J5:J39" si="0">IF(AND(ISBLANK(D5),ISBLANK(E5)),"",D5+LEN(E5))</f>
        <v/>
      </c>
      <c r="K5">
        <f>A5</f>
        <v>0</v>
      </c>
    </row>
    <row r="6" spans="1:21" x14ac:dyDescent="0.15">
      <c r="A6" s="3">
        <v>4</v>
      </c>
      <c r="B6" t="s">
        <v>303</v>
      </c>
      <c r="C6" t="s">
        <v>82</v>
      </c>
      <c r="D6">
        <v>1</v>
      </c>
      <c r="E6" t="s">
        <v>304</v>
      </c>
      <c r="F6" t="s">
        <v>104</v>
      </c>
      <c r="G6" s="5" t="s">
        <v>306</v>
      </c>
      <c r="H6" s="5"/>
      <c r="J6">
        <f t="shared" si="0"/>
        <v>2</v>
      </c>
      <c r="K6">
        <f t="shared" ref="K6:K39" si="1">A6</f>
        <v>4</v>
      </c>
    </row>
    <row r="7" spans="1:21" x14ac:dyDescent="0.15">
      <c r="A7" s="3"/>
      <c r="B7" t="s">
        <v>447</v>
      </c>
      <c r="C7" t="s">
        <v>96</v>
      </c>
      <c r="D7">
        <v>1</v>
      </c>
      <c r="E7" t="s">
        <v>434</v>
      </c>
      <c r="F7" t="s">
        <v>211</v>
      </c>
      <c r="G7" s="5" t="s">
        <v>213</v>
      </c>
      <c r="H7" s="5" t="s">
        <v>449</v>
      </c>
      <c r="J7">
        <f t="shared" si="0"/>
        <v>2</v>
      </c>
      <c r="K7">
        <f t="shared" si="1"/>
        <v>0</v>
      </c>
    </row>
    <row r="8" spans="1:21" x14ac:dyDescent="0.15">
      <c r="A8" s="3"/>
      <c r="B8" t="s">
        <v>450</v>
      </c>
      <c r="C8" t="s">
        <v>96</v>
      </c>
      <c r="D8">
        <v>2</v>
      </c>
      <c r="F8" t="s">
        <v>211</v>
      </c>
      <c r="G8" s="5" t="s">
        <v>451</v>
      </c>
      <c r="H8" s="5" t="s">
        <v>452</v>
      </c>
      <c r="J8">
        <f t="shared" si="0"/>
        <v>2</v>
      </c>
      <c r="K8">
        <f t="shared" si="1"/>
        <v>0</v>
      </c>
    </row>
    <row r="9" spans="1:21" x14ac:dyDescent="0.15">
      <c r="A9" s="3">
        <v>4</v>
      </c>
      <c r="B9" t="s">
        <v>496</v>
      </c>
      <c r="C9" t="s">
        <v>338</v>
      </c>
      <c r="D9">
        <v>1</v>
      </c>
      <c r="E9" t="s">
        <v>434</v>
      </c>
      <c r="F9" t="s">
        <v>211</v>
      </c>
      <c r="G9" s="5" t="s">
        <v>494</v>
      </c>
      <c r="H9" s="5"/>
      <c r="J9">
        <f>IF(AND(ISBLANK(D9),ISBLANK(E9)),"",D9+LEN(E9))</f>
        <v>2</v>
      </c>
      <c r="K9">
        <f>A9</f>
        <v>4</v>
      </c>
    </row>
    <row r="10" spans="1:21" x14ac:dyDescent="0.15">
      <c r="A10" s="3"/>
      <c r="B10" t="s">
        <v>493</v>
      </c>
      <c r="C10" t="s">
        <v>338</v>
      </c>
      <c r="D10">
        <v>2</v>
      </c>
      <c r="F10" t="s">
        <v>211</v>
      </c>
      <c r="G10" s="5" t="s">
        <v>495</v>
      </c>
      <c r="H10" s="5"/>
      <c r="J10">
        <f t="shared" ref="J10" si="2">IF(AND(ISBLANK(D10),ISBLANK(E10)),"",D10+LEN(E10))</f>
        <v>2</v>
      </c>
      <c r="K10">
        <f t="shared" ref="K10" si="3">A10</f>
        <v>0</v>
      </c>
    </row>
    <row r="11" spans="1:21" x14ac:dyDescent="0.15">
      <c r="A11" s="3"/>
      <c r="G11" s="5"/>
      <c r="H11" s="5"/>
      <c r="J11" t="str">
        <f t="shared" si="0"/>
        <v/>
      </c>
      <c r="K11">
        <f t="shared" si="1"/>
        <v>0</v>
      </c>
    </row>
    <row r="12" spans="1:21" x14ac:dyDescent="0.15">
      <c r="A12" s="3"/>
      <c r="B12" t="s">
        <v>462</v>
      </c>
      <c r="C12" t="s">
        <v>103</v>
      </c>
      <c r="D12">
        <v>1</v>
      </c>
      <c r="E12" t="s">
        <v>473</v>
      </c>
      <c r="F12" t="s">
        <v>104</v>
      </c>
      <c r="G12" s="5" t="s">
        <v>252</v>
      </c>
      <c r="H12" s="5"/>
      <c r="J12">
        <f t="shared" si="0"/>
        <v>3</v>
      </c>
      <c r="K12">
        <f t="shared" si="1"/>
        <v>0</v>
      </c>
    </row>
    <row r="13" spans="1:21" x14ac:dyDescent="0.15">
      <c r="A13" s="3"/>
      <c r="G13" s="5"/>
      <c r="H13" s="5"/>
      <c r="J13" t="str">
        <f t="shared" si="0"/>
        <v/>
      </c>
      <c r="K13">
        <f t="shared" si="1"/>
        <v>0</v>
      </c>
    </row>
    <row r="14" spans="1:21" x14ac:dyDescent="0.15">
      <c r="A14" s="3">
        <v>2</v>
      </c>
      <c r="B14" t="s">
        <v>439</v>
      </c>
      <c r="C14" t="s">
        <v>96</v>
      </c>
      <c r="D14">
        <v>3</v>
      </c>
      <c r="E14" t="s">
        <v>311</v>
      </c>
      <c r="F14" t="s">
        <v>104</v>
      </c>
      <c r="G14" s="5" t="s">
        <v>442</v>
      </c>
      <c r="H14" s="5" t="s">
        <v>443</v>
      </c>
      <c r="J14">
        <f t="shared" si="0"/>
        <v>5</v>
      </c>
      <c r="K14">
        <f t="shared" si="1"/>
        <v>2</v>
      </c>
    </row>
    <row r="15" spans="1:21" x14ac:dyDescent="0.15">
      <c r="A15" s="3"/>
      <c r="B15" t="s">
        <v>444</v>
      </c>
      <c r="C15" t="s">
        <v>96</v>
      </c>
      <c r="D15">
        <v>5</v>
      </c>
      <c r="F15" t="s">
        <v>104</v>
      </c>
      <c r="G15" s="5" t="s">
        <v>445</v>
      </c>
      <c r="H15" s="5" t="s">
        <v>446</v>
      </c>
      <c r="J15">
        <f t="shared" si="0"/>
        <v>5</v>
      </c>
      <c r="K15">
        <f t="shared" si="1"/>
        <v>0</v>
      </c>
    </row>
    <row r="16" spans="1:21" x14ac:dyDescent="0.15">
      <c r="A16" s="3"/>
      <c r="G16" s="5"/>
      <c r="J16" t="str">
        <f t="shared" si="0"/>
        <v/>
      </c>
      <c r="K16">
        <f t="shared" si="1"/>
        <v>0</v>
      </c>
    </row>
    <row r="17" spans="1:11" x14ac:dyDescent="0.15">
      <c r="A17" s="3"/>
      <c r="G17" s="5"/>
      <c r="H17" s="5"/>
      <c r="J17" t="str">
        <f t="shared" si="0"/>
        <v/>
      </c>
      <c r="K17">
        <f t="shared" si="1"/>
        <v>0</v>
      </c>
    </row>
    <row r="18" spans="1:11" x14ac:dyDescent="0.15">
      <c r="A18" s="3"/>
      <c r="B18" t="s">
        <v>468</v>
      </c>
      <c r="C18" t="s">
        <v>206</v>
      </c>
      <c r="E18" t="s">
        <v>304</v>
      </c>
      <c r="F18" t="s">
        <v>155</v>
      </c>
      <c r="H18" t="s">
        <v>474</v>
      </c>
      <c r="J18">
        <f t="shared" si="0"/>
        <v>1</v>
      </c>
      <c r="K18">
        <f t="shared" si="1"/>
        <v>0</v>
      </c>
    </row>
    <row r="19" spans="1:11" x14ac:dyDescent="0.15">
      <c r="A19" s="3"/>
      <c r="G19" s="5"/>
      <c r="H19" s="5"/>
      <c r="J19" t="str">
        <f t="shared" si="0"/>
        <v/>
      </c>
      <c r="K19">
        <f t="shared" si="1"/>
        <v>0</v>
      </c>
    </row>
    <row r="20" spans="1:11" x14ac:dyDescent="0.15">
      <c r="A20" s="3">
        <v>3</v>
      </c>
      <c r="B20" t="s">
        <v>463</v>
      </c>
      <c r="C20" t="s">
        <v>217</v>
      </c>
      <c r="D20">
        <v>1</v>
      </c>
      <c r="E20" t="s">
        <v>434</v>
      </c>
      <c r="F20" t="s">
        <v>219</v>
      </c>
      <c r="G20" s="5"/>
      <c r="H20" s="5" t="s">
        <v>476</v>
      </c>
      <c r="J20">
        <f t="shared" si="0"/>
        <v>2</v>
      </c>
      <c r="K20">
        <f t="shared" si="1"/>
        <v>3</v>
      </c>
    </row>
    <row r="21" spans="1:11" x14ac:dyDescent="0.15">
      <c r="A21" s="3">
        <v>4</v>
      </c>
      <c r="B21" t="s">
        <v>455</v>
      </c>
      <c r="C21" t="s">
        <v>82</v>
      </c>
      <c r="D21">
        <v>1</v>
      </c>
      <c r="E21" t="s">
        <v>434</v>
      </c>
      <c r="F21" t="s">
        <v>219</v>
      </c>
      <c r="G21" s="5"/>
      <c r="H21" s="5" t="s">
        <v>475</v>
      </c>
      <c r="J21">
        <f t="shared" si="0"/>
        <v>2</v>
      </c>
      <c r="K21">
        <f t="shared" si="1"/>
        <v>4</v>
      </c>
    </row>
    <row r="22" spans="1:11" x14ac:dyDescent="0.15">
      <c r="A22" s="3">
        <v>2</v>
      </c>
      <c r="B22" t="s">
        <v>464</v>
      </c>
      <c r="C22" t="s">
        <v>206</v>
      </c>
      <c r="D22">
        <v>1</v>
      </c>
      <c r="E22" t="s">
        <v>304</v>
      </c>
      <c r="F22" t="s">
        <v>155</v>
      </c>
      <c r="G22" s="5"/>
      <c r="H22" s="5" t="s">
        <v>477</v>
      </c>
      <c r="J22">
        <f t="shared" si="0"/>
        <v>2</v>
      </c>
      <c r="K22">
        <f t="shared" si="1"/>
        <v>2</v>
      </c>
    </row>
    <row r="23" spans="1:11" x14ac:dyDescent="0.15">
      <c r="A23" s="3">
        <v>4</v>
      </c>
      <c r="B23" t="s">
        <v>465</v>
      </c>
      <c r="C23" t="s">
        <v>217</v>
      </c>
      <c r="D23">
        <v>1</v>
      </c>
      <c r="E23" t="s">
        <v>304</v>
      </c>
      <c r="F23" t="s">
        <v>155</v>
      </c>
      <c r="G23" s="5"/>
      <c r="J23">
        <f t="shared" si="0"/>
        <v>2</v>
      </c>
      <c r="K23">
        <f t="shared" si="1"/>
        <v>4</v>
      </c>
    </row>
    <row r="24" spans="1:11" x14ac:dyDescent="0.15">
      <c r="A24" s="3">
        <v>4</v>
      </c>
      <c r="B24" t="s">
        <v>483</v>
      </c>
      <c r="C24" t="s">
        <v>338</v>
      </c>
      <c r="D24">
        <v>1</v>
      </c>
      <c r="E24" t="s">
        <v>304</v>
      </c>
      <c r="F24" t="s">
        <v>155</v>
      </c>
      <c r="G24" s="5"/>
      <c r="J24">
        <f t="shared" si="0"/>
        <v>2</v>
      </c>
      <c r="K24">
        <f t="shared" si="1"/>
        <v>4</v>
      </c>
    </row>
    <row r="25" spans="1:11" x14ac:dyDescent="0.15">
      <c r="A25" s="3"/>
      <c r="B25" t="s">
        <v>466</v>
      </c>
      <c r="C25" t="s">
        <v>206</v>
      </c>
      <c r="D25">
        <v>1</v>
      </c>
      <c r="E25" t="s">
        <v>472</v>
      </c>
      <c r="F25" t="s">
        <v>155</v>
      </c>
      <c r="J25">
        <f t="shared" si="0"/>
        <v>2</v>
      </c>
      <c r="K25">
        <f t="shared" si="1"/>
        <v>0</v>
      </c>
    </row>
    <row r="26" spans="1:11" x14ac:dyDescent="0.15">
      <c r="A26" s="3"/>
      <c r="B26" t="s">
        <v>467</v>
      </c>
      <c r="C26" t="s">
        <v>96</v>
      </c>
      <c r="D26">
        <v>1</v>
      </c>
      <c r="E26" t="s">
        <v>472</v>
      </c>
      <c r="F26" t="s">
        <v>208</v>
      </c>
      <c r="J26">
        <f t="shared" si="0"/>
        <v>2</v>
      </c>
      <c r="K26">
        <f t="shared" si="1"/>
        <v>0</v>
      </c>
    </row>
    <row r="27" spans="1:11" x14ac:dyDescent="0.15">
      <c r="A27" s="3"/>
      <c r="J27" t="str">
        <f t="shared" si="0"/>
        <v/>
      </c>
      <c r="K27">
        <f t="shared" si="1"/>
        <v>0</v>
      </c>
    </row>
    <row r="28" spans="1:11" x14ac:dyDescent="0.15">
      <c r="A28" s="3">
        <v>2</v>
      </c>
      <c r="B28" t="s">
        <v>312</v>
      </c>
      <c r="C28" t="s">
        <v>82</v>
      </c>
      <c r="D28">
        <v>1</v>
      </c>
      <c r="E28" t="s">
        <v>453</v>
      </c>
      <c r="F28" t="s">
        <v>219</v>
      </c>
      <c r="G28" s="5"/>
      <c r="H28" s="5" t="s">
        <v>313</v>
      </c>
      <c r="J28">
        <f t="shared" si="0"/>
        <v>3</v>
      </c>
      <c r="K28">
        <f t="shared" si="1"/>
        <v>2</v>
      </c>
    </row>
    <row r="29" spans="1:11" x14ac:dyDescent="0.15">
      <c r="A29" s="3">
        <v>2</v>
      </c>
      <c r="B29" t="s">
        <v>491</v>
      </c>
      <c r="C29" t="s">
        <v>217</v>
      </c>
      <c r="D29">
        <v>1</v>
      </c>
      <c r="E29" t="s">
        <v>453</v>
      </c>
      <c r="F29" t="s">
        <v>219</v>
      </c>
      <c r="G29" s="5"/>
      <c r="H29" s="5"/>
      <c r="J29">
        <f t="shared" si="0"/>
        <v>3</v>
      </c>
      <c r="K29">
        <f t="shared" si="1"/>
        <v>2</v>
      </c>
    </row>
    <row r="30" spans="1:11" x14ac:dyDescent="0.15">
      <c r="A30" s="3">
        <v>2</v>
      </c>
      <c r="B30" t="s">
        <v>487</v>
      </c>
      <c r="C30" t="s">
        <v>338</v>
      </c>
      <c r="D30">
        <v>2</v>
      </c>
      <c r="E30" t="s">
        <v>304</v>
      </c>
      <c r="F30" t="s">
        <v>121</v>
      </c>
      <c r="G30" s="5"/>
      <c r="H30" s="5"/>
      <c r="J30">
        <f t="shared" si="0"/>
        <v>3</v>
      </c>
      <c r="K30">
        <f t="shared" si="1"/>
        <v>2</v>
      </c>
    </row>
    <row r="31" spans="1:11" x14ac:dyDescent="0.15">
      <c r="A31" s="3"/>
      <c r="J31" t="str">
        <f t="shared" si="0"/>
        <v/>
      </c>
      <c r="K31">
        <f t="shared" si="1"/>
        <v>0</v>
      </c>
    </row>
    <row r="32" spans="1:11" x14ac:dyDescent="0.15">
      <c r="A32" s="3">
        <v>2</v>
      </c>
      <c r="B32" t="s">
        <v>320</v>
      </c>
      <c r="C32" t="s">
        <v>206</v>
      </c>
      <c r="D32">
        <v>3</v>
      </c>
      <c r="E32" t="s">
        <v>434</v>
      </c>
      <c r="F32" t="s">
        <v>219</v>
      </c>
      <c r="H32" t="s">
        <v>454</v>
      </c>
      <c r="J32">
        <f t="shared" si="0"/>
        <v>4</v>
      </c>
      <c r="K32">
        <f t="shared" si="1"/>
        <v>2</v>
      </c>
    </row>
    <row r="33" spans="1:11" x14ac:dyDescent="0.15">
      <c r="A33" s="3"/>
      <c r="G33" s="5"/>
      <c r="J33" t="str">
        <f t="shared" si="0"/>
        <v/>
      </c>
      <c r="K33">
        <f t="shared" si="1"/>
        <v>0</v>
      </c>
    </row>
    <row r="34" spans="1:11" x14ac:dyDescent="0.15">
      <c r="A34" s="3">
        <v>2</v>
      </c>
      <c r="B34" t="s">
        <v>310</v>
      </c>
      <c r="C34" t="s">
        <v>82</v>
      </c>
      <c r="D34">
        <v>3</v>
      </c>
      <c r="E34" t="s">
        <v>453</v>
      </c>
      <c r="F34" t="s">
        <v>208</v>
      </c>
      <c r="G34" s="5"/>
      <c r="J34">
        <f t="shared" si="0"/>
        <v>5</v>
      </c>
      <c r="K34">
        <f t="shared" si="1"/>
        <v>2</v>
      </c>
    </row>
    <row r="35" spans="1:11" x14ac:dyDescent="0.15">
      <c r="A35" s="3">
        <v>1</v>
      </c>
      <c r="B35" t="s">
        <v>481</v>
      </c>
      <c r="D35">
        <v>3</v>
      </c>
      <c r="E35" t="s">
        <v>453</v>
      </c>
      <c r="F35" t="s">
        <v>200</v>
      </c>
      <c r="G35" s="5"/>
      <c r="J35">
        <f t="shared" si="0"/>
        <v>5</v>
      </c>
      <c r="K35">
        <f t="shared" si="1"/>
        <v>1</v>
      </c>
    </row>
    <row r="36" spans="1:11" x14ac:dyDescent="0.15">
      <c r="A36" s="3">
        <v>1</v>
      </c>
      <c r="B36" t="s">
        <v>492</v>
      </c>
      <c r="D36">
        <v>3</v>
      </c>
      <c r="E36" t="s">
        <v>453</v>
      </c>
      <c r="F36" t="s">
        <v>208</v>
      </c>
      <c r="G36" s="5"/>
      <c r="J36">
        <f t="shared" si="0"/>
        <v>5</v>
      </c>
      <c r="K36">
        <f t="shared" si="1"/>
        <v>1</v>
      </c>
    </row>
    <row r="37" spans="1:11" x14ac:dyDescent="0.15">
      <c r="A37" s="3"/>
      <c r="G37" s="5"/>
      <c r="J37" t="str">
        <f t="shared" si="0"/>
        <v/>
      </c>
      <c r="K37">
        <f t="shared" si="1"/>
        <v>0</v>
      </c>
    </row>
    <row r="38" spans="1:11" x14ac:dyDescent="0.15">
      <c r="A38" s="3">
        <v>1</v>
      </c>
      <c r="B38" t="s">
        <v>484</v>
      </c>
      <c r="D38">
        <v>5</v>
      </c>
      <c r="E38" t="s">
        <v>304</v>
      </c>
      <c r="F38" t="s">
        <v>208</v>
      </c>
      <c r="G38" s="5"/>
      <c r="J38">
        <f t="shared" si="0"/>
        <v>6</v>
      </c>
      <c r="K38">
        <f t="shared" si="1"/>
        <v>1</v>
      </c>
    </row>
    <row r="39" spans="1:11" ht="14.25" thickBot="1" x14ac:dyDescent="0.2">
      <c r="A39" s="3"/>
      <c r="J39" t="str">
        <f t="shared" si="0"/>
        <v/>
      </c>
      <c r="K39">
        <f t="shared" si="1"/>
        <v>0</v>
      </c>
    </row>
    <row r="40" spans="1:11" x14ac:dyDescent="0.15">
      <c r="A40" s="2"/>
    </row>
    <row r="41" spans="1:11" x14ac:dyDescent="0.15">
      <c r="A41" s="3">
        <v>3</v>
      </c>
      <c r="B41" t="s">
        <v>457</v>
      </c>
    </row>
    <row r="42" spans="1:11" x14ac:dyDescent="0.15">
      <c r="A42" s="3">
        <v>9</v>
      </c>
      <c r="B42" t="s">
        <v>458</v>
      </c>
    </row>
    <row r="43" spans="1:11" x14ac:dyDescent="0.15">
      <c r="A43" s="3">
        <v>4</v>
      </c>
      <c r="B43" t="s">
        <v>459</v>
      </c>
    </row>
    <row r="44" spans="1:11" x14ac:dyDescent="0.15">
      <c r="A44" s="3">
        <v>4</v>
      </c>
      <c r="B44" t="s">
        <v>460</v>
      </c>
    </row>
    <row r="45" spans="1:11" x14ac:dyDescent="0.15">
      <c r="A45" s="3">
        <v>4</v>
      </c>
      <c r="B45" t="s">
        <v>461</v>
      </c>
    </row>
    <row r="46" spans="1:11" x14ac:dyDescent="0.15">
      <c r="A46" s="3"/>
    </row>
    <row r="47" spans="1:11" ht="14.25" thickBot="1" x14ac:dyDescent="0.2">
      <c r="A47" s="4"/>
    </row>
    <row r="48" spans="1:11" x14ac:dyDescent="0.15">
      <c r="A48">
        <f>SUM(A40:A47)</f>
        <v>24</v>
      </c>
    </row>
    <row r="52" spans="1:23" ht="14.25" thickBot="1" x14ac:dyDescent="0.2"/>
    <row r="53" spans="1:23" x14ac:dyDescent="0.15">
      <c r="A53" s="2"/>
    </row>
    <row r="54" spans="1:23" x14ac:dyDescent="0.15">
      <c r="A54" s="3"/>
      <c r="B54" t="s">
        <v>490</v>
      </c>
      <c r="C54" t="s">
        <v>217</v>
      </c>
      <c r="G54" s="5"/>
    </row>
    <row r="55" spans="1:23" x14ac:dyDescent="0.15">
      <c r="A55" s="3"/>
      <c r="G55" s="5"/>
      <c r="H55" s="5"/>
    </row>
    <row r="56" spans="1:23" x14ac:dyDescent="0.15">
      <c r="A56" s="3"/>
      <c r="G56" s="5"/>
    </row>
    <row r="57" spans="1:23" x14ac:dyDescent="0.15">
      <c r="A57" s="3"/>
      <c r="G57" s="5"/>
    </row>
    <row r="58" spans="1:23" x14ac:dyDescent="0.15">
      <c r="A58" s="3"/>
      <c r="G58" s="5"/>
    </row>
    <row r="59" spans="1:23" x14ac:dyDescent="0.15">
      <c r="A59" s="3"/>
    </row>
    <row r="60" spans="1:23" x14ac:dyDescent="0.15">
      <c r="A60" s="3"/>
    </row>
    <row r="61" spans="1:23" x14ac:dyDescent="0.15">
      <c r="A61" s="3"/>
    </row>
    <row r="62" spans="1:23" ht="14.25" thickBot="1" x14ac:dyDescent="0.2">
      <c r="A62" s="3"/>
    </row>
    <row r="63" spans="1:23" ht="14.25" thickBot="1" x14ac:dyDescent="0.2">
      <c r="A63" s="6">
        <f>SUM(A53:A62)</f>
        <v>0</v>
      </c>
      <c r="P63" s="7">
        <v>0</v>
      </c>
      <c r="Q63" s="8">
        <v>1</v>
      </c>
      <c r="R63" s="8">
        <v>2</v>
      </c>
      <c r="S63" s="8">
        <v>3</v>
      </c>
      <c r="T63" s="8">
        <v>4</v>
      </c>
      <c r="U63" s="8">
        <v>5</v>
      </c>
      <c r="V63" s="8">
        <v>6</v>
      </c>
      <c r="W63" s="9">
        <v>7</v>
      </c>
    </row>
    <row r="64" spans="1:23" ht="14.25" thickBot="1" x14ac:dyDescent="0.2">
      <c r="P64" s="10">
        <f t="shared" ref="P64:V64" si="4">SUMIF($J5:$J39,P63,$A5:$A39)</f>
        <v>0</v>
      </c>
      <c r="Q64" s="11">
        <f t="shared" si="4"/>
        <v>0</v>
      </c>
      <c r="R64" s="11">
        <f t="shared" si="4"/>
        <v>25</v>
      </c>
      <c r="S64" s="11">
        <f t="shared" si="4"/>
        <v>6</v>
      </c>
      <c r="T64" s="11">
        <f t="shared" si="4"/>
        <v>2</v>
      </c>
      <c r="U64" s="11">
        <f t="shared" si="4"/>
        <v>6</v>
      </c>
      <c r="V64" s="11">
        <f t="shared" si="4"/>
        <v>1</v>
      </c>
      <c r="W64" s="12">
        <f>SUMIF($J5:$J39,"&gt;6",$A5:$A39)</f>
        <v>0</v>
      </c>
    </row>
    <row r="66" spans="16:22" ht="14.25" thickBot="1" x14ac:dyDescent="0.2"/>
    <row r="67" spans="16:22" x14ac:dyDescent="0.15">
      <c r="P67" s="7" t="s">
        <v>3</v>
      </c>
      <c r="Q67" s="8" t="s">
        <v>6</v>
      </c>
      <c r="R67" s="8" t="s">
        <v>5</v>
      </c>
      <c r="S67" s="8" t="s">
        <v>7</v>
      </c>
      <c r="T67" s="8" t="s">
        <v>8</v>
      </c>
      <c r="U67" s="8" t="s">
        <v>10</v>
      </c>
      <c r="V67" s="9" t="s">
        <v>9</v>
      </c>
    </row>
    <row r="68" spans="16:22" ht="14.25" thickBot="1" x14ac:dyDescent="0.2">
      <c r="P68" s="10">
        <f t="shared" ref="P68:U68" si="5">SUMIF($F5:$F39,P67,$A5:$A39)</f>
        <v>10</v>
      </c>
      <c r="Q68" s="11">
        <f t="shared" si="5"/>
        <v>23</v>
      </c>
      <c r="R68" s="11">
        <f t="shared" si="5"/>
        <v>4</v>
      </c>
      <c r="S68" s="11">
        <f t="shared" si="5"/>
        <v>2</v>
      </c>
      <c r="T68" s="11">
        <f t="shared" si="5"/>
        <v>0</v>
      </c>
      <c r="U68" s="11">
        <f t="shared" si="5"/>
        <v>1</v>
      </c>
      <c r="V68" s="12">
        <f>A48</f>
        <v>24</v>
      </c>
    </row>
  </sheetData>
  <phoneticPr fontId="1"/>
  <dataValidations count="1">
    <dataValidation type="list" allowBlank="1" showInputMessage="1" showErrorMessage="1" sqref="C53:C62 C5:C39">
      <formula1>$P$1:$U$1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W58"/>
  <sheetViews>
    <sheetView workbookViewId="0">
      <selection activeCell="B15" sqref="B15:I18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3.5" bestFit="1" customWidth="1"/>
    <col min="5" max="5" width="4" bestFit="1" customWidth="1"/>
    <col min="6" max="6" width="2" bestFit="1" customWidth="1"/>
    <col min="7" max="7" width="4.875" bestFit="1" customWidth="1"/>
    <col min="8" max="8" width="12.625" customWidth="1"/>
    <col min="9" max="9" width="20.75" style="1" customWidth="1"/>
    <col min="10" max="10" width="3.5" bestFit="1" customWidth="1"/>
    <col min="11" max="11" width="2.5" bestFit="1" customWidth="1"/>
    <col min="12" max="12" width="3.5" bestFit="1" customWidth="1"/>
    <col min="13" max="13" width="2.5" bestFit="1" customWidth="1"/>
    <col min="14" max="14" width="3.5" bestFit="1" customWidth="1"/>
    <col min="15" max="17" width="3.75" customWidth="1"/>
    <col min="18" max="18" width="3.625" customWidth="1"/>
    <col min="19" max="22" width="3.75" customWidth="1"/>
    <col min="23" max="23" width="3.625" customWidth="1"/>
  </cols>
  <sheetData>
    <row r="1" spans="1:21" x14ac:dyDescent="0.15">
      <c r="P1" t="s">
        <v>202</v>
      </c>
      <c r="Q1" t="s">
        <v>145</v>
      </c>
      <c r="R1" t="s">
        <v>255</v>
      </c>
      <c r="S1" t="s">
        <v>97</v>
      </c>
      <c r="T1" t="s">
        <v>99</v>
      </c>
      <c r="U1" t="s">
        <v>83</v>
      </c>
    </row>
    <row r="4" spans="1:21" ht="14.25" thickBot="1" x14ac:dyDescent="0.2">
      <c r="A4">
        <f>SUM(A5:A39)</f>
        <v>60</v>
      </c>
    </row>
    <row r="5" spans="1:21" x14ac:dyDescent="0.15">
      <c r="A5" s="2"/>
      <c r="G5" s="5"/>
      <c r="H5" s="5"/>
      <c r="J5" t="str">
        <f t="shared" ref="J5" si="0">IF(AND(ISBLANK(D5),ISBLANK(E5)),"",D5+LEN(E5))</f>
        <v/>
      </c>
      <c r="K5">
        <f>A5</f>
        <v>0</v>
      </c>
    </row>
    <row r="6" spans="1:21" x14ac:dyDescent="0.15">
      <c r="A6" s="3">
        <v>2</v>
      </c>
      <c r="B6" t="s">
        <v>325</v>
      </c>
      <c r="C6" t="s">
        <v>338</v>
      </c>
      <c r="D6">
        <v>1</v>
      </c>
      <c r="E6" t="s">
        <v>342</v>
      </c>
      <c r="F6" t="s">
        <v>344</v>
      </c>
      <c r="G6" s="5" t="s">
        <v>168</v>
      </c>
      <c r="H6" t="s">
        <v>356</v>
      </c>
      <c r="J6">
        <f>IF(AND(ISBLANK(D6),ISBLANK(E6)),"",D6+LEN(E6))</f>
        <v>2</v>
      </c>
      <c r="K6">
        <f>A6</f>
        <v>2</v>
      </c>
    </row>
    <row r="7" spans="1:21" x14ac:dyDescent="0.15">
      <c r="A7" s="3"/>
      <c r="B7" t="s">
        <v>358</v>
      </c>
      <c r="C7" t="s">
        <v>338</v>
      </c>
      <c r="D7">
        <v>2</v>
      </c>
      <c r="F7" t="s">
        <v>344</v>
      </c>
      <c r="G7" s="5" t="s">
        <v>357</v>
      </c>
      <c r="H7" t="s">
        <v>359</v>
      </c>
      <c r="J7">
        <f t="shared" ref="J7:J31" si="1">IF(AND(ISBLANK(D7),ISBLANK(E7)),"",D7+LEN(E7))</f>
        <v>2</v>
      </c>
      <c r="K7">
        <f t="shared" ref="K7:K31" si="2">A7</f>
        <v>0</v>
      </c>
    </row>
    <row r="8" spans="1:21" x14ac:dyDescent="0.15">
      <c r="A8" s="3">
        <v>4</v>
      </c>
      <c r="B8" t="s">
        <v>326</v>
      </c>
      <c r="C8" t="s">
        <v>96</v>
      </c>
      <c r="D8">
        <v>1</v>
      </c>
      <c r="E8" t="s">
        <v>343</v>
      </c>
      <c r="F8" t="s">
        <v>344</v>
      </c>
      <c r="G8" s="5" t="s">
        <v>351</v>
      </c>
      <c r="H8" s="5" t="s">
        <v>353</v>
      </c>
      <c r="I8" s="1" t="s">
        <v>354</v>
      </c>
      <c r="J8">
        <f t="shared" si="1"/>
        <v>2</v>
      </c>
      <c r="K8">
        <f t="shared" si="2"/>
        <v>4</v>
      </c>
    </row>
    <row r="9" spans="1:21" x14ac:dyDescent="0.15">
      <c r="A9" s="3"/>
      <c r="B9" t="s">
        <v>350</v>
      </c>
      <c r="C9" t="s">
        <v>96</v>
      </c>
      <c r="D9">
        <v>2</v>
      </c>
      <c r="F9" t="s">
        <v>344</v>
      </c>
      <c r="G9" s="5" t="s">
        <v>352</v>
      </c>
      <c r="H9" s="5" t="s">
        <v>355</v>
      </c>
      <c r="J9">
        <f t="shared" si="1"/>
        <v>2</v>
      </c>
      <c r="K9">
        <f t="shared" si="2"/>
        <v>0</v>
      </c>
    </row>
    <row r="10" spans="1:21" x14ac:dyDescent="0.15">
      <c r="A10" s="3">
        <v>3</v>
      </c>
      <c r="B10" t="s">
        <v>323</v>
      </c>
      <c r="C10" t="s">
        <v>103</v>
      </c>
      <c r="E10" t="s">
        <v>340</v>
      </c>
      <c r="F10" t="s">
        <v>344</v>
      </c>
      <c r="G10" s="5" t="s">
        <v>252</v>
      </c>
      <c r="H10" s="5" t="s">
        <v>378</v>
      </c>
      <c r="J10">
        <f t="shared" si="1"/>
        <v>2</v>
      </c>
      <c r="K10">
        <f t="shared" si="2"/>
        <v>3</v>
      </c>
    </row>
    <row r="11" spans="1:21" x14ac:dyDescent="0.15">
      <c r="A11" s="3">
        <v>4</v>
      </c>
      <c r="B11" t="s">
        <v>251</v>
      </c>
      <c r="C11" t="s">
        <v>82</v>
      </c>
      <c r="E11" t="s">
        <v>341</v>
      </c>
      <c r="F11" t="s">
        <v>344</v>
      </c>
      <c r="G11" s="5" t="s">
        <v>252</v>
      </c>
      <c r="H11" s="5" t="s">
        <v>379</v>
      </c>
      <c r="J11">
        <f t="shared" si="1"/>
        <v>2</v>
      </c>
      <c r="K11">
        <f t="shared" si="2"/>
        <v>4</v>
      </c>
    </row>
    <row r="12" spans="1:21" x14ac:dyDescent="0.15">
      <c r="A12" s="3"/>
      <c r="G12" s="5"/>
      <c r="H12" s="5"/>
      <c r="J12" t="str">
        <f t="shared" si="1"/>
        <v/>
      </c>
      <c r="K12">
        <f t="shared" si="2"/>
        <v>0</v>
      </c>
    </row>
    <row r="13" spans="1:21" x14ac:dyDescent="0.15">
      <c r="A13" s="3">
        <v>4</v>
      </c>
      <c r="B13" t="s">
        <v>322</v>
      </c>
      <c r="C13" t="s">
        <v>206</v>
      </c>
      <c r="D13">
        <v>1</v>
      </c>
      <c r="E13" t="s">
        <v>339</v>
      </c>
      <c r="F13" t="s">
        <v>344</v>
      </c>
      <c r="G13" s="5" t="s">
        <v>252</v>
      </c>
      <c r="H13" s="5" t="s">
        <v>377</v>
      </c>
      <c r="J13">
        <f t="shared" si="1"/>
        <v>3</v>
      </c>
      <c r="K13">
        <f t="shared" si="2"/>
        <v>4</v>
      </c>
    </row>
    <row r="14" spans="1:21" x14ac:dyDescent="0.15">
      <c r="A14" s="3"/>
      <c r="G14" s="5"/>
      <c r="H14" s="5"/>
      <c r="J14" t="str">
        <f t="shared" si="1"/>
        <v/>
      </c>
      <c r="K14">
        <f t="shared" si="2"/>
        <v>0</v>
      </c>
    </row>
    <row r="15" spans="1:21" x14ac:dyDescent="0.15">
      <c r="A15" s="3">
        <v>4</v>
      </c>
      <c r="B15" t="s">
        <v>324</v>
      </c>
      <c r="C15" t="s">
        <v>96</v>
      </c>
      <c r="D15">
        <v>2</v>
      </c>
      <c r="E15" t="s">
        <v>339</v>
      </c>
      <c r="F15" t="s">
        <v>344</v>
      </c>
      <c r="G15" s="5" t="s">
        <v>349</v>
      </c>
      <c r="H15" s="5" t="s">
        <v>360</v>
      </c>
      <c r="I15" s="1" t="s">
        <v>361</v>
      </c>
      <c r="J15">
        <f t="shared" si="1"/>
        <v>4</v>
      </c>
      <c r="K15">
        <f t="shared" si="2"/>
        <v>4</v>
      </c>
    </row>
    <row r="16" spans="1:21" x14ac:dyDescent="0.15">
      <c r="A16" s="3"/>
      <c r="B16" t="s">
        <v>362</v>
      </c>
      <c r="C16" t="s">
        <v>96</v>
      </c>
      <c r="D16">
        <v>11</v>
      </c>
      <c r="F16" t="s">
        <v>344</v>
      </c>
      <c r="G16" s="5" t="s">
        <v>363</v>
      </c>
      <c r="H16" s="5" t="s">
        <v>364</v>
      </c>
      <c r="I16" s="1" t="s">
        <v>365</v>
      </c>
      <c r="J16">
        <f t="shared" si="1"/>
        <v>11</v>
      </c>
      <c r="K16">
        <f t="shared" si="2"/>
        <v>0</v>
      </c>
    </row>
    <row r="17" spans="1:11" x14ac:dyDescent="0.15">
      <c r="A17" s="3"/>
      <c r="G17" s="5"/>
      <c r="H17" s="5"/>
      <c r="J17" t="str">
        <f t="shared" si="1"/>
        <v/>
      </c>
      <c r="K17">
        <f t="shared" si="2"/>
        <v>0</v>
      </c>
    </row>
    <row r="18" spans="1:11" x14ac:dyDescent="0.15">
      <c r="A18" s="3">
        <v>1</v>
      </c>
      <c r="B18" t="s">
        <v>366</v>
      </c>
      <c r="C18" t="s">
        <v>96</v>
      </c>
      <c r="D18">
        <v>5</v>
      </c>
      <c r="E18" t="s">
        <v>339</v>
      </c>
      <c r="F18" t="s">
        <v>344</v>
      </c>
      <c r="G18" s="5" t="s">
        <v>367</v>
      </c>
      <c r="H18" s="5" t="s">
        <v>368</v>
      </c>
      <c r="I18" s="1" t="s">
        <v>382</v>
      </c>
      <c r="J18">
        <f t="shared" si="1"/>
        <v>7</v>
      </c>
      <c r="K18">
        <f t="shared" si="2"/>
        <v>1</v>
      </c>
    </row>
    <row r="19" spans="1:11" x14ac:dyDescent="0.15">
      <c r="A19" s="3"/>
      <c r="G19" s="5"/>
      <c r="H19" s="5"/>
      <c r="J19" t="str">
        <f t="shared" si="1"/>
        <v/>
      </c>
      <c r="K19">
        <f t="shared" si="2"/>
        <v>0</v>
      </c>
    </row>
    <row r="20" spans="1:11" x14ac:dyDescent="0.15">
      <c r="A20" s="3"/>
      <c r="G20" s="5"/>
      <c r="H20" s="5"/>
      <c r="J20" t="str">
        <f t="shared" si="1"/>
        <v/>
      </c>
      <c r="K20">
        <f t="shared" si="2"/>
        <v>0</v>
      </c>
    </row>
    <row r="21" spans="1:11" x14ac:dyDescent="0.15">
      <c r="A21" s="3">
        <v>3</v>
      </c>
      <c r="B21" t="s">
        <v>173</v>
      </c>
      <c r="C21" t="s">
        <v>82</v>
      </c>
      <c r="E21" t="s">
        <v>342</v>
      </c>
      <c r="F21" t="s">
        <v>345</v>
      </c>
      <c r="G21" s="5"/>
      <c r="H21" s="5" t="s">
        <v>375</v>
      </c>
      <c r="J21">
        <f t="shared" si="1"/>
        <v>1</v>
      </c>
      <c r="K21">
        <f t="shared" si="2"/>
        <v>3</v>
      </c>
    </row>
    <row r="22" spans="1:11" x14ac:dyDescent="0.15">
      <c r="A22" s="3">
        <v>2</v>
      </c>
      <c r="B22" t="s">
        <v>330</v>
      </c>
      <c r="C22" t="s">
        <v>338</v>
      </c>
      <c r="D22">
        <v>1</v>
      </c>
      <c r="F22" t="s">
        <v>347</v>
      </c>
      <c r="G22" s="5"/>
      <c r="H22" t="s">
        <v>370</v>
      </c>
      <c r="I22" s="1" t="s">
        <v>371</v>
      </c>
      <c r="J22">
        <f>IF(AND(ISBLANK(D22),ISBLANK(E22)),"",D22+LEN(E22))</f>
        <v>1</v>
      </c>
      <c r="K22">
        <f>A22</f>
        <v>2</v>
      </c>
    </row>
    <row r="23" spans="1:11" x14ac:dyDescent="0.15">
      <c r="A23" s="3"/>
      <c r="B23" t="s">
        <v>369</v>
      </c>
      <c r="C23" t="s">
        <v>338</v>
      </c>
      <c r="D23">
        <v>1</v>
      </c>
      <c r="F23" t="s">
        <v>347</v>
      </c>
      <c r="G23" s="5"/>
      <c r="H23" t="s">
        <v>372</v>
      </c>
      <c r="J23">
        <f>IF(AND(ISBLANK(D23),ISBLANK(E23)),"",D23+LEN(E23))</f>
        <v>1</v>
      </c>
      <c r="K23">
        <f>A23</f>
        <v>0</v>
      </c>
    </row>
    <row r="24" spans="1:11" x14ac:dyDescent="0.15">
      <c r="A24" s="3"/>
      <c r="G24" s="5"/>
      <c r="H24" s="5"/>
      <c r="J24" t="str">
        <f t="shared" si="1"/>
        <v/>
      </c>
      <c r="K24">
        <f t="shared" si="2"/>
        <v>0</v>
      </c>
    </row>
    <row r="25" spans="1:11" x14ac:dyDescent="0.15">
      <c r="A25" s="3">
        <v>2</v>
      </c>
      <c r="B25" t="s">
        <v>328</v>
      </c>
      <c r="C25" t="s">
        <v>217</v>
      </c>
      <c r="E25" t="s">
        <v>341</v>
      </c>
      <c r="F25" t="s">
        <v>345</v>
      </c>
      <c r="G25" s="5"/>
      <c r="H25" s="5" t="s">
        <v>374</v>
      </c>
      <c r="J25">
        <f t="shared" si="1"/>
        <v>2</v>
      </c>
      <c r="K25">
        <f t="shared" si="2"/>
        <v>2</v>
      </c>
    </row>
    <row r="26" spans="1:11" x14ac:dyDescent="0.15">
      <c r="A26" s="3"/>
      <c r="G26" s="5"/>
      <c r="H26" s="5"/>
      <c r="J26" t="str">
        <f t="shared" si="1"/>
        <v/>
      </c>
      <c r="K26">
        <f t="shared" si="2"/>
        <v>0</v>
      </c>
    </row>
    <row r="27" spans="1:11" x14ac:dyDescent="0.15">
      <c r="A27" s="3">
        <v>2</v>
      </c>
      <c r="B27" t="s">
        <v>327</v>
      </c>
      <c r="C27" t="s">
        <v>338</v>
      </c>
      <c r="D27">
        <v>1</v>
      </c>
      <c r="E27" t="s">
        <v>340</v>
      </c>
      <c r="F27" t="s">
        <v>345</v>
      </c>
      <c r="G27" s="5"/>
      <c r="H27" s="5" t="s">
        <v>376</v>
      </c>
      <c r="J27">
        <f t="shared" si="1"/>
        <v>3</v>
      </c>
      <c r="K27">
        <f t="shared" si="2"/>
        <v>2</v>
      </c>
    </row>
    <row r="28" spans="1:11" x14ac:dyDescent="0.15">
      <c r="A28" s="3">
        <v>4</v>
      </c>
      <c r="B28" t="s">
        <v>329</v>
      </c>
      <c r="C28" t="s">
        <v>338</v>
      </c>
      <c r="D28">
        <v>1</v>
      </c>
      <c r="E28" t="s">
        <v>339</v>
      </c>
      <c r="F28" t="s">
        <v>346</v>
      </c>
      <c r="G28" s="5"/>
      <c r="H28" s="5" t="s">
        <v>373</v>
      </c>
      <c r="J28">
        <f t="shared" si="1"/>
        <v>3</v>
      </c>
      <c r="K28">
        <f t="shared" si="2"/>
        <v>4</v>
      </c>
    </row>
    <row r="29" spans="1:11" x14ac:dyDescent="0.15">
      <c r="A29" s="3"/>
      <c r="G29" s="5"/>
      <c r="J29" t="str">
        <f t="shared" si="1"/>
        <v/>
      </c>
      <c r="K29">
        <f t="shared" si="2"/>
        <v>0</v>
      </c>
    </row>
    <row r="30" spans="1:11" x14ac:dyDescent="0.15">
      <c r="A30" s="3">
        <v>1</v>
      </c>
      <c r="B30" t="s">
        <v>331</v>
      </c>
      <c r="C30" t="s">
        <v>217</v>
      </c>
      <c r="D30">
        <v>3</v>
      </c>
      <c r="E30" t="s">
        <v>341</v>
      </c>
      <c r="F30" t="s">
        <v>348</v>
      </c>
      <c r="G30" s="5"/>
      <c r="H30" t="s">
        <v>380</v>
      </c>
      <c r="J30">
        <f t="shared" si="1"/>
        <v>5</v>
      </c>
      <c r="K30">
        <f t="shared" si="2"/>
        <v>1</v>
      </c>
    </row>
    <row r="31" spans="1:11" ht="14.25" thickBot="1" x14ac:dyDescent="0.2">
      <c r="A31" s="3"/>
      <c r="J31" t="str">
        <f t="shared" si="1"/>
        <v/>
      </c>
      <c r="K31">
        <f t="shared" si="2"/>
        <v>0</v>
      </c>
    </row>
    <row r="32" spans="1:11" x14ac:dyDescent="0.15">
      <c r="A32" s="2">
        <v>4</v>
      </c>
      <c r="B32" t="s">
        <v>332</v>
      </c>
    </row>
    <row r="33" spans="1:8" x14ac:dyDescent="0.15">
      <c r="A33" s="3">
        <v>4</v>
      </c>
      <c r="B33" t="s">
        <v>333</v>
      </c>
    </row>
    <row r="34" spans="1:8" x14ac:dyDescent="0.15">
      <c r="A34" s="3">
        <v>3</v>
      </c>
      <c r="B34" t="s">
        <v>334</v>
      </c>
    </row>
    <row r="35" spans="1:8" x14ac:dyDescent="0.15">
      <c r="A35" s="3">
        <v>1</v>
      </c>
      <c r="B35" t="s">
        <v>335</v>
      </c>
    </row>
    <row r="36" spans="1:8" x14ac:dyDescent="0.15">
      <c r="A36" s="3">
        <v>7</v>
      </c>
      <c r="B36" t="s">
        <v>336</v>
      </c>
    </row>
    <row r="37" spans="1:8" x14ac:dyDescent="0.15">
      <c r="A37" s="3">
        <v>5</v>
      </c>
      <c r="B37" t="s">
        <v>337</v>
      </c>
    </row>
    <row r="38" spans="1:8" x14ac:dyDescent="0.15">
      <c r="A38" s="3"/>
    </row>
    <row r="39" spans="1:8" ht="14.25" thickBot="1" x14ac:dyDescent="0.2">
      <c r="A39" s="4"/>
    </row>
    <row r="40" spans="1:8" x14ac:dyDescent="0.15">
      <c r="A40">
        <f>SUM(A32:A39)</f>
        <v>24</v>
      </c>
    </row>
    <row r="42" spans="1:8" ht="14.25" thickBot="1" x14ac:dyDescent="0.2"/>
    <row r="43" spans="1:8" x14ac:dyDescent="0.15">
      <c r="A43" s="2"/>
    </row>
    <row r="44" spans="1:8" x14ac:dyDescent="0.15">
      <c r="A44" s="3">
        <v>1</v>
      </c>
      <c r="B44" t="s">
        <v>323</v>
      </c>
      <c r="G44" s="5"/>
    </row>
    <row r="45" spans="1:8" x14ac:dyDescent="0.15">
      <c r="A45" s="3">
        <v>1</v>
      </c>
      <c r="B45" t="s">
        <v>383</v>
      </c>
      <c r="G45" s="5"/>
      <c r="H45" s="5"/>
    </row>
    <row r="46" spans="1:8" x14ac:dyDescent="0.15">
      <c r="A46" s="3">
        <v>4</v>
      </c>
      <c r="B46" t="s">
        <v>247</v>
      </c>
      <c r="G46" s="5"/>
    </row>
    <row r="47" spans="1:8" x14ac:dyDescent="0.15">
      <c r="A47" s="3">
        <v>3</v>
      </c>
      <c r="B47" t="s">
        <v>381</v>
      </c>
      <c r="G47" s="5"/>
    </row>
    <row r="48" spans="1:8" x14ac:dyDescent="0.15">
      <c r="A48" s="3">
        <v>1</v>
      </c>
      <c r="B48" t="s">
        <v>327</v>
      </c>
      <c r="G48" s="5"/>
    </row>
    <row r="49" spans="1:23" x14ac:dyDescent="0.15">
      <c r="A49" s="3">
        <v>1</v>
      </c>
      <c r="B49" t="s">
        <v>173</v>
      </c>
    </row>
    <row r="50" spans="1:23" x14ac:dyDescent="0.15">
      <c r="A50" s="3">
        <v>2</v>
      </c>
      <c r="B50" t="s">
        <v>328</v>
      </c>
    </row>
    <row r="51" spans="1:23" x14ac:dyDescent="0.15">
      <c r="A51" s="3">
        <v>2</v>
      </c>
      <c r="B51" t="s">
        <v>331</v>
      </c>
    </row>
    <row r="52" spans="1:23" ht="14.25" thickBot="1" x14ac:dyDescent="0.2">
      <c r="A52" s="3"/>
    </row>
    <row r="53" spans="1:23" ht="14.25" thickBot="1" x14ac:dyDescent="0.2">
      <c r="A53" s="6">
        <f>SUM(A43:A52)</f>
        <v>15</v>
      </c>
      <c r="P53" s="7">
        <v>0</v>
      </c>
      <c r="Q53" s="8">
        <v>1</v>
      </c>
      <c r="R53" s="8">
        <v>2</v>
      </c>
      <c r="S53" s="8">
        <v>3</v>
      </c>
      <c r="T53" s="8">
        <v>4</v>
      </c>
      <c r="U53" s="8">
        <v>5</v>
      </c>
      <c r="V53" s="8">
        <v>6</v>
      </c>
      <c r="W53" s="9">
        <v>7</v>
      </c>
    </row>
    <row r="54" spans="1:23" ht="14.25" thickBot="1" x14ac:dyDescent="0.2">
      <c r="P54" s="10">
        <f t="shared" ref="P54:V54" si="3">SUMIF($J5:$J31,P53,$A5:$A31)</f>
        <v>0</v>
      </c>
      <c r="Q54" s="11">
        <f t="shared" si="3"/>
        <v>5</v>
      </c>
      <c r="R54" s="11">
        <f t="shared" si="3"/>
        <v>15</v>
      </c>
      <c r="S54" s="11">
        <f t="shared" si="3"/>
        <v>10</v>
      </c>
      <c r="T54" s="11">
        <f t="shared" si="3"/>
        <v>4</v>
      </c>
      <c r="U54" s="11">
        <f t="shared" si="3"/>
        <v>1</v>
      </c>
      <c r="V54" s="11">
        <f t="shared" si="3"/>
        <v>0</v>
      </c>
      <c r="W54" s="12">
        <f>SUMIF($J5:$J31,"&gt;6",$A5:$A31)</f>
        <v>1</v>
      </c>
    </row>
    <row r="56" spans="1:23" ht="14.25" thickBot="1" x14ac:dyDescent="0.2"/>
    <row r="57" spans="1:23" x14ac:dyDescent="0.15">
      <c r="P57" s="7" t="s">
        <v>3</v>
      </c>
      <c r="Q57" s="8" t="s">
        <v>6</v>
      </c>
      <c r="R57" s="8" t="s">
        <v>5</v>
      </c>
      <c r="S57" s="8" t="s">
        <v>7</v>
      </c>
      <c r="T57" s="8" t="s">
        <v>8</v>
      </c>
      <c r="U57" s="8" t="s">
        <v>10</v>
      </c>
      <c r="V57" s="9" t="s">
        <v>9</v>
      </c>
    </row>
    <row r="58" spans="1:23" ht="14.25" thickBot="1" x14ac:dyDescent="0.2">
      <c r="P58" s="10">
        <f t="shared" ref="P58:U58" si="4">SUMIF($F5:$F31,P57,$A5:$A31)</f>
        <v>22</v>
      </c>
      <c r="Q58" s="11">
        <f t="shared" si="4"/>
        <v>7</v>
      </c>
      <c r="R58" s="11">
        <f t="shared" si="4"/>
        <v>0</v>
      </c>
      <c r="S58" s="11">
        <f t="shared" si="4"/>
        <v>4</v>
      </c>
      <c r="T58" s="11">
        <f t="shared" si="4"/>
        <v>2</v>
      </c>
      <c r="U58" s="11">
        <f t="shared" si="4"/>
        <v>1</v>
      </c>
      <c r="V58" s="12">
        <f>A40</f>
        <v>24</v>
      </c>
    </row>
  </sheetData>
  <phoneticPr fontId="1"/>
  <dataValidations count="1">
    <dataValidation type="list" allowBlank="1" showInputMessage="1" showErrorMessage="1" sqref="C5:C28 C29:C31">
      <formula1>$P$1:$U$1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W66"/>
  <sheetViews>
    <sheetView workbookViewId="0">
      <selection activeCell="J27" sqref="J27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3.5" bestFit="1" customWidth="1"/>
    <col min="5" max="5" width="4" bestFit="1" customWidth="1"/>
    <col min="6" max="6" width="2" bestFit="1" customWidth="1"/>
    <col min="7" max="7" width="4.875" bestFit="1" customWidth="1"/>
    <col min="8" max="8" width="12.625" customWidth="1"/>
    <col min="9" max="9" width="20.75" style="1" customWidth="1"/>
    <col min="10" max="10" width="3.5" bestFit="1" customWidth="1"/>
    <col min="11" max="11" width="2.5" bestFit="1" customWidth="1"/>
    <col min="12" max="12" width="3.5" bestFit="1" customWidth="1"/>
    <col min="13" max="13" width="2.5" bestFit="1" customWidth="1"/>
    <col min="14" max="14" width="3.5" bestFit="1" customWidth="1"/>
    <col min="15" max="17" width="3.75" customWidth="1"/>
    <col min="18" max="18" width="3.625" customWidth="1"/>
    <col min="19" max="22" width="3.75" customWidth="1"/>
    <col min="23" max="23" width="3.625" customWidth="1"/>
  </cols>
  <sheetData>
    <row r="1" spans="1:21" x14ac:dyDescent="0.15">
      <c r="P1" t="s">
        <v>80</v>
      </c>
      <c r="Q1" t="s">
        <v>145</v>
      </c>
      <c r="R1" t="s">
        <v>255</v>
      </c>
      <c r="S1" t="s">
        <v>97</v>
      </c>
      <c r="T1" t="s">
        <v>99</v>
      </c>
      <c r="U1" t="s">
        <v>83</v>
      </c>
    </row>
    <row r="4" spans="1:21" ht="14.25" thickBot="1" x14ac:dyDescent="0.2">
      <c r="A4">
        <f>SUM(A5:A47)</f>
        <v>64</v>
      </c>
    </row>
    <row r="5" spans="1:21" x14ac:dyDescent="0.15">
      <c r="A5" s="2"/>
      <c r="G5" s="5"/>
      <c r="H5" s="5"/>
      <c r="J5" t="str">
        <f t="shared" ref="J5" si="0">IF(AND(ISBLANK(D5),ISBLANK(E5)),"",D5+LEN(E5))</f>
        <v/>
      </c>
      <c r="K5">
        <f>A5</f>
        <v>0</v>
      </c>
    </row>
    <row r="6" spans="1:21" x14ac:dyDescent="0.15">
      <c r="A6" s="3">
        <v>4</v>
      </c>
      <c r="B6" t="s">
        <v>254</v>
      </c>
      <c r="C6" t="s">
        <v>338</v>
      </c>
      <c r="E6" t="s">
        <v>207</v>
      </c>
      <c r="F6" t="s">
        <v>211</v>
      </c>
      <c r="G6" s="5" t="s">
        <v>256</v>
      </c>
      <c r="J6">
        <f>IF(AND(ISBLANK(D6),ISBLANK(E6)),"",D6+LEN(E6))</f>
        <v>1</v>
      </c>
      <c r="K6">
        <f>A6</f>
        <v>4</v>
      </c>
    </row>
    <row r="7" spans="1:21" x14ac:dyDescent="0.15">
      <c r="A7" s="3"/>
      <c r="G7" s="5"/>
      <c r="J7" t="str">
        <f t="shared" ref="J7:J23" si="1">IF(AND(ISBLANK(D7),ISBLANK(E7)),"",D7+LEN(E7))</f>
        <v/>
      </c>
      <c r="K7">
        <f t="shared" ref="K7:K23" si="2">A7</f>
        <v>0</v>
      </c>
    </row>
    <row r="8" spans="1:21" x14ac:dyDescent="0.15">
      <c r="A8" s="3">
        <v>4</v>
      </c>
      <c r="B8" t="s">
        <v>418</v>
      </c>
      <c r="C8" t="s">
        <v>338</v>
      </c>
      <c r="D8">
        <v>1</v>
      </c>
      <c r="E8" t="s">
        <v>207</v>
      </c>
      <c r="F8" t="s">
        <v>211</v>
      </c>
      <c r="G8" s="5" t="s">
        <v>425</v>
      </c>
      <c r="H8" s="5"/>
      <c r="J8">
        <f t="shared" si="1"/>
        <v>2</v>
      </c>
      <c r="K8">
        <f t="shared" si="2"/>
        <v>4</v>
      </c>
    </row>
    <row r="9" spans="1:21" x14ac:dyDescent="0.15">
      <c r="A9" s="3">
        <v>4</v>
      </c>
      <c r="B9" t="s">
        <v>419</v>
      </c>
      <c r="C9" t="s">
        <v>338</v>
      </c>
      <c r="D9">
        <v>1</v>
      </c>
      <c r="E9" t="s">
        <v>416</v>
      </c>
      <c r="F9" t="s">
        <v>211</v>
      </c>
      <c r="G9" s="5" t="s">
        <v>216</v>
      </c>
      <c r="H9" s="5"/>
      <c r="J9">
        <f t="shared" si="1"/>
        <v>2</v>
      </c>
      <c r="K9">
        <f t="shared" si="2"/>
        <v>4</v>
      </c>
    </row>
    <row r="10" spans="1:21" x14ac:dyDescent="0.15">
      <c r="A10" s="3">
        <v>4</v>
      </c>
      <c r="B10" t="s">
        <v>420</v>
      </c>
      <c r="C10" t="s">
        <v>338</v>
      </c>
      <c r="D10">
        <v>1</v>
      </c>
      <c r="E10" t="s">
        <v>416</v>
      </c>
      <c r="F10" t="s">
        <v>211</v>
      </c>
      <c r="G10" s="5" t="s">
        <v>29</v>
      </c>
      <c r="H10" s="5"/>
      <c r="J10">
        <f t="shared" si="1"/>
        <v>2</v>
      </c>
      <c r="K10">
        <f t="shared" si="2"/>
        <v>4</v>
      </c>
    </row>
    <row r="11" spans="1:21" x14ac:dyDescent="0.15">
      <c r="A11" s="3">
        <v>4</v>
      </c>
      <c r="B11" t="s">
        <v>432</v>
      </c>
      <c r="C11" t="s">
        <v>82</v>
      </c>
      <c r="D11">
        <v>2</v>
      </c>
      <c r="F11" t="s">
        <v>211</v>
      </c>
      <c r="G11" s="5" t="s">
        <v>433</v>
      </c>
      <c r="H11" s="5"/>
      <c r="J11">
        <f t="shared" ref="J11:J14" si="3">IF(AND(ISBLANK(D11),ISBLANK(E11)),"",D11+LEN(E11))</f>
        <v>2</v>
      </c>
      <c r="K11">
        <f t="shared" ref="K11:K14" si="4">A11</f>
        <v>4</v>
      </c>
    </row>
    <row r="12" spans="1:21" x14ac:dyDescent="0.15">
      <c r="A12" s="3"/>
      <c r="G12" s="5"/>
      <c r="H12" s="5"/>
      <c r="J12" t="str">
        <f t="shared" si="3"/>
        <v/>
      </c>
      <c r="K12">
        <f t="shared" si="4"/>
        <v>0</v>
      </c>
    </row>
    <row r="13" spans="1:21" x14ac:dyDescent="0.15">
      <c r="A13" s="3"/>
      <c r="G13" s="5"/>
      <c r="H13" s="5"/>
      <c r="J13" t="str">
        <f t="shared" si="3"/>
        <v/>
      </c>
      <c r="K13">
        <f t="shared" si="4"/>
        <v>0</v>
      </c>
    </row>
    <row r="14" spans="1:21" x14ac:dyDescent="0.15">
      <c r="A14" s="3">
        <v>2</v>
      </c>
      <c r="B14" t="s">
        <v>381</v>
      </c>
      <c r="C14" t="s">
        <v>96</v>
      </c>
      <c r="D14">
        <v>2</v>
      </c>
      <c r="E14" t="s">
        <v>207</v>
      </c>
      <c r="F14" t="s">
        <v>211</v>
      </c>
      <c r="G14" s="5" t="s">
        <v>426</v>
      </c>
      <c r="H14" s="5"/>
      <c r="J14">
        <f t="shared" si="3"/>
        <v>3</v>
      </c>
      <c r="K14">
        <f t="shared" si="4"/>
        <v>2</v>
      </c>
    </row>
    <row r="15" spans="1:21" x14ac:dyDescent="0.15">
      <c r="A15" s="3">
        <v>4</v>
      </c>
      <c r="B15" t="s">
        <v>421</v>
      </c>
      <c r="C15" t="s">
        <v>338</v>
      </c>
      <c r="D15">
        <v>2</v>
      </c>
      <c r="E15" t="s">
        <v>416</v>
      </c>
      <c r="F15" t="s">
        <v>211</v>
      </c>
      <c r="G15" s="5" t="s">
        <v>426</v>
      </c>
      <c r="H15" s="5"/>
      <c r="J15">
        <f t="shared" si="1"/>
        <v>3</v>
      </c>
      <c r="K15">
        <f t="shared" si="2"/>
        <v>4</v>
      </c>
    </row>
    <row r="16" spans="1:21" x14ac:dyDescent="0.15">
      <c r="A16" s="3"/>
      <c r="G16" s="5"/>
      <c r="H16" s="5"/>
      <c r="J16" t="str">
        <f t="shared" si="1"/>
        <v/>
      </c>
      <c r="K16">
        <f t="shared" si="2"/>
        <v>0</v>
      </c>
    </row>
    <row r="17" spans="1:11" x14ac:dyDescent="0.15">
      <c r="A17" s="3">
        <v>3</v>
      </c>
      <c r="B17" t="s">
        <v>422</v>
      </c>
      <c r="C17" t="s">
        <v>96</v>
      </c>
      <c r="D17">
        <v>2</v>
      </c>
      <c r="E17" t="s">
        <v>417</v>
      </c>
      <c r="F17" t="s">
        <v>211</v>
      </c>
      <c r="G17" s="5" t="s">
        <v>29</v>
      </c>
      <c r="H17" s="5" t="s">
        <v>427</v>
      </c>
      <c r="I17" s="1" t="s">
        <v>428</v>
      </c>
      <c r="J17">
        <f t="shared" si="1"/>
        <v>4</v>
      </c>
      <c r="K17">
        <f t="shared" si="2"/>
        <v>3</v>
      </c>
    </row>
    <row r="18" spans="1:11" x14ac:dyDescent="0.15">
      <c r="A18" s="3"/>
      <c r="G18" s="5"/>
      <c r="H18" s="5"/>
      <c r="J18" t="str">
        <f t="shared" si="1"/>
        <v/>
      </c>
      <c r="K18">
        <f t="shared" si="2"/>
        <v>0</v>
      </c>
    </row>
    <row r="19" spans="1:11" x14ac:dyDescent="0.15">
      <c r="A19" s="3">
        <v>1</v>
      </c>
      <c r="B19" t="s">
        <v>423</v>
      </c>
      <c r="C19" t="s">
        <v>338</v>
      </c>
      <c r="D19">
        <v>3</v>
      </c>
      <c r="E19" t="s">
        <v>417</v>
      </c>
      <c r="F19" t="s">
        <v>211</v>
      </c>
      <c r="G19" s="5" t="s">
        <v>429</v>
      </c>
      <c r="H19" s="5" t="s">
        <v>0</v>
      </c>
      <c r="I19" s="1" t="s">
        <v>430</v>
      </c>
      <c r="J19">
        <f t="shared" si="1"/>
        <v>5</v>
      </c>
      <c r="K19">
        <f t="shared" si="2"/>
        <v>1</v>
      </c>
    </row>
    <row r="20" spans="1:11" x14ac:dyDescent="0.15">
      <c r="A20" s="3"/>
      <c r="G20" s="5"/>
      <c r="H20" s="5"/>
      <c r="J20" t="str">
        <f t="shared" si="1"/>
        <v/>
      </c>
      <c r="K20">
        <f t="shared" si="2"/>
        <v>0</v>
      </c>
    </row>
    <row r="21" spans="1:11" x14ac:dyDescent="0.15">
      <c r="A21" s="3"/>
      <c r="G21" s="5"/>
      <c r="H21" s="5"/>
      <c r="J21" t="str">
        <f t="shared" si="1"/>
        <v/>
      </c>
      <c r="K21">
        <f t="shared" si="2"/>
        <v>0</v>
      </c>
    </row>
    <row r="22" spans="1:11" x14ac:dyDescent="0.15">
      <c r="A22" s="3">
        <v>2</v>
      </c>
      <c r="B22" t="s">
        <v>384</v>
      </c>
      <c r="C22" t="s">
        <v>338</v>
      </c>
      <c r="D22">
        <v>1</v>
      </c>
      <c r="E22" t="s">
        <v>207</v>
      </c>
      <c r="F22" t="s">
        <v>4</v>
      </c>
      <c r="G22" s="5"/>
      <c r="H22" s="5"/>
      <c r="J22">
        <f t="shared" si="1"/>
        <v>2</v>
      </c>
      <c r="K22">
        <f t="shared" si="2"/>
        <v>2</v>
      </c>
    </row>
    <row r="23" spans="1:11" x14ac:dyDescent="0.15">
      <c r="A23" s="3"/>
      <c r="G23" s="5"/>
      <c r="H23" s="5"/>
      <c r="J23" t="str">
        <f t="shared" si="1"/>
        <v/>
      </c>
      <c r="K23">
        <f t="shared" si="2"/>
        <v>0</v>
      </c>
    </row>
    <row r="24" spans="1:11" x14ac:dyDescent="0.15">
      <c r="A24" s="3"/>
      <c r="B24" t="s">
        <v>329</v>
      </c>
      <c r="C24" t="s">
        <v>338</v>
      </c>
      <c r="D24">
        <v>1</v>
      </c>
      <c r="E24" t="s">
        <v>220</v>
      </c>
      <c r="F24" t="s">
        <v>147</v>
      </c>
      <c r="G24" s="5"/>
      <c r="H24" s="5"/>
      <c r="J24">
        <f t="shared" ref="J24:J39" si="5">IF(AND(ISBLANK(D24),ISBLANK(E24)),"",D24+LEN(E24))</f>
        <v>3</v>
      </c>
      <c r="K24">
        <f t="shared" ref="K24:K39" si="6">A24</f>
        <v>0</v>
      </c>
    </row>
    <row r="25" spans="1:11" x14ac:dyDescent="0.15">
      <c r="A25" s="3"/>
      <c r="G25" s="5"/>
      <c r="H25" s="5"/>
      <c r="J25" t="str">
        <f t="shared" si="5"/>
        <v/>
      </c>
      <c r="K25">
        <f t="shared" si="6"/>
        <v>0</v>
      </c>
    </row>
    <row r="26" spans="1:11" x14ac:dyDescent="0.15">
      <c r="A26" s="3"/>
      <c r="G26" s="5"/>
      <c r="H26" s="5"/>
      <c r="J26" t="str">
        <f t="shared" si="5"/>
        <v/>
      </c>
      <c r="K26">
        <f t="shared" si="6"/>
        <v>0</v>
      </c>
    </row>
    <row r="27" spans="1:11" x14ac:dyDescent="0.15">
      <c r="A27" s="3"/>
      <c r="B27" t="s">
        <v>424</v>
      </c>
      <c r="C27" t="s">
        <v>96</v>
      </c>
      <c r="D27">
        <v>1</v>
      </c>
      <c r="E27" t="s">
        <v>431</v>
      </c>
      <c r="F27" t="s">
        <v>221</v>
      </c>
      <c r="G27" s="5"/>
      <c r="H27" s="5"/>
      <c r="J27">
        <f t="shared" si="5"/>
        <v>4</v>
      </c>
      <c r="K27">
        <f t="shared" si="6"/>
        <v>0</v>
      </c>
    </row>
    <row r="28" spans="1:11" x14ac:dyDescent="0.15">
      <c r="A28" s="3"/>
      <c r="G28" s="5"/>
      <c r="H28" s="5"/>
      <c r="J28" t="str">
        <f t="shared" si="5"/>
        <v/>
      </c>
      <c r="K28">
        <f t="shared" si="6"/>
        <v>0</v>
      </c>
    </row>
    <row r="29" spans="1:11" x14ac:dyDescent="0.15">
      <c r="A29" s="3">
        <v>4</v>
      </c>
      <c r="B29" t="s">
        <v>144</v>
      </c>
      <c r="C29" t="s">
        <v>103</v>
      </c>
      <c r="E29" t="s">
        <v>416</v>
      </c>
      <c r="F29" t="s">
        <v>147</v>
      </c>
      <c r="G29" s="5"/>
      <c r="H29" s="5"/>
      <c r="J29">
        <f t="shared" si="5"/>
        <v>1</v>
      </c>
      <c r="K29">
        <f t="shared" si="6"/>
        <v>4</v>
      </c>
    </row>
    <row r="30" spans="1:11" x14ac:dyDescent="0.15">
      <c r="A30" s="3">
        <v>4</v>
      </c>
      <c r="B30" t="s">
        <v>148</v>
      </c>
      <c r="C30" t="s">
        <v>82</v>
      </c>
      <c r="E30" t="s">
        <v>417</v>
      </c>
      <c r="F30" t="s">
        <v>147</v>
      </c>
      <c r="G30" s="5"/>
      <c r="J30">
        <f t="shared" si="5"/>
        <v>2</v>
      </c>
      <c r="K30">
        <f t="shared" si="6"/>
        <v>4</v>
      </c>
    </row>
    <row r="31" spans="1:11" x14ac:dyDescent="0.15">
      <c r="A31" s="3"/>
      <c r="G31" s="5"/>
      <c r="J31" t="str">
        <f t="shared" si="5"/>
        <v/>
      </c>
      <c r="K31">
        <f t="shared" si="6"/>
        <v>0</v>
      </c>
    </row>
    <row r="32" spans="1:11" x14ac:dyDescent="0.15">
      <c r="A32" s="3">
        <v>2</v>
      </c>
      <c r="B32" t="s">
        <v>197</v>
      </c>
      <c r="C32" t="s">
        <v>103</v>
      </c>
      <c r="D32">
        <v>1</v>
      </c>
      <c r="E32" t="s">
        <v>158</v>
      </c>
      <c r="F32" t="s">
        <v>221</v>
      </c>
      <c r="G32" s="5"/>
      <c r="H32" s="5"/>
      <c r="J32">
        <f t="shared" si="5"/>
        <v>3</v>
      </c>
      <c r="K32">
        <f t="shared" si="6"/>
        <v>2</v>
      </c>
    </row>
    <row r="33" spans="1:11" x14ac:dyDescent="0.15">
      <c r="A33" s="3"/>
      <c r="G33" s="5"/>
      <c r="H33" s="5"/>
      <c r="J33" t="str">
        <f t="shared" si="5"/>
        <v/>
      </c>
      <c r="K33">
        <f t="shared" si="6"/>
        <v>0</v>
      </c>
    </row>
    <row r="34" spans="1:11" x14ac:dyDescent="0.15">
      <c r="A34" s="3"/>
      <c r="B34" t="s">
        <v>154</v>
      </c>
      <c r="C34" t="s">
        <v>82</v>
      </c>
      <c r="D34">
        <v>3</v>
      </c>
      <c r="E34" t="s">
        <v>416</v>
      </c>
      <c r="F34" t="s">
        <v>219</v>
      </c>
      <c r="G34" s="5"/>
      <c r="H34" s="5"/>
      <c r="J34">
        <f t="shared" si="5"/>
        <v>4</v>
      </c>
      <c r="K34">
        <f t="shared" si="6"/>
        <v>0</v>
      </c>
    </row>
    <row r="35" spans="1:11" x14ac:dyDescent="0.15">
      <c r="A35" s="3"/>
      <c r="G35" s="5"/>
      <c r="H35" s="5"/>
      <c r="J35" t="str">
        <f t="shared" si="5"/>
        <v/>
      </c>
      <c r="K35">
        <f t="shared" si="6"/>
        <v>0</v>
      </c>
    </row>
    <row r="36" spans="1:11" x14ac:dyDescent="0.15">
      <c r="A36" s="3"/>
      <c r="G36" s="5"/>
      <c r="H36" s="5"/>
      <c r="J36" t="str">
        <f t="shared" si="5"/>
        <v/>
      </c>
      <c r="K36">
        <f t="shared" si="6"/>
        <v>0</v>
      </c>
    </row>
    <row r="37" spans="1:11" x14ac:dyDescent="0.15">
      <c r="A37" s="3"/>
      <c r="G37" s="5"/>
      <c r="J37" t="str">
        <f t="shared" si="5"/>
        <v/>
      </c>
      <c r="K37">
        <f t="shared" si="6"/>
        <v>0</v>
      </c>
    </row>
    <row r="38" spans="1:11" x14ac:dyDescent="0.15">
      <c r="A38" s="3"/>
      <c r="G38" s="5"/>
      <c r="J38" t="str">
        <f t="shared" si="5"/>
        <v/>
      </c>
      <c r="K38">
        <f t="shared" si="6"/>
        <v>0</v>
      </c>
    </row>
    <row r="39" spans="1:11" ht="14.25" thickBot="1" x14ac:dyDescent="0.2">
      <c r="A39" s="3"/>
      <c r="J39" t="str">
        <f t="shared" si="5"/>
        <v/>
      </c>
      <c r="K39">
        <f t="shared" si="6"/>
        <v>0</v>
      </c>
    </row>
    <row r="40" spans="1:11" x14ac:dyDescent="0.15">
      <c r="A40" s="2"/>
    </row>
    <row r="41" spans="1:11" x14ac:dyDescent="0.15">
      <c r="A41" s="3"/>
    </row>
    <row r="42" spans="1:11" x14ac:dyDescent="0.15">
      <c r="A42" s="3">
        <v>22</v>
      </c>
    </row>
    <row r="43" spans="1:11" x14ac:dyDescent="0.15">
      <c r="A43" s="3"/>
    </row>
    <row r="44" spans="1:11" x14ac:dyDescent="0.15">
      <c r="A44" s="3"/>
    </row>
    <row r="45" spans="1:11" x14ac:dyDescent="0.15">
      <c r="A45" s="3"/>
    </row>
    <row r="46" spans="1:11" x14ac:dyDescent="0.15">
      <c r="A46" s="3"/>
    </row>
    <row r="47" spans="1:11" ht="14.25" thickBot="1" x14ac:dyDescent="0.2">
      <c r="A47" s="4"/>
    </row>
    <row r="48" spans="1:11" x14ac:dyDescent="0.15">
      <c r="A48">
        <f>SUM(A40:A47)</f>
        <v>22</v>
      </c>
    </row>
    <row r="50" spans="1:23" ht="14.25" thickBot="1" x14ac:dyDescent="0.2"/>
    <row r="51" spans="1:23" x14ac:dyDescent="0.15">
      <c r="A51" s="2"/>
    </row>
    <row r="52" spans="1:23" x14ac:dyDescent="0.15">
      <c r="A52" s="3"/>
      <c r="G52" s="5"/>
    </row>
    <row r="53" spans="1:23" x14ac:dyDescent="0.15">
      <c r="A53" s="3"/>
      <c r="G53" s="5"/>
      <c r="H53" s="5"/>
    </row>
    <row r="54" spans="1:23" x14ac:dyDescent="0.15">
      <c r="A54" s="3"/>
      <c r="G54" s="5"/>
    </row>
    <row r="55" spans="1:23" x14ac:dyDescent="0.15">
      <c r="A55" s="3"/>
      <c r="G55" s="5"/>
    </row>
    <row r="56" spans="1:23" x14ac:dyDescent="0.15">
      <c r="A56" s="3"/>
      <c r="G56" s="5"/>
    </row>
    <row r="57" spans="1:23" x14ac:dyDescent="0.15">
      <c r="A57" s="3"/>
    </row>
    <row r="58" spans="1:23" x14ac:dyDescent="0.15">
      <c r="A58" s="3"/>
    </row>
    <row r="59" spans="1:23" x14ac:dyDescent="0.15">
      <c r="A59" s="3"/>
    </row>
    <row r="60" spans="1:23" ht="14.25" thickBot="1" x14ac:dyDescent="0.2">
      <c r="A60" s="3"/>
    </row>
    <row r="61" spans="1:23" ht="14.25" thickBot="1" x14ac:dyDescent="0.2">
      <c r="A61" s="6">
        <f>SUM(A51:A60)</f>
        <v>0</v>
      </c>
      <c r="P61" s="7">
        <v>0</v>
      </c>
      <c r="Q61" s="8">
        <v>1</v>
      </c>
      <c r="R61" s="8">
        <v>2</v>
      </c>
      <c r="S61" s="8">
        <v>3</v>
      </c>
      <c r="T61" s="8">
        <v>4</v>
      </c>
      <c r="U61" s="8">
        <v>5</v>
      </c>
      <c r="V61" s="8">
        <v>6</v>
      </c>
      <c r="W61" s="9">
        <v>7</v>
      </c>
    </row>
    <row r="62" spans="1:23" ht="14.25" thickBot="1" x14ac:dyDescent="0.2">
      <c r="P62" s="10">
        <f t="shared" ref="P62:V62" si="7">SUMIF($J5:$J39,P61,$A5:$A39)</f>
        <v>0</v>
      </c>
      <c r="Q62" s="11">
        <f t="shared" si="7"/>
        <v>8</v>
      </c>
      <c r="R62" s="11">
        <f t="shared" si="7"/>
        <v>22</v>
      </c>
      <c r="S62" s="11">
        <f t="shared" si="7"/>
        <v>8</v>
      </c>
      <c r="T62" s="11">
        <f t="shared" si="7"/>
        <v>3</v>
      </c>
      <c r="U62" s="11">
        <f t="shared" si="7"/>
        <v>1</v>
      </c>
      <c r="V62" s="11">
        <f t="shared" si="7"/>
        <v>0</v>
      </c>
      <c r="W62" s="12">
        <f>SUMIF($J5:$J39,"&gt;6",$A5:$A39)</f>
        <v>0</v>
      </c>
    </row>
    <row r="64" spans="1:23" ht="14.25" thickBot="1" x14ac:dyDescent="0.2"/>
    <row r="65" spans="16:22" x14ac:dyDescent="0.15">
      <c r="P65" s="7" t="s">
        <v>3</v>
      </c>
      <c r="Q65" s="8" t="s">
        <v>6</v>
      </c>
      <c r="R65" s="8" t="s">
        <v>5</v>
      </c>
      <c r="S65" s="8" t="s">
        <v>7</v>
      </c>
      <c r="T65" s="8" t="s">
        <v>8</v>
      </c>
      <c r="U65" s="8" t="s">
        <v>10</v>
      </c>
      <c r="V65" s="9" t="s">
        <v>9</v>
      </c>
    </row>
    <row r="66" spans="16:22" ht="14.25" thickBot="1" x14ac:dyDescent="0.2">
      <c r="P66" s="10">
        <f t="shared" ref="P66:U66" si="8">SUMIF($F5:$F39,P65,$A5:$A39)</f>
        <v>30</v>
      </c>
      <c r="Q66" s="11">
        <f t="shared" si="8"/>
        <v>0</v>
      </c>
      <c r="R66" s="11">
        <f t="shared" si="8"/>
        <v>2</v>
      </c>
      <c r="S66" s="11">
        <f t="shared" si="8"/>
        <v>8</v>
      </c>
      <c r="T66" s="11">
        <f t="shared" si="8"/>
        <v>0</v>
      </c>
      <c r="U66" s="11">
        <f t="shared" si="8"/>
        <v>2</v>
      </c>
      <c r="V66" s="12">
        <f>A48</f>
        <v>22</v>
      </c>
    </row>
  </sheetData>
  <phoneticPr fontId="1"/>
  <dataValidations count="1">
    <dataValidation type="list" allowBlank="1" showInputMessage="1" showErrorMessage="1" sqref="C5:C39">
      <formula1>$P$1:$U$1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W58"/>
  <sheetViews>
    <sheetView topLeftCell="A4" workbookViewId="0">
      <selection activeCell="I22" sqref="I22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3.5" bestFit="1" customWidth="1"/>
    <col min="5" max="5" width="4" bestFit="1" customWidth="1"/>
    <col min="6" max="6" width="2" bestFit="1" customWidth="1"/>
    <col min="7" max="7" width="4.875" bestFit="1" customWidth="1"/>
    <col min="8" max="8" width="12.625" customWidth="1"/>
    <col min="9" max="9" width="20.75" style="1" customWidth="1"/>
    <col min="10" max="10" width="3.5" bestFit="1" customWidth="1"/>
    <col min="11" max="11" width="2.5" bestFit="1" customWidth="1"/>
    <col min="12" max="12" width="3.5" bestFit="1" customWidth="1"/>
    <col min="13" max="13" width="2.5" bestFit="1" customWidth="1"/>
    <col min="14" max="14" width="3.5" bestFit="1" customWidth="1"/>
    <col min="15" max="17" width="3.75" customWidth="1"/>
    <col min="18" max="18" width="3.625" customWidth="1"/>
    <col min="19" max="22" width="3.75" customWidth="1"/>
    <col min="23" max="23" width="3.625" customWidth="1"/>
  </cols>
  <sheetData>
    <row r="1" spans="1:21" x14ac:dyDescent="0.15">
      <c r="P1" t="s">
        <v>202</v>
      </c>
      <c r="Q1" t="s">
        <v>145</v>
      </c>
      <c r="R1" t="s">
        <v>255</v>
      </c>
      <c r="S1" t="s">
        <v>97</v>
      </c>
      <c r="T1" t="s">
        <v>99</v>
      </c>
      <c r="U1" t="s">
        <v>83</v>
      </c>
    </row>
    <row r="4" spans="1:21" ht="14.25" thickBot="1" x14ac:dyDescent="0.2">
      <c r="A4">
        <f>SUM(A5:A39)</f>
        <v>60</v>
      </c>
    </row>
    <row r="5" spans="1:21" x14ac:dyDescent="0.15">
      <c r="A5" s="2"/>
      <c r="G5" s="5"/>
      <c r="H5" s="5"/>
      <c r="J5" t="str">
        <f t="shared" ref="J5" si="0">IF(AND(ISBLANK(D5),ISBLANK(E5)),"",D5+LEN(E5))</f>
        <v/>
      </c>
      <c r="K5">
        <f>A5</f>
        <v>0</v>
      </c>
    </row>
    <row r="6" spans="1:21" x14ac:dyDescent="0.15">
      <c r="A6" s="3">
        <v>4</v>
      </c>
      <c r="B6" t="s">
        <v>386</v>
      </c>
      <c r="C6" t="s">
        <v>206</v>
      </c>
      <c r="D6">
        <v>1</v>
      </c>
      <c r="F6" t="s">
        <v>400</v>
      </c>
      <c r="G6" s="5" t="s">
        <v>213</v>
      </c>
      <c r="H6" t="s">
        <v>405</v>
      </c>
      <c r="J6">
        <f>IF(AND(ISBLANK(D6),ISBLANK(E6)),"",D6+LEN(E6))</f>
        <v>1</v>
      </c>
      <c r="K6">
        <f>A6</f>
        <v>4</v>
      </c>
    </row>
    <row r="7" spans="1:21" x14ac:dyDescent="0.15">
      <c r="A7" s="3">
        <v>4</v>
      </c>
      <c r="B7" t="s">
        <v>254</v>
      </c>
      <c r="C7" t="s">
        <v>338</v>
      </c>
      <c r="E7" t="s">
        <v>396</v>
      </c>
      <c r="F7" t="s">
        <v>400</v>
      </c>
      <c r="G7" s="5" t="s">
        <v>163</v>
      </c>
      <c r="H7" t="s">
        <v>406</v>
      </c>
      <c r="J7">
        <f t="shared" ref="J7:J31" si="1">IF(AND(ISBLANK(D7),ISBLANK(E7)),"",D7+LEN(E7))</f>
        <v>1</v>
      </c>
      <c r="K7">
        <f t="shared" ref="K7:K31" si="2">A7</f>
        <v>4</v>
      </c>
    </row>
    <row r="8" spans="1:21" x14ac:dyDescent="0.15">
      <c r="A8" s="3">
        <v>4</v>
      </c>
      <c r="B8" t="s">
        <v>210</v>
      </c>
      <c r="C8" t="s">
        <v>206</v>
      </c>
      <c r="E8" t="s">
        <v>396</v>
      </c>
      <c r="F8" t="s">
        <v>400</v>
      </c>
      <c r="G8" s="5" t="s">
        <v>213</v>
      </c>
      <c r="H8" s="5" t="s">
        <v>407</v>
      </c>
      <c r="J8">
        <f t="shared" si="1"/>
        <v>1</v>
      </c>
      <c r="K8">
        <f t="shared" si="2"/>
        <v>4</v>
      </c>
    </row>
    <row r="9" spans="1:21" x14ac:dyDescent="0.15">
      <c r="A9" s="3">
        <v>4</v>
      </c>
      <c r="B9" t="s">
        <v>387</v>
      </c>
      <c r="C9" t="s">
        <v>338</v>
      </c>
      <c r="E9" t="s">
        <v>396</v>
      </c>
      <c r="F9" t="s">
        <v>400</v>
      </c>
      <c r="G9" s="5" t="s">
        <v>213</v>
      </c>
      <c r="H9" s="5" t="s">
        <v>408</v>
      </c>
      <c r="J9">
        <f t="shared" si="1"/>
        <v>1</v>
      </c>
      <c r="K9">
        <f t="shared" si="2"/>
        <v>4</v>
      </c>
    </row>
    <row r="10" spans="1:21" x14ac:dyDescent="0.15">
      <c r="A10" s="3">
        <v>4</v>
      </c>
      <c r="B10" t="s">
        <v>388</v>
      </c>
      <c r="C10" t="s">
        <v>96</v>
      </c>
      <c r="D10">
        <v>2</v>
      </c>
      <c r="F10" t="s">
        <v>400</v>
      </c>
      <c r="G10" s="5" t="s">
        <v>112</v>
      </c>
      <c r="H10" s="5"/>
      <c r="J10">
        <f t="shared" si="1"/>
        <v>2</v>
      </c>
      <c r="K10">
        <f t="shared" si="2"/>
        <v>4</v>
      </c>
    </row>
    <row r="11" spans="1:21" x14ac:dyDescent="0.15">
      <c r="A11" s="3">
        <v>4</v>
      </c>
      <c r="B11" t="s">
        <v>247</v>
      </c>
      <c r="C11" t="s">
        <v>206</v>
      </c>
      <c r="D11">
        <v>2</v>
      </c>
      <c r="F11" t="s">
        <v>400</v>
      </c>
      <c r="G11" s="5" t="s">
        <v>398</v>
      </c>
      <c r="H11" s="5"/>
      <c r="J11">
        <f t="shared" si="1"/>
        <v>2</v>
      </c>
      <c r="K11">
        <f t="shared" si="2"/>
        <v>4</v>
      </c>
    </row>
    <row r="12" spans="1:21" x14ac:dyDescent="0.15">
      <c r="A12" s="3"/>
      <c r="G12" s="5"/>
      <c r="H12" s="5"/>
      <c r="J12" t="str">
        <f t="shared" si="1"/>
        <v/>
      </c>
      <c r="K12">
        <f t="shared" si="2"/>
        <v>0</v>
      </c>
    </row>
    <row r="13" spans="1:21" x14ac:dyDescent="0.15">
      <c r="A13" s="3"/>
      <c r="G13" s="5"/>
      <c r="H13" s="5"/>
      <c r="J13" t="str">
        <f t="shared" si="1"/>
        <v/>
      </c>
      <c r="K13">
        <f t="shared" si="2"/>
        <v>0</v>
      </c>
    </row>
    <row r="14" spans="1:21" x14ac:dyDescent="0.15">
      <c r="A14" s="3">
        <v>3</v>
      </c>
      <c r="B14" t="s">
        <v>389</v>
      </c>
      <c r="C14" t="s">
        <v>206</v>
      </c>
      <c r="E14" t="s">
        <v>396</v>
      </c>
      <c r="F14" t="s">
        <v>401</v>
      </c>
      <c r="G14" s="5"/>
      <c r="H14" s="5"/>
      <c r="J14">
        <f t="shared" si="1"/>
        <v>1</v>
      </c>
      <c r="K14">
        <f t="shared" si="2"/>
        <v>3</v>
      </c>
    </row>
    <row r="15" spans="1:21" x14ac:dyDescent="0.15">
      <c r="A15" s="3"/>
      <c r="G15" s="5"/>
      <c r="H15" s="5"/>
      <c r="J15" t="str">
        <f t="shared" si="1"/>
        <v/>
      </c>
      <c r="K15">
        <f t="shared" si="2"/>
        <v>0</v>
      </c>
    </row>
    <row r="16" spans="1:21" x14ac:dyDescent="0.15">
      <c r="A16" s="3"/>
      <c r="G16" s="5"/>
      <c r="H16" s="5"/>
      <c r="J16" t="str">
        <f t="shared" si="1"/>
        <v/>
      </c>
      <c r="K16">
        <f t="shared" si="2"/>
        <v>0</v>
      </c>
    </row>
    <row r="17" spans="1:11" x14ac:dyDescent="0.15">
      <c r="A17" s="3">
        <v>4</v>
      </c>
      <c r="B17" t="s">
        <v>32</v>
      </c>
      <c r="C17" t="s">
        <v>82</v>
      </c>
      <c r="D17">
        <v>1</v>
      </c>
      <c r="F17" t="s">
        <v>402</v>
      </c>
      <c r="G17" s="5" t="s">
        <v>399</v>
      </c>
      <c r="H17" s="5"/>
      <c r="J17">
        <f t="shared" si="1"/>
        <v>1</v>
      </c>
      <c r="K17">
        <f t="shared" si="2"/>
        <v>4</v>
      </c>
    </row>
    <row r="18" spans="1:11" x14ac:dyDescent="0.15">
      <c r="A18" s="3">
        <v>2</v>
      </c>
      <c r="B18" t="s">
        <v>108</v>
      </c>
      <c r="C18" t="s">
        <v>96</v>
      </c>
      <c r="D18">
        <v>1</v>
      </c>
      <c r="F18" t="s">
        <v>403</v>
      </c>
      <c r="G18" s="5"/>
      <c r="H18" s="5"/>
      <c r="J18">
        <f t="shared" si="1"/>
        <v>1</v>
      </c>
      <c r="K18">
        <f t="shared" si="2"/>
        <v>2</v>
      </c>
    </row>
    <row r="19" spans="1:11" x14ac:dyDescent="0.15">
      <c r="A19" s="3">
        <v>4</v>
      </c>
      <c r="B19" t="s">
        <v>390</v>
      </c>
      <c r="C19" t="s">
        <v>206</v>
      </c>
      <c r="D19">
        <v>2</v>
      </c>
      <c r="F19" t="s">
        <v>403</v>
      </c>
      <c r="G19" s="5"/>
      <c r="H19" s="5"/>
      <c r="J19">
        <f t="shared" si="1"/>
        <v>2</v>
      </c>
      <c r="K19">
        <f t="shared" si="2"/>
        <v>4</v>
      </c>
    </row>
    <row r="20" spans="1:11" x14ac:dyDescent="0.15">
      <c r="A20" s="3"/>
      <c r="G20" s="5"/>
      <c r="H20" s="5"/>
      <c r="J20" t="str">
        <f t="shared" si="1"/>
        <v/>
      </c>
      <c r="K20">
        <f t="shared" si="2"/>
        <v>0</v>
      </c>
    </row>
    <row r="21" spans="1:11" x14ac:dyDescent="0.15">
      <c r="A21" s="3"/>
      <c r="G21" s="5"/>
      <c r="H21" s="5"/>
      <c r="J21" t="str">
        <f t="shared" si="1"/>
        <v/>
      </c>
      <c r="K21">
        <f t="shared" si="2"/>
        <v>0</v>
      </c>
    </row>
    <row r="22" spans="1:11" x14ac:dyDescent="0.15">
      <c r="A22" s="3">
        <v>3</v>
      </c>
      <c r="B22" t="s">
        <v>391</v>
      </c>
      <c r="C22" t="s">
        <v>338</v>
      </c>
      <c r="E22" t="s">
        <v>396</v>
      </c>
      <c r="F22" t="s">
        <v>404</v>
      </c>
      <c r="G22" s="5"/>
      <c r="J22">
        <f>IF(AND(ISBLANK(D22),ISBLANK(E22)),"",D22+LEN(E22))</f>
        <v>1</v>
      </c>
      <c r="K22">
        <f>A22</f>
        <v>3</v>
      </c>
    </row>
    <row r="23" spans="1:11" x14ac:dyDescent="0.15">
      <c r="A23" s="3">
        <v>1</v>
      </c>
      <c r="B23" t="s">
        <v>329</v>
      </c>
      <c r="C23" t="s">
        <v>338</v>
      </c>
      <c r="D23">
        <v>1</v>
      </c>
      <c r="E23" t="s">
        <v>397</v>
      </c>
      <c r="F23" t="s">
        <v>404</v>
      </c>
      <c r="G23" s="5"/>
      <c r="J23">
        <f>IF(AND(ISBLANK(D23),ISBLANK(E23)),"",D23+LEN(E23))</f>
        <v>3</v>
      </c>
      <c r="K23">
        <f>A23</f>
        <v>1</v>
      </c>
    </row>
    <row r="24" spans="1:11" x14ac:dyDescent="0.15">
      <c r="A24" s="3"/>
      <c r="G24" s="5"/>
      <c r="H24" s="5"/>
      <c r="J24" t="str">
        <f t="shared" si="1"/>
        <v/>
      </c>
      <c r="K24">
        <f t="shared" si="2"/>
        <v>0</v>
      </c>
    </row>
    <row r="25" spans="1:11" x14ac:dyDescent="0.15">
      <c r="A25" s="3"/>
      <c r="G25" s="5"/>
      <c r="H25" s="5"/>
      <c r="J25" t="str">
        <f t="shared" si="1"/>
        <v/>
      </c>
      <c r="K25">
        <f t="shared" si="2"/>
        <v>0</v>
      </c>
    </row>
    <row r="26" spans="1:11" x14ac:dyDescent="0.15">
      <c r="A26" s="3"/>
      <c r="G26" s="5"/>
      <c r="H26" s="5"/>
      <c r="J26" t="str">
        <f t="shared" si="1"/>
        <v/>
      </c>
      <c r="K26">
        <f t="shared" si="2"/>
        <v>0</v>
      </c>
    </row>
    <row r="27" spans="1:11" x14ac:dyDescent="0.15">
      <c r="A27" s="3"/>
      <c r="G27" s="5"/>
      <c r="H27" s="5"/>
      <c r="J27" t="str">
        <f t="shared" si="1"/>
        <v/>
      </c>
      <c r="K27">
        <f t="shared" si="2"/>
        <v>0</v>
      </c>
    </row>
    <row r="28" spans="1:11" x14ac:dyDescent="0.15">
      <c r="A28" s="3"/>
      <c r="G28" s="5"/>
      <c r="H28" s="5"/>
      <c r="J28" t="str">
        <f t="shared" si="1"/>
        <v/>
      </c>
      <c r="K28">
        <f t="shared" si="2"/>
        <v>0</v>
      </c>
    </row>
    <row r="29" spans="1:11" x14ac:dyDescent="0.15">
      <c r="A29" s="3"/>
      <c r="G29" s="5"/>
      <c r="J29" t="str">
        <f t="shared" si="1"/>
        <v/>
      </c>
      <c r="K29">
        <f t="shared" si="2"/>
        <v>0</v>
      </c>
    </row>
    <row r="30" spans="1:11" x14ac:dyDescent="0.15">
      <c r="A30" s="3"/>
      <c r="G30" s="5"/>
      <c r="J30" t="str">
        <f t="shared" si="1"/>
        <v/>
      </c>
      <c r="K30">
        <f t="shared" si="2"/>
        <v>0</v>
      </c>
    </row>
    <row r="31" spans="1:11" ht="14.25" thickBot="1" x14ac:dyDescent="0.2">
      <c r="A31" s="3"/>
      <c r="J31" t="str">
        <f t="shared" si="1"/>
        <v/>
      </c>
      <c r="K31">
        <f t="shared" si="2"/>
        <v>0</v>
      </c>
    </row>
    <row r="32" spans="1:11" x14ac:dyDescent="0.15">
      <c r="A32" s="2"/>
    </row>
    <row r="33" spans="1:8" x14ac:dyDescent="0.15">
      <c r="A33" s="3">
        <v>4</v>
      </c>
      <c r="B33" t="s">
        <v>392</v>
      </c>
    </row>
    <row r="34" spans="1:8" x14ac:dyDescent="0.15">
      <c r="A34" s="3">
        <v>4</v>
      </c>
      <c r="B34" t="s">
        <v>332</v>
      </c>
    </row>
    <row r="35" spans="1:8" x14ac:dyDescent="0.15">
      <c r="A35" s="3">
        <v>4</v>
      </c>
      <c r="B35" t="s">
        <v>385</v>
      </c>
    </row>
    <row r="36" spans="1:8" x14ac:dyDescent="0.15">
      <c r="A36" s="3">
        <v>7</v>
      </c>
      <c r="B36" t="s">
        <v>337</v>
      </c>
    </row>
    <row r="37" spans="1:8" x14ac:dyDescent="0.15">
      <c r="A37" s="3"/>
    </row>
    <row r="38" spans="1:8" x14ac:dyDescent="0.15">
      <c r="A38" s="3"/>
    </row>
    <row r="39" spans="1:8" ht="14.25" thickBot="1" x14ac:dyDescent="0.2">
      <c r="A39" s="4"/>
    </row>
    <row r="40" spans="1:8" x14ac:dyDescent="0.15">
      <c r="A40">
        <f>SUM(A32:A39)</f>
        <v>19</v>
      </c>
    </row>
    <row r="42" spans="1:8" ht="14.25" thickBot="1" x14ac:dyDescent="0.2"/>
    <row r="43" spans="1:8" x14ac:dyDescent="0.15">
      <c r="A43" s="2"/>
    </row>
    <row r="44" spans="1:8" x14ac:dyDescent="0.15">
      <c r="A44" s="3">
        <v>3</v>
      </c>
      <c r="B44" t="s">
        <v>393</v>
      </c>
      <c r="G44" s="5"/>
    </row>
    <row r="45" spans="1:8" x14ac:dyDescent="0.15">
      <c r="A45" s="3">
        <v>3</v>
      </c>
      <c r="B45" t="s">
        <v>394</v>
      </c>
      <c r="G45" s="5"/>
      <c r="H45" s="5"/>
    </row>
    <row r="46" spans="1:8" x14ac:dyDescent="0.15">
      <c r="A46" s="3">
        <v>1</v>
      </c>
      <c r="B46" t="s">
        <v>389</v>
      </c>
      <c r="G46" s="5"/>
    </row>
    <row r="47" spans="1:8" x14ac:dyDescent="0.15">
      <c r="A47" s="3">
        <v>1</v>
      </c>
      <c r="B47" t="s">
        <v>391</v>
      </c>
      <c r="G47" s="5"/>
    </row>
    <row r="48" spans="1:8" x14ac:dyDescent="0.15">
      <c r="A48" s="3">
        <v>1</v>
      </c>
      <c r="B48" t="s">
        <v>329</v>
      </c>
      <c r="G48" s="5"/>
    </row>
    <row r="49" spans="1:23" x14ac:dyDescent="0.15">
      <c r="A49" s="3">
        <v>3</v>
      </c>
      <c r="B49" t="s">
        <v>384</v>
      </c>
    </row>
    <row r="50" spans="1:23" x14ac:dyDescent="0.15">
      <c r="A50" s="3">
        <v>3</v>
      </c>
      <c r="B50" t="s">
        <v>395</v>
      </c>
    </row>
    <row r="51" spans="1:23" x14ac:dyDescent="0.15">
      <c r="A51" s="3"/>
    </row>
    <row r="52" spans="1:23" ht="14.25" thickBot="1" x14ac:dyDescent="0.2">
      <c r="A52" s="3"/>
    </row>
    <row r="53" spans="1:23" ht="14.25" thickBot="1" x14ac:dyDescent="0.2">
      <c r="A53" s="6">
        <f>SUM(A43:A52)</f>
        <v>15</v>
      </c>
      <c r="P53" s="7">
        <v>0</v>
      </c>
      <c r="Q53" s="8">
        <v>1</v>
      </c>
      <c r="R53" s="8">
        <v>2</v>
      </c>
      <c r="S53" s="8">
        <v>3</v>
      </c>
      <c r="T53" s="8">
        <v>4</v>
      </c>
      <c r="U53" s="8">
        <v>5</v>
      </c>
      <c r="V53" s="8">
        <v>6</v>
      </c>
      <c r="W53" s="9">
        <v>7</v>
      </c>
    </row>
    <row r="54" spans="1:23" ht="14.25" thickBot="1" x14ac:dyDescent="0.2">
      <c r="P54" s="10">
        <f t="shared" ref="P54:V54" si="3">SUMIF($J5:$J31,P53,$A5:$A31)</f>
        <v>0</v>
      </c>
      <c r="Q54" s="11">
        <f t="shared" si="3"/>
        <v>28</v>
      </c>
      <c r="R54" s="11">
        <f t="shared" si="3"/>
        <v>12</v>
      </c>
      <c r="S54" s="11">
        <f t="shared" si="3"/>
        <v>1</v>
      </c>
      <c r="T54" s="11">
        <f t="shared" si="3"/>
        <v>0</v>
      </c>
      <c r="U54" s="11">
        <f t="shared" si="3"/>
        <v>0</v>
      </c>
      <c r="V54" s="11">
        <f t="shared" si="3"/>
        <v>0</v>
      </c>
      <c r="W54" s="12">
        <f>SUMIF($J5:$J31,"&gt;6",$A5:$A31)</f>
        <v>0</v>
      </c>
    </row>
    <row r="56" spans="1:23" ht="14.25" thickBot="1" x14ac:dyDescent="0.2"/>
    <row r="57" spans="1:23" x14ac:dyDescent="0.15">
      <c r="P57" s="7" t="s">
        <v>3</v>
      </c>
      <c r="Q57" s="8" t="s">
        <v>6</v>
      </c>
      <c r="R57" s="8" t="s">
        <v>5</v>
      </c>
      <c r="S57" s="8" t="s">
        <v>7</v>
      </c>
      <c r="T57" s="8" t="s">
        <v>8</v>
      </c>
      <c r="U57" s="8" t="s">
        <v>10</v>
      </c>
      <c r="V57" s="9" t="s">
        <v>9</v>
      </c>
    </row>
    <row r="58" spans="1:23" ht="14.25" thickBot="1" x14ac:dyDescent="0.2">
      <c r="P58" s="10">
        <f t="shared" ref="P58:U58" si="4">SUMIF($F5:$F31,P57,$A5:$A31)</f>
        <v>24</v>
      </c>
      <c r="Q58" s="11">
        <f t="shared" si="4"/>
        <v>3</v>
      </c>
      <c r="R58" s="11">
        <f t="shared" si="4"/>
        <v>0</v>
      </c>
      <c r="S58" s="11">
        <f t="shared" si="4"/>
        <v>4</v>
      </c>
      <c r="T58" s="11">
        <f t="shared" si="4"/>
        <v>10</v>
      </c>
      <c r="U58" s="11">
        <f t="shared" si="4"/>
        <v>0</v>
      </c>
      <c r="V58" s="12">
        <f>A40</f>
        <v>19</v>
      </c>
    </row>
  </sheetData>
  <phoneticPr fontId="1"/>
  <dataValidations count="1">
    <dataValidation type="list" allowBlank="1" showInputMessage="1" showErrorMessage="1" sqref="C5:C31">
      <formula1>$P$1:$U$1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1:W58"/>
  <sheetViews>
    <sheetView workbookViewId="0">
      <selection activeCell="H10" sqref="H10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3.5" bestFit="1" customWidth="1"/>
    <col min="5" max="5" width="4" bestFit="1" customWidth="1"/>
    <col min="6" max="6" width="2" bestFit="1" customWidth="1"/>
    <col min="7" max="7" width="4.875" bestFit="1" customWidth="1"/>
    <col min="8" max="8" width="12.625" customWidth="1"/>
    <col min="9" max="9" width="20.75" style="1" customWidth="1"/>
    <col min="10" max="10" width="3.5" bestFit="1" customWidth="1"/>
    <col min="11" max="11" width="2.5" bestFit="1" customWidth="1"/>
    <col min="12" max="12" width="3.5" bestFit="1" customWidth="1"/>
    <col min="13" max="13" width="2.5" bestFit="1" customWidth="1"/>
    <col min="14" max="14" width="3.5" bestFit="1" customWidth="1"/>
    <col min="15" max="17" width="3.75" customWidth="1"/>
    <col min="18" max="18" width="3.625" customWidth="1"/>
    <col min="19" max="22" width="3.75" customWidth="1"/>
    <col min="23" max="23" width="3.625" customWidth="1"/>
  </cols>
  <sheetData>
    <row r="1" spans="1:21" x14ac:dyDescent="0.15">
      <c r="P1" t="s">
        <v>80</v>
      </c>
      <c r="Q1" t="s">
        <v>145</v>
      </c>
      <c r="R1" t="s">
        <v>255</v>
      </c>
      <c r="S1" t="s">
        <v>97</v>
      </c>
      <c r="T1" t="s">
        <v>99</v>
      </c>
      <c r="U1" t="s">
        <v>83</v>
      </c>
    </row>
    <row r="4" spans="1:21" ht="14.25" thickBot="1" x14ac:dyDescent="0.2">
      <c r="A4">
        <f>SUM(A5:A39)</f>
        <v>57</v>
      </c>
    </row>
    <row r="5" spans="1:21" x14ac:dyDescent="0.15">
      <c r="A5" s="2"/>
      <c r="G5" s="5"/>
      <c r="H5" s="5"/>
      <c r="J5" t="str">
        <f t="shared" ref="J5" si="0">IF(AND(ISBLANK(D5),ISBLANK(E5)),"",D5+LEN(E5))</f>
        <v/>
      </c>
      <c r="K5">
        <f>A5</f>
        <v>0</v>
      </c>
    </row>
    <row r="6" spans="1:21" x14ac:dyDescent="0.15">
      <c r="A6" s="3"/>
      <c r="G6" s="5"/>
      <c r="J6" t="str">
        <f>IF(AND(ISBLANK(D6),ISBLANK(E6)),"",D6+LEN(E6))</f>
        <v/>
      </c>
      <c r="K6">
        <f>A6</f>
        <v>0</v>
      </c>
    </row>
    <row r="7" spans="1:21" x14ac:dyDescent="0.15">
      <c r="A7" s="3">
        <v>4</v>
      </c>
      <c r="B7" t="s">
        <v>504</v>
      </c>
      <c r="C7" t="s">
        <v>206</v>
      </c>
      <c r="D7">
        <v>1</v>
      </c>
      <c r="E7" t="s">
        <v>501</v>
      </c>
      <c r="F7" t="s">
        <v>505</v>
      </c>
      <c r="G7" s="5" t="s">
        <v>506</v>
      </c>
      <c r="H7" t="s">
        <v>507</v>
      </c>
      <c r="J7">
        <f t="shared" ref="J7:J31" si="1">IF(AND(ISBLANK(D7),ISBLANK(E7)),"",D7+LEN(E7))</f>
        <v>2</v>
      </c>
      <c r="K7">
        <f t="shared" ref="K7:K31" si="2">A7</f>
        <v>4</v>
      </c>
    </row>
    <row r="8" spans="1:21" x14ac:dyDescent="0.15">
      <c r="A8" s="3"/>
      <c r="G8" s="5"/>
      <c r="H8" s="5"/>
      <c r="J8" t="str">
        <f t="shared" si="1"/>
        <v/>
      </c>
      <c r="K8">
        <f t="shared" si="2"/>
        <v>0</v>
      </c>
    </row>
    <row r="9" spans="1:21" x14ac:dyDescent="0.15">
      <c r="A9" s="3"/>
      <c r="G9" s="5"/>
      <c r="H9" s="5"/>
      <c r="J9" t="str">
        <f t="shared" si="1"/>
        <v/>
      </c>
      <c r="K9">
        <f t="shared" si="2"/>
        <v>0</v>
      </c>
    </row>
    <row r="10" spans="1:21" x14ac:dyDescent="0.15">
      <c r="A10" s="3">
        <v>4</v>
      </c>
      <c r="B10" t="s">
        <v>421</v>
      </c>
      <c r="C10" t="s">
        <v>338</v>
      </c>
      <c r="D10">
        <v>2</v>
      </c>
      <c r="E10" t="s">
        <v>146</v>
      </c>
      <c r="F10" t="s">
        <v>505</v>
      </c>
      <c r="G10" s="5" t="s">
        <v>508</v>
      </c>
      <c r="H10" s="5" t="s">
        <v>509</v>
      </c>
      <c r="J10">
        <f t="shared" si="1"/>
        <v>3</v>
      </c>
      <c r="K10">
        <f t="shared" si="2"/>
        <v>4</v>
      </c>
    </row>
    <row r="11" spans="1:21" x14ac:dyDescent="0.15">
      <c r="A11" s="3"/>
      <c r="G11" s="5"/>
      <c r="H11" s="5"/>
      <c r="J11" t="str">
        <f t="shared" si="1"/>
        <v/>
      </c>
      <c r="K11">
        <f t="shared" si="2"/>
        <v>0</v>
      </c>
    </row>
    <row r="12" spans="1:21" x14ac:dyDescent="0.15">
      <c r="A12" s="3"/>
      <c r="G12" s="5"/>
      <c r="H12" s="5"/>
      <c r="J12" t="str">
        <f t="shared" si="1"/>
        <v/>
      </c>
      <c r="K12">
        <f t="shared" si="2"/>
        <v>0</v>
      </c>
    </row>
    <row r="13" spans="1:21" x14ac:dyDescent="0.15">
      <c r="A13" s="3"/>
      <c r="G13" s="5"/>
      <c r="H13" s="5"/>
      <c r="J13" t="str">
        <f t="shared" si="1"/>
        <v/>
      </c>
      <c r="K13">
        <f t="shared" si="2"/>
        <v>0</v>
      </c>
    </row>
    <row r="14" spans="1:21" x14ac:dyDescent="0.15">
      <c r="A14" s="3">
        <v>2</v>
      </c>
      <c r="B14" t="s">
        <v>517</v>
      </c>
      <c r="C14" t="s">
        <v>82</v>
      </c>
      <c r="D14">
        <v>5</v>
      </c>
      <c r="E14" t="s">
        <v>125</v>
      </c>
      <c r="F14" t="s">
        <v>104</v>
      </c>
      <c r="G14" s="5" t="s">
        <v>518</v>
      </c>
      <c r="H14" s="5" t="s">
        <v>519</v>
      </c>
      <c r="J14">
        <f t="shared" si="1"/>
        <v>7</v>
      </c>
      <c r="K14">
        <f t="shared" si="2"/>
        <v>2</v>
      </c>
    </row>
    <row r="15" spans="1:21" x14ac:dyDescent="0.15">
      <c r="A15" s="3">
        <v>4</v>
      </c>
      <c r="B15" t="s">
        <v>317</v>
      </c>
      <c r="C15" t="s">
        <v>206</v>
      </c>
      <c r="D15">
        <v>5</v>
      </c>
      <c r="E15" t="s">
        <v>453</v>
      </c>
      <c r="F15" t="s">
        <v>211</v>
      </c>
      <c r="G15" s="5" t="s">
        <v>510</v>
      </c>
      <c r="H15" s="5" t="s">
        <v>319</v>
      </c>
      <c r="J15">
        <f t="shared" si="1"/>
        <v>7</v>
      </c>
      <c r="K15">
        <f t="shared" si="2"/>
        <v>4</v>
      </c>
    </row>
    <row r="16" spans="1:21" x14ac:dyDescent="0.15">
      <c r="A16" s="3"/>
      <c r="G16" s="5"/>
      <c r="H16" s="5"/>
      <c r="J16" t="str">
        <f t="shared" si="1"/>
        <v/>
      </c>
      <c r="K16">
        <f t="shared" si="2"/>
        <v>0</v>
      </c>
    </row>
    <row r="17" spans="1:11" x14ac:dyDescent="0.15">
      <c r="A17" s="3"/>
      <c r="G17" s="5"/>
      <c r="H17" s="5"/>
      <c r="J17" t="str">
        <f t="shared" si="1"/>
        <v/>
      </c>
      <c r="K17">
        <f t="shared" si="2"/>
        <v>0</v>
      </c>
    </row>
    <row r="18" spans="1:11" x14ac:dyDescent="0.15">
      <c r="A18" s="3">
        <v>4</v>
      </c>
      <c r="B18" t="s">
        <v>500</v>
      </c>
      <c r="C18" t="s">
        <v>206</v>
      </c>
      <c r="E18" t="s">
        <v>501</v>
      </c>
      <c r="F18" t="s">
        <v>502</v>
      </c>
      <c r="G18" s="5"/>
      <c r="H18" s="5" t="s">
        <v>503</v>
      </c>
      <c r="J18">
        <f t="shared" si="1"/>
        <v>1</v>
      </c>
      <c r="K18">
        <f t="shared" si="2"/>
        <v>4</v>
      </c>
    </row>
    <row r="19" spans="1:11" x14ac:dyDescent="0.15">
      <c r="A19" s="3">
        <v>4</v>
      </c>
      <c r="B19" t="s">
        <v>173</v>
      </c>
      <c r="C19" t="s">
        <v>82</v>
      </c>
      <c r="E19" t="s">
        <v>215</v>
      </c>
      <c r="F19" t="s">
        <v>219</v>
      </c>
      <c r="G19" s="5"/>
      <c r="H19" s="5"/>
      <c r="J19">
        <f t="shared" si="1"/>
        <v>1</v>
      </c>
      <c r="K19">
        <f t="shared" si="2"/>
        <v>4</v>
      </c>
    </row>
    <row r="20" spans="1:11" x14ac:dyDescent="0.15">
      <c r="A20" s="3"/>
      <c r="G20" s="5"/>
      <c r="H20" s="5"/>
      <c r="J20" t="str">
        <f t="shared" si="1"/>
        <v/>
      </c>
      <c r="K20">
        <f t="shared" si="2"/>
        <v>0</v>
      </c>
    </row>
    <row r="21" spans="1:11" x14ac:dyDescent="0.15">
      <c r="A21" s="3">
        <v>4</v>
      </c>
      <c r="B21" t="s">
        <v>314</v>
      </c>
      <c r="C21" t="s">
        <v>82</v>
      </c>
      <c r="D21">
        <v>2</v>
      </c>
      <c r="E21" t="s">
        <v>513</v>
      </c>
      <c r="F21" t="s">
        <v>155</v>
      </c>
      <c r="G21" s="5" t="s">
        <v>514</v>
      </c>
      <c r="H21" s="5"/>
      <c r="J21">
        <f t="shared" si="1"/>
        <v>3</v>
      </c>
      <c r="K21">
        <f t="shared" si="2"/>
        <v>4</v>
      </c>
    </row>
    <row r="22" spans="1:11" x14ac:dyDescent="0.15">
      <c r="A22" s="3"/>
      <c r="G22" s="5"/>
      <c r="J22" t="str">
        <f>IF(AND(ISBLANK(D22),ISBLANK(E22)),"",D22+LEN(E22))</f>
        <v/>
      </c>
      <c r="K22">
        <f>A22</f>
        <v>0</v>
      </c>
    </row>
    <row r="23" spans="1:11" x14ac:dyDescent="0.15">
      <c r="A23" s="3"/>
      <c r="G23" s="5"/>
      <c r="J23" t="str">
        <f>IF(AND(ISBLANK(D23),ISBLANK(E23)),"",D23+LEN(E23))</f>
        <v/>
      </c>
      <c r="K23">
        <f>A23</f>
        <v>0</v>
      </c>
    </row>
    <row r="24" spans="1:11" x14ac:dyDescent="0.15">
      <c r="A24" s="3">
        <v>1</v>
      </c>
      <c r="B24" t="s">
        <v>511</v>
      </c>
      <c r="C24" t="s">
        <v>82</v>
      </c>
      <c r="D24">
        <v>2</v>
      </c>
      <c r="E24" t="s">
        <v>453</v>
      </c>
      <c r="F24" t="s">
        <v>147</v>
      </c>
      <c r="G24" s="5" t="s">
        <v>516</v>
      </c>
      <c r="H24" s="5"/>
      <c r="J24">
        <f t="shared" si="1"/>
        <v>4</v>
      </c>
      <c r="K24">
        <f t="shared" si="2"/>
        <v>1</v>
      </c>
    </row>
    <row r="25" spans="1:11" x14ac:dyDescent="0.15">
      <c r="A25" s="3"/>
      <c r="G25" s="5"/>
      <c r="H25" s="5"/>
      <c r="J25" t="str">
        <f t="shared" si="1"/>
        <v/>
      </c>
      <c r="K25">
        <f t="shared" si="2"/>
        <v>0</v>
      </c>
    </row>
    <row r="26" spans="1:11" x14ac:dyDescent="0.15">
      <c r="A26" s="3"/>
      <c r="G26" s="5"/>
      <c r="H26" s="5"/>
      <c r="J26" t="str">
        <f t="shared" si="1"/>
        <v/>
      </c>
      <c r="K26">
        <f t="shared" si="2"/>
        <v>0</v>
      </c>
    </row>
    <row r="27" spans="1:11" x14ac:dyDescent="0.15">
      <c r="A27" s="3">
        <v>2</v>
      </c>
      <c r="B27" t="s">
        <v>298</v>
      </c>
      <c r="C27" t="s">
        <v>82</v>
      </c>
      <c r="D27">
        <v>3</v>
      </c>
      <c r="E27" t="s">
        <v>410</v>
      </c>
      <c r="F27" t="s">
        <v>4</v>
      </c>
      <c r="G27" s="5"/>
      <c r="H27" s="5" t="s">
        <v>523</v>
      </c>
      <c r="J27">
        <f t="shared" si="1"/>
        <v>5</v>
      </c>
      <c r="K27">
        <f t="shared" si="2"/>
        <v>2</v>
      </c>
    </row>
    <row r="28" spans="1:11" x14ac:dyDescent="0.15">
      <c r="A28" s="3">
        <v>3</v>
      </c>
      <c r="B28" t="s">
        <v>512</v>
      </c>
      <c r="C28" t="s">
        <v>82</v>
      </c>
      <c r="D28">
        <v>3</v>
      </c>
      <c r="E28" t="s">
        <v>311</v>
      </c>
      <c r="F28" t="s">
        <v>88</v>
      </c>
      <c r="G28" s="5" t="s">
        <v>514</v>
      </c>
      <c r="H28" s="5" t="s">
        <v>515</v>
      </c>
      <c r="J28">
        <f t="shared" si="1"/>
        <v>5</v>
      </c>
      <c r="K28">
        <f t="shared" si="2"/>
        <v>3</v>
      </c>
    </row>
    <row r="29" spans="1:11" x14ac:dyDescent="0.15">
      <c r="A29" s="3"/>
      <c r="G29" s="5"/>
      <c r="J29" t="str">
        <f t="shared" si="1"/>
        <v/>
      </c>
      <c r="K29">
        <f t="shared" si="2"/>
        <v>0</v>
      </c>
    </row>
    <row r="30" spans="1:11" x14ac:dyDescent="0.15">
      <c r="A30" s="3">
        <v>1</v>
      </c>
      <c r="B30" t="s">
        <v>296</v>
      </c>
      <c r="C30" t="s">
        <v>82</v>
      </c>
      <c r="D30">
        <v>4</v>
      </c>
      <c r="E30" t="s">
        <v>410</v>
      </c>
      <c r="F30" t="s">
        <v>221</v>
      </c>
      <c r="G30" s="5"/>
      <c r="H30" t="s">
        <v>309</v>
      </c>
      <c r="J30">
        <f t="shared" si="1"/>
        <v>6</v>
      </c>
      <c r="K30">
        <f t="shared" si="2"/>
        <v>1</v>
      </c>
    </row>
    <row r="31" spans="1:11" ht="14.25" thickBot="1" x14ac:dyDescent="0.2">
      <c r="A31" s="3"/>
      <c r="J31" t="str">
        <f t="shared" si="1"/>
        <v/>
      </c>
      <c r="K31">
        <f t="shared" si="2"/>
        <v>0</v>
      </c>
    </row>
    <row r="32" spans="1:11" x14ac:dyDescent="0.15">
      <c r="A32" s="2">
        <v>4</v>
      </c>
      <c r="B32" t="s">
        <v>335</v>
      </c>
    </row>
    <row r="33" spans="1:8" x14ac:dyDescent="0.15">
      <c r="A33" s="3">
        <v>4</v>
      </c>
      <c r="B33" t="s">
        <v>461</v>
      </c>
    </row>
    <row r="34" spans="1:8" x14ac:dyDescent="0.15">
      <c r="A34" s="3">
        <v>4</v>
      </c>
      <c r="B34" t="s">
        <v>521</v>
      </c>
    </row>
    <row r="35" spans="1:8" x14ac:dyDescent="0.15">
      <c r="A35" s="3">
        <v>4</v>
      </c>
      <c r="B35" t="s">
        <v>520</v>
      </c>
    </row>
    <row r="36" spans="1:8" x14ac:dyDescent="0.15">
      <c r="A36" s="3"/>
    </row>
    <row r="37" spans="1:8" x14ac:dyDescent="0.15">
      <c r="A37" s="3">
        <v>4</v>
      </c>
      <c r="B37" t="s">
        <v>149</v>
      </c>
    </row>
    <row r="38" spans="1:8" x14ac:dyDescent="0.15">
      <c r="A38" s="3">
        <v>2</v>
      </c>
      <c r="B38" t="s">
        <v>134</v>
      </c>
    </row>
    <row r="39" spans="1:8" ht="14.25" thickBot="1" x14ac:dyDescent="0.2">
      <c r="A39" s="4">
        <v>2</v>
      </c>
      <c r="B39" t="s">
        <v>522</v>
      </c>
    </row>
    <row r="40" spans="1:8" x14ac:dyDescent="0.15">
      <c r="A40">
        <f>SUM(A32:A39)</f>
        <v>24</v>
      </c>
    </row>
    <row r="42" spans="1:8" ht="14.25" thickBot="1" x14ac:dyDescent="0.2"/>
    <row r="43" spans="1:8" x14ac:dyDescent="0.15">
      <c r="A43" s="2"/>
    </row>
    <row r="44" spans="1:8" x14ac:dyDescent="0.15">
      <c r="A44" s="3"/>
      <c r="G44" s="5"/>
    </row>
    <row r="45" spans="1:8" x14ac:dyDescent="0.15">
      <c r="A45" s="3"/>
      <c r="G45" s="5"/>
      <c r="H45" s="5"/>
    </row>
    <row r="46" spans="1:8" x14ac:dyDescent="0.15">
      <c r="A46" s="3"/>
      <c r="G46" s="5"/>
    </row>
    <row r="47" spans="1:8" x14ac:dyDescent="0.15">
      <c r="A47" s="3"/>
      <c r="G47" s="5"/>
    </row>
    <row r="48" spans="1:8" x14ac:dyDescent="0.15">
      <c r="A48" s="3"/>
      <c r="G48" s="5"/>
    </row>
    <row r="49" spans="1:23" x14ac:dyDescent="0.15">
      <c r="A49" s="3"/>
    </row>
    <row r="50" spans="1:23" x14ac:dyDescent="0.15">
      <c r="A50" s="3"/>
    </row>
    <row r="51" spans="1:23" x14ac:dyDescent="0.15">
      <c r="A51" s="3"/>
    </row>
    <row r="52" spans="1:23" ht="14.25" thickBot="1" x14ac:dyDescent="0.2">
      <c r="A52" s="3"/>
    </row>
    <row r="53" spans="1:23" ht="14.25" thickBot="1" x14ac:dyDescent="0.2">
      <c r="A53" s="6">
        <f>SUM(A43:A52)</f>
        <v>0</v>
      </c>
      <c r="P53" s="7">
        <v>0</v>
      </c>
      <c r="Q53" s="8">
        <v>1</v>
      </c>
      <c r="R53" s="8">
        <v>2</v>
      </c>
      <c r="S53" s="8">
        <v>3</v>
      </c>
      <c r="T53" s="8">
        <v>4</v>
      </c>
      <c r="U53" s="8">
        <v>5</v>
      </c>
      <c r="V53" s="8">
        <v>6</v>
      </c>
      <c r="W53" s="9">
        <v>7</v>
      </c>
    </row>
    <row r="54" spans="1:23" ht="14.25" thickBot="1" x14ac:dyDescent="0.2">
      <c r="P54" s="10">
        <f t="shared" ref="P54:V54" si="3">SUMIF($J5:$J31,P53,$A5:$A31)</f>
        <v>0</v>
      </c>
      <c r="Q54" s="11">
        <f t="shared" si="3"/>
        <v>8</v>
      </c>
      <c r="R54" s="11">
        <f t="shared" si="3"/>
        <v>4</v>
      </c>
      <c r="S54" s="11">
        <f t="shared" si="3"/>
        <v>8</v>
      </c>
      <c r="T54" s="11">
        <f t="shared" si="3"/>
        <v>1</v>
      </c>
      <c r="U54" s="11">
        <f t="shared" si="3"/>
        <v>5</v>
      </c>
      <c r="V54" s="11">
        <f t="shared" si="3"/>
        <v>1</v>
      </c>
      <c r="W54" s="12">
        <f>SUMIF($J5:$J31,"&gt;6",$A5:$A31)</f>
        <v>6</v>
      </c>
    </row>
    <row r="56" spans="1:23" ht="14.25" thickBot="1" x14ac:dyDescent="0.2"/>
    <row r="57" spans="1:23" x14ac:dyDescent="0.15">
      <c r="P57" s="7" t="s">
        <v>3</v>
      </c>
      <c r="Q57" s="8" t="s">
        <v>6</v>
      </c>
      <c r="R57" s="8" t="s">
        <v>5</v>
      </c>
      <c r="S57" s="8" t="s">
        <v>7</v>
      </c>
      <c r="T57" s="8" t="s">
        <v>8</v>
      </c>
      <c r="U57" s="8" t="s">
        <v>10</v>
      </c>
      <c r="V57" s="9" t="s">
        <v>9</v>
      </c>
    </row>
    <row r="58" spans="1:23" ht="14.25" thickBot="1" x14ac:dyDescent="0.2">
      <c r="P58" s="10">
        <f t="shared" ref="P58:U58" si="4">SUMIF($F5:$F31,P57,$A5:$A31)</f>
        <v>14</v>
      </c>
      <c r="Q58" s="11">
        <f t="shared" si="4"/>
        <v>8</v>
      </c>
      <c r="R58" s="11">
        <f t="shared" si="4"/>
        <v>9</v>
      </c>
      <c r="S58" s="11">
        <f t="shared" si="4"/>
        <v>1</v>
      </c>
      <c r="T58" s="11">
        <f t="shared" si="4"/>
        <v>0</v>
      </c>
      <c r="U58" s="11">
        <f t="shared" si="4"/>
        <v>1</v>
      </c>
      <c r="V58" s="12">
        <f>A40</f>
        <v>24</v>
      </c>
    </row>
  </sheetData>
  <phoneticPr fontId="1"/>
  <dataValidations count="1">
    <dataValidation type="list" allowBlank="1" showInputMessage="1" showErrorMessage="1" sqref="C5:C31">
      <formula1>$P$1:$U$1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1:W63"/>
  <sheetViews>
    <sheetView workbookViewId="0">
      <selection activeCell="I11" sqref="I11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3.5" bestFit="1" customWidth="1"/>
    <col min="5" max="5" width="4" bestFit="1" customWidth="1"/>
    <col min="6" max="6" width="2" bestFit="1" customWidth="1"/>
    <col min="7" max="7" width="4.875" bestFit="1" customWidth="1"/>
    <col min="8" max="8" width="12.625" customWidth="1"/>
    <col min="9" max="9" width="20.75" style="1" customWidth="1"/>
    <col min="10" max="10" width="3.5" bestFit="1" customWidth="1"/>
    <col min="11" max="11" width="2.5" bestFit="1" customWidth="1"/>
    <col min="12" max="12" width="3.5" bestFit="1" customWidth="1"/>
    <col min="13" max="13" width="2.5" bestFit="1" customWidth="1"/>
    <col min="14" max="14" width="3.5" bestFit="1" customWidth="1"/>
    <col min="15" max="17" width="3.75" customWidth="1"/>
    <col min="18" max="18" width="3.625" customWidth="1"/>
    <col min="19" max="22" width="3.75" customWidth="1"/>
    <col min="23" max="23" width="3.625" customWidth="1"/>
  </cols>
  <sheetData>
    <row r="1" spans="1:21" x14ac:dyDescent="0.15">
      <c r="P1" t="s">
        <v>80</v>
      </c>
      <c r="Q1" t="s">
        <v>145</v>
      </c>
      <c r="R1" t="s">
        <v>255</v>
      </c>
      <c r="S1" t="s">
        <v>97</v>
      </c>
      <c r="T1" t="s">
        <v>99</v>
      </c>
      <c r="U1" t="s">
        <v>83</v>
      </c>
    </row>
    <row r="4" spans="1:21" ht="14.25" thickBot="1" x14ac:dyDescent="0.2">
      <c r="A4">
        <f>SUM(A5:A44)</f>
        <v>60</v>
      </c>
    </row>
    <row r="5" spans="1:21" x14ac:dyDescent="0.15">
      <c r="A5" s="2">
        <v>4</v>
      </c>
      <c r="B5" t="s">
        <v>254</v>
      </c>
      <c r="C5" t="s">
        <v>338</v>
      </c>
      <c r="E5" t="s">
        <v>207</v>
      </c>
      <c r="F5" t="s">
        <v>211</v>
      </c>
      <c r="G5" s="5" t="s">
        <v>531</v>
      </c>
      <c r="H5" s="5"/>
      <c r="J5">
        <f t="shared" ref="J5" si="0">IF(AND(ISBLANK(D5),ISBLANK(E5)),"",D5+LEN(E5))</f>
        <v>1</v>
      </c>
      <c r="K5">
        <f>A5</f>
        <v>4</v>
      </c>
    </row>
    <row r="6" spans="1:21" x14ac:dyDescent="0.15">
      <c r="A6" s="3"/>
      <c r="G6" s="5"/>
      <c r="J6" t="str">
        <f>IF(AND(ISBLANK(D6),ISBLANK(E6)),"",D6+LEN(E6))</f>
        <v/>
      </c>
      <c r="K6">
        <f>A6</f>
        <v>0</v>
      </c>
    </row>
    <row r="7" spans="1:21" x14ac:dyDescent="0.15">
      <c r="A7" s="3">
        <v>4</v>
      </c>
      <c r="B7" t="s">
        <v>418</v>
      </c>
      <c r="C7" t="s">
        <v>338</v>
      </c>
      <c r="D7">
        <v>1</v>
      </c>
      <c r="E7" t="s">
        <v>527</v>
      </c>
      <c r="F7" t="s">
        <v>505</v>
      </c>
      <c r="G7" s="5" t="s">
        <v>213</v>
      </c>
      <c r="J7">
        <f t="shared" ref="J7" si="1">IF(AND(ISBLANK(D7),ISBLANK(E7)),"",D7+LEN(E7))</f>
        <v>2</v>
      </c>
      <c r="K7">
        <f t="shared" ref="K7" si="2">A7</f>
        <v>4</v>
      </c>
    </row>
    <row r="8" spans="1:21" x14ac:dyDescent="0.15">
      <c r="A8" s="3">
        <v>4</v>
      </c>
      <c r="B8" t="s">
        <v>572</v>
      </c>
      <c r="C8" t="s">
        <v>82</v>
      </c>
      <c r="D8">
        <v>2</v>
      </c>
      <c r="F8" t="s">
        <v>505</v>
      </c>
      <c r="G8" s="5" t="s">
        <v>573</v>
      </c>
      <c r="J8">
        <f t="shared" ref="J8:J15" si="3">IF(AND(ISBLANK(D8),ISBLANK(E8)),"",D8+LEN(E8))</f>
        <v>2</v>
      </c>
      <c r="K8">
        <f t="shared" ref="K8:K15" si="4">A8</f>
        <v>4</v>
      </c>
    </row>
    <row r="9" spans="1:21" x14ac:dyDescent="0.15">
      <c r="A9" s="3"/>
      <c r="G9" s="5"/>
      <c r="J9" t="str">
        <f t="shared" si="3"/>
        <v/>
      </c>
      <c r="K9">
        <f t="shared" si="4"/>
        <v>0</v>
      </c>
    </row>
    <row r="10" spans="1:21" x14ac:dyDescent="0.15">
      <c r="A10" s="3">
        <v>4</v>
      </c>
      <c r="B10" t="s">
        <v>528</v>
      </c>
      <c r="C10" t="s">
        <v>338</v>
      </c>
      <c r="D10">
        <v>2</v>
      </c>
      <c r="E10" t="s">
        <v>527</v>
      </c>
      <c r="F10" t="s">
        <v>505</v>
      </c>
      <c r="G10" s="5" t="s">
        <v>506</v>
      </c>
      <c r="J10">
        <f t="shared" si="3"/>
        <v>3</v>
      </c>
      <c r="K10">
        <f t="shared" si="4"/>
        <v>4</v>
      </c>
    </row>
    <row r="11" spans="1:21" x14ac:dyDescent="0.15">
      <c r="A11" s="3"/>
      <c r="B11" t="s">
        <v>529</v>
      </c>
      <c r="C11" t="s">
        <v>338</v>
      </c>
      <c r="D11">
        <v>3</v>
      </c>
      <c r="F11" t="s">
        <v>505</v>
      </c>
      <c r="G11" s="5" t="s">
        <v>530</v>
      </c>
      <c r="H11" s="5"/>
      <c r="J11">
        <f t="shared" si="3"/>
        <v>3</v>
      </c>
      <c r="K11">
        <f t="shared" si="4"/>
        <v>0</v>
      </c>
    </row>
    <row r="12" spans="1:21" x14ac:dyDescent="0.15">
      <c r="A12" s="3">
        <v>2</v>
      </c>
      <c r="B12" t="s">
        <v>574</v>
      </c>
      <c r="C12" t="s">
        <v>206</v>
      </c>
      <c r="D12">
        <v>1</v>
      </c>
      <c r="E12" t="s">
        <v>575</v>
      </c>
      <c r="F12" t="s">
        <v>211</v>
      </c>
      <c r="G12" s="5" t="s">
        <v>252</v>
      </c>
      <c r="H12" s="5"/>
      <c r="J12">
        <f t="shared" si="3"/>
        <v>3</v>
      </c>
      <c r="K12">
        <f t="shared" si="4"/>
        <v>2</v>
      </c>
    </row>
    <row r="13" spans="1:21" x14ac:dyDescent="0.15">
      <c r="A13" s="3"/>
      <c r="G13" s="5"/>
      <c r="H13" s="5"/>
      <c r="J13" t="str">
        <f t="shared" si="3"/>
        <v/>
      </c>
      <c r="K13">
        <f t="shared" si="4"/>
        <v>0</v>
      </c>
    </row>
    <row r="14" spans="1:21" x14ac:dyDescent="0.15">
      <c r="A14" s="3"/>
      <c r="G14" s="5"/>
      <c r="H14" s="5"/>
      <c r="J14" t="str">
        <f t="shared" si="3"/>
        <v/>
      </c>
      <c r="K14">
        <f t="shared" si="4"/>
        <v>0</v>
      </c>
    </row>
    <row r="15" spans="1:21" x14ac:dyDescent="0.15">
      <c r="A15" s="3">
        <v>4</v>
      </c>
      <c r="B15" t="s">
        <v>536</v>
      </c>
      <c r="C15" t="s">
        <v>82</v>
      </c>
      <c r="D15">
        <v>3</v>
      </c>
      <c r="E15" t="s">
        <v>527</v>
      </c>
      <c r="F15" t="s">
        <v>505</v>
      </c>
      <c r="G15" s="5" t="s">
        <v>537</v>
      </c>
      <c r="H15" s="5"/>
      <c r="J15">
        <f t="shared" si="3"/>
        <v>4</v>
      </c>
      <c r="K15">
        <f t="shared" si="4"/>
        <v>4</v>
      </c>
    </row>
    <row r="16" spans="1:21" x14ac:dyDescent="0.15">
      <c r="A16" s="3"/>
      <c r="B16" t="s">
        <v>545</v>
      </c>
      <c r="C16" t="s">
        <v>206</v>
      </c>
      <c r="D16">
        <v>2</v>
      </c>
      <c r="E16" t="s">
        <v>242</v>
      </c>
      <c r="F16" t="s">
        <v>505</v>
      </c>
      <c r="G16" s="5" t="s">
        <v>126</v>
      </c>
      <c r="H16" s="5"/>
      <c r="J16">
        <f t="shared" ref="J16:J17" si="5">IF(AND(ISBLANK(D16),ISBLANK(E16)),"",D16+LEN(E16))</f>
        <v>4</v>
      </c>
      <c r="K16">
        <f t="shared" ref="K16:K17" si="6">A16</f>
        <v>0</v>
      </c>
    </row>
    <row r="17" spans="1:11" x14ac:dyDescent="0.15">
      <c r="A17" s="3"/>
      <c r="G17" s="5"/>
      <c r="H17" s="5"/>
      <c r="J17" t="str">
        <f t="shared" si="5"/>
        <v/>
      </c>
      <c r="K17">
        <f t="shared" si="6"/>
        <v>0</v>
      </c>
    </row>
    <row r="18" spans="1:11" x14ac:dyDescent="0.15">
      <c r="A18" s="3"/>
      <c r="B18" t="s">
        <v>538</v>
      </c>
      <c r="C18" t="s">
        <v>206</v>
      </c>
      <c r="D18">
        <v>3</v>
      </c>
      <c r="E18" t="s">
        <v>539</v>
      </c>
      <c r="F18" t="s">
        <v>505</v>
      </c>
      <c r="G18" s="5" t="s">
        <v>540</v>
      </c>
      <c r="H18" s="5"/>
      <c r="J18">
        <f t="shared" ref="J18:J36" si="7">IF(AND(ISBLANK(D18),ISBLANK(E18)),"",D18+LEN(E18))</f>
        <v>5</v>
      </c>
      <c r="K18">
        <f t="shared" ref="K18:K36" si="8">A18</f>
        <v>0</v>
      </c>
    </row>
    <row r="19" spans="1:11" x14ac:dyDescent="0.15">
      <c r="A19" s="3"/>
      <c r="G19" s="5"/>
      <c r="H19" s="5"/>
      <c r="J19" t="str">
        <f t="shared" si="7"/>
        <v/>
      </c>
      <c r="K19">
        <f t="shared" si="8"/>
        <v>0</v>
      </c>
    </row>
    <row r="20" spans="1:11" x14ac:dyDescent="0.15">
      <c r="A20" s="3">
        <v>4</v>
      </c>
      <c r="B20" t="s">
        <v>532</v>
      </c>
      <c r="C20" t="s">
        <v>206</v>
      </c>
      <c r="D20">
        <v>4</v>
      </c>
      <c r="E20" t="s">
        <v>177</v>
      </c>
      <c r="F20" t="s">
        <v>505</v>
      </c>
      <c r="G20" s="5" t="s">
        <v>533</v>
      </c>
      <c r="H20" s="5"/>
      <c r="J20">
        <f t="shared" si="7"/>
        <v>6</v>
      </c>
      <c r="K20">
        <f t="shared" si="8"/>
        <v>4</v>
      </c>
    </row>
    <row r="21" spans="1:11" x14ac:dyDescent="0.15">
      <c r="A21" s="3"/>
      <c r="G21" s="5"/>
      <c r="H21" s="5"/>
      <c r="J21" t="str">
        <f t="shared" ref="J21:J23" si="9">IF(AND(ISBLANK(D21),ISBLANK(E21)),"",D21+LEN(E21))</f>
        <v/>
      </c>
      <c r="K21">
        <f t="shared" ref="K21:K23" si="10">A21</f>
        <v>0</v>
      </c>
    </row>
    <row r="22" spans="1:11" x14ac:dyDescent="0.15">
      <c r="A22" s="3"/>
      <c r="G22" s="5"/>
      <c r="H22" s="5"/>
      <c r="J22" t="str">
        <f t="shared" si="9"/>
        <v/>
      </c>
      <c r="K22">
        <f t="shared" si="10"/>
        <v>0</v>
      </c>
    </row>
    <row r="23" spans="1:11" x14ac:dyDescent="0.15">
      <c r="A23" s="3"/>
      <c r="B23" t="s">
        <v>542</v>
      </c>
      <c r="C23" t="s">
        <v>206</v>
      </c>
      <c r="D23">
        <v>2</v>
      </c>
      <c r="F23" t="s">
        <v>543</v>
      </c>
      <c r="G23" s="5"/>
      <c r="H23" s="5" t="s">
        <v>544</v>
      </c>
      <c r="J23">
        <f t="shared" si="9"/>
        <v>2</v>
      </c>
      <c r="K23">
        <f t="shared" si="10"/>
        <v>0</v>
      </c>
    </row>
    <row r="24" spans="1:11" x14ac:dyDescent="0.15">
      <c r="A24" s="3"/>
      <c r="G24" s="5"/>
      <c r="H24" s="5"/>
      <c r="J24" t="str">
        <f t="shared" si="7"/>
        <v/>
      </c>
      <c r="K24">
        <f t="shared" si="8"/>
        <v>0</v>
      </c>
    </row>
    <row r="25" spans="1:11" x14ac:dyDescent="0.15">
      <c r="A25" s="3"/>
      <c r="B25" t="s">
        <v>524</v>
      </c>
      <c r="C25" t="s">
        <v>338</v>
      </c>
      <c r="D25">
        <v>2</v>
      </c>
      <c r="E25" t="s">
        <v>186</v>
      </c>
      <c r="F25" t="s">
        <v>525</v>
      </c>
      <c r="G25" s="5"/>
      <c r="H25" s="5" t="s">
        <v>526</v>
      </c>
      <c r="J25">
        <f t="shared" si="7"/>
        <v>3</v>
      </c>
      <c r="K25">
        <f t="shared" si="8"/>
        <v>0</v>
      </c>
    </row>
    <row r="26" spans="1:11" x14ac:dyDescent="0.15">
      <c r="A26" s="3">
        <v>3</v>
      </c>
      <c r="B26" t="s">
        <v>18</v>
      </c>
      <c r="D26">
        <v>3</v>
      </c>
      <c r="F26" t="s">
        <v>28</v>
      </c>
      <c r="G26" s="5" t="s">
        <v>30</v>
      </c>
      <c r="H26" s="5" t="s">
        <v>21</v>
      </c>
      <c r="I26" s="1" t="s">
        <v>31</v>
      </c>
      <c r="J26">
        <f t="shared" si="7"/>
        <v>3</v>
      </c>
      <c r="K26">
        <f t="shared" si="8"/>
        <v>3</v>
      </c>
    </row>
    <row r="27" spans="1:11" x14ac:dyDescent="0.15">
      <c r="A27" s="3"/>
      <c r="G27" s="5"/>
      <c r="J27" t="str">
        <f>IF(AND(ISBLANK(D27),ISBLANK(E27)),"",D27+LEN(E27))</f>
        <v/>
      </c>
      <c r="K27">
        <f>A27</f>
        <v>0</v>
      </c>
    </row>
    <row r="28" spans="1:11" x14ac:dyDescent="0.15">
      <c r="A28" s="3">
        <v>4</v>
      </c>
      <c r="B28" t="s">
        <v>534</v>
      </c>
      <c r="C28" t="s">
        <v>206</v>
      </c>
      <c r="D28">
        <v>4</v>
      </c>
      <c r="F28" t="s">
        <v>535</v>
      </c>
      <c r="G28" s="5"/>
      <c r="J28">
        <f>IF(AND(ISBLANK(D28),ISBLANK(E28)),"",D28+LEN(E28))</f>
        <v>4</v>
      </c>
      <c r="K28">
        <f>A28</f>
        <v>4</v>
      </c>
    </row>
    <row r="29" spans="1:11" x14ac:dyDescent="0.15">
      <c r="A29" s="3"/>
      <c r="G29" s="5"/>
      <c r="H29" s="5"/>
      <c r="J29" t="str">
        <f t="shared" si="7"/>
        <v/>
      </c>
      <c r="K29">
        <f t="shared" si="8"/>
        <v>0</v>
      </c>
    </row>
    <row r="30" spans="1:11" x14ac:dyDescent="0.15">
      <c r="A30" s="3"/>
      <c r="G30" s="5"/>
      <c r="H30" s="5"/>
      <c r="J30" t="str">
        <f t="shared" si="7"/>
        <v/>
      </c>
      <c r="K30">
        <f t="shared" si="8"/>
        <v>0</v>
      </c>
    </row>
    <row r="31" spans="1:11" x14ac:dyDescent="0.15">
      <c r="A31" s="3">
        <v>2</v>
      </c>
      <c r="B31" t="s">
        <v>541</v>
      </c>
      <c r="C31" t="s">
        <v>206</v>
      </c>
      <c r="D31">
        <v>4</v>
      </c>
      <c r="F31" t="s">
        <v>28</v>
      </c>
      <c r="G31" s="5"/>
      <c r="H31" s="5"/>
      <c r="J31">
        <f t="shared" si="7"/>
        <v>4</v>
      </c>
      <c r="K31">
        <f t="shared" si="8"/>
        <v>2</v>
      </c>
    </row>
    <row r="32" spans="1:11" x14ac:dyDescent="0.15">
      <c r="A32" s="3"/>
      <c r="G32" s="5"/>
      <c r="H32" s="5"/>
      <c r="J32" t="str">
        <f t="shared" si="7"/>
        <v/>
      </c>
      <c r="K32">
        <f t="shared" si="8"/>
        <v>0</v>
      </c>
    </row>
    <row r="33" spans="1:23" x14ac:dyDescent="0.15">
      <c r="A33" s="3">
        <v>3</v>
      </c>
      <c r="B33" t="s">
        <v>201</v>
      </c>
      <c r="G33" s="5"/>
      <c r="H33" s="5"/>
      <c r="J33" t="str">
        <f t="shared" si="7"/>
        <v/>
      </c>
      <c r="K33">
        <f t="shared" si="8"/>
        <v>3</v>
      </c>
    </row>
    <row r="34" spans="1:23" x14ac:dyDescent="0.15">
      <c r="A34" s="3"/>
      <c r="G34" s="5"/>
      <c r="J34" t="str">
        <f t="shared" si="7"/>
        <v/>
      </c>
      <c r="K34">
        <f t="shared" si="8"/>
        <v>0</v>
      </c>
    </row>
    <row r="35" spans="1:23" x14ac:dyDescent="0.15">
      <c r="A35" s="3"/>
      <c r="G35" s="5"/>
      <c r="J35" t="str">
        <f t="shared" si="7"/>
        <v/>
      </c>
      <c r="K35">
        <f t="shared" si="8"/>
        <v>0</v>
      </c>
    </row>
    <row r="36" spans="1:23" ht="14.25" thickBot="1" x14ac:dyDescent="0.2">
      <c r="A36" s="3"/>
      <c r="J36" t="str">
        <f t="shared" si="7"/>
        <v/>
      </c>
      <c r="K36">
        <f t="shared" si="8"/>
        <v>0</v>
      </c>
    </row>
    <row r="37" spans="1:23" x14ac:dyDescent="0.15">
      <c r="A37" s="2"/>
    </row>
    <row r="38" spans="1:23" s="1" customFormat="1" x14ac:dyDescent="0.15">
      <c r="A38" s="3"/>
      <c r="B38"/>
      <c r="C38"/>
      <c r="D38"/>
      <c r="E38"/>
      <c r="F38"/>
      <c r="G38"/>
      <c r="H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 s="1" customFormat="1" x14ac:dyDescent="0.15">
      <c r="A39" s="3">
        <v>22</v>
      </c>
      <c r="B39"/>
      <c r="C39"/>
      <c r="D39"/>
      <c r="E39"/>
      <c r="F39"/>
      <c r="G39"/>
      <c r="H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 s="1" customFormat="1" x14ac:dyDescent="0.15">
      <c r="A40" s="3"/>
      <c r="B40"/>
      <c r="C40"/>
      <c r="D40"/>
      <c r="E40"/>
      <c r="F40"/>
      <c r="G40"/>
      <c r="H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 s="1" customFormat="1" x14ac:dyDescent="0.15">
      <c r="A41" s="3"/>
      <c r="B41"/>
      <c r="C41"/>
      <c r="D41"/>
      <c r="E41"/>
      <c r="F41"/>
      <c r="G41"/>
      <c r="H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 s="1" customFormat="1" x14ac:dyDescent="0.15">
      <c r="A42" s="3"/>
      <c r="B42"/>
      <c r="C42"/>
      <c r="D42"/>
      <c r="E42"/>
      <c r="F42"/>
      <c r="G42"/>
      <c r="H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 s="1" customFormat="1" x14ac:dyDescent="0.15">
      <c r="A43" s="3"/>
      <c r="B43"/>
      <c r="C43"/>
      <c r="D43"/>
      <c r="E43"/>
      <c r="F43"/>
      <c r="G43"/>
      <c r="H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 s="1" customFormat="1" ht="14.25" thickBot="1" x14ac:dyDescent="0.2">
      <c r="A44" s="4"/>
      <c r="B44"/>
      <c r="C44"/>
      <c r="D44"/>
      <c r="E44"/>
      <c r="F44"/>
      <c r="G44"/>
      <c r="H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 s="1" customFormat="1" x14ac:dyDescent="0.15">
      <c r="A45">
        <f>SUM(A37:A44)</f>
        <v>22</v>
      </c>
      <c r="B45"/>
      <c r="C45"/>
      <c r="D45"/>
      <c r="E45"/>
      <c r="F45"/>
      <c r="G45"/>
      <c r="H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7" spans="1:23" s="1" customFormat="1" ht="14.25" thickBot="1" x14ac:dyDescent="0.2">
      <c r="A47"/>
      <c r="B47"/>
      <c r="C47"/>
      <c r="D47"/>
      <c r="E47"/>
      <c r="F47"/>
      <c r="G47"/>
      <c r="H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 s="1" customFormat="1" x14ac:dyDescent="0.15">
      <c r="A48" s="2"/>
      <c r="B48"/>
      <c r="C48"/>
      <c r="D48"/>
      <c r="E48"/>
      <c r="F48"/>
      <c r="G48"/>
      <c r="H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 s="1" customFormat="1" x14ac:dyDescent="0.15">
      <c r="A49" s="3"/>
      <c r="B49"/>
      <c r="C49"/>
      <c r="D49"/>
      <c r="E49"/>
      <c r="F49"/>
      <c r="G49" s="5"/>
      <c r="H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 s="1" customFormat="1" x14ac:dyDescent="0.15">
      <c r="A50" s="3"/>
      <c r="B50"/>
      <c r="C50"/>
      <c r="D50"/>
      <c r="E50"/>
      <c r="F50"/>
      <c r="G50" s="5"/>
      <c r="H50" s="5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 s="1" customFormat="1" x14ac:dyDescent="0.15">
      <c r="A51" s="3"/>
      <c r="B51"/>
      <c r="C51"/>
      <c r="D51"/>
      <c r="E51"/>
      <c r="F51"/>
      <c r="G51" s="5"/>
      <c r="H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 s="1" customFormat="1" x14ac:dyDescent="0.15">
      <c r="A52" s="3"/>
      <c r="B52"/>
      <c r="C52"/>
      <c r="D52"/>
      <c r="E52"/>
      <c r="F52"/>
      <c r="G52" s="5"/>
      <c r="H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 s="1" customFormat="1" x14ac:dyDescent="0.15">
      <c r="A53" s="3"/>
      <c r="B53"/>
      <c r="C53"/>
      <c r="D53"/>
      <c r="E53"/>
      <c r="F53"/>
      <c r="G53" s="5"/>
      <c r="H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 x14ac:dyDescent="0.15">
      <c r="A54" s="3"/>
    </row>
    <row r="55" spans="1:23" x14ac:dyDescent="0.15">
      <c r="A55" s="3"/>
    </row>
    <row r="56" spans="1:23" x14ac:dyDescent="0.15">
      <c r="A56" s="3"/>
    </row>
    <row r="57" spans="1:23" ht="14.25" thickBot="1" x14ac:dyDescent="0.2">
      <c r="A57" s="3"/>
    </row>
    <row r="58" spans="1:23" ht="14.25" thickBot="1" x14ac:dyDescent="0.2">
      <c r="A58" s="6">
        <f>SUM(A48:A57)</f>
        <v>0</v>
      </c>
      <c r="P58" s="7">
        <v>0</v>
      </c>
      <c r="Q58" s="8">
        <v>1</v>
      </c>
      <c r="R58" s="8">
        <v>2</v>
      </c>
      <c r="S58" s="8">
        <v>3</v>
      </c>
      <c r="T58" s="8">
        <v>4</v>
      </c>
      <c r="U58" s="8">
        <v>5</v>
      </c>
      <c r="V58" s="8">
        <v>6</v>
      </c>
      <c r="W58" s="9">
        <v>7</v>
      </c>
    </row>
    <row r="59" spans="1:23" ht="14.25" thickBot="1" x14ac:dyDescent="0.2">
      <c r="P59" s="10">
        <f t="shared" ref="P59:V59" si="11">SUMIF($J5:$J36,P58,$A5:$A36)</f>
        <v>0</v>
      </c>
      <c r="Q59" s="11">
        <f t="shared" si="11"/>
        <v>4</v>
      </c>
      <c r="R59" s="11">
        <f t="shared" si="11"/>
        <v>8</v>
      </c>
      <c r="S59" s="11">
        <f t="shared" si="11"/>
        <v>9</v>
      </c>
      <c r="T59" s="11">
        <f t="shared" si="11"/>
        <v>10</v>
      </c>
      <c r="U59" s="11">
        <f t="shared" si="11"/>
        <v>0</v>
      </c>
      <c r="V59" s="11">
        <f t="shared" si="11"/>
        <v>4</v>
      </c>
      <c r="W59" s="12">
        <f>SUMIF($J5:$J36,"&gt;6",$A5:$A36)</f>
        <v>0</v>
      </c>
    </row>
    <row r="61" spans="1:23" ht="14.25" thickBot="1" x14ac:dyDescent="0.2"/>
    <row r="62" spans="1:23" x14ac:dyDescent="0.15">
      <c r="P62" s="7" t="s">
        <v>3</v>
      </c>
      <c r="Q62" s="8" t="s">
        <v>6</v>
      </c>
      <c r="R62" s="8" t="s">
        <v>5</v>
      </c>
      <c r="S62" s="8" t="s">
        <v>7</v>
      </c>
      <c r="T62" s="8" t="s">
        <v>8</v>
      </c>
      <c r="U62" s="8" t="s">
        <v>10</v>
      </c>
      <c r="V62" s="9" t="s">
        <v>9</v>
      </c>
    </row>
    <row r="63" spans="1:23" ht="14.25" thickBot="1" x14ac:dyDescent="0.2">
      <c r="P63" s="10">
        <f t="shared" ref="P63:U63" si="12">SUMIF($F5:$F36,P62,$A5:$A36)</f>
        <v>26</v>
      </c>
      <c r="Q63" s="11">
        <f t="shared" si="12"/>
        <v>0</v>
      </c>
      <c r="R63" s="11">
        <f t="shared" si="12"/>
        <v>0</v>
      </c>
      <c r="S63" s="11">
        <f t="shared" si="12"/>
        <v>0</v>
      </c>
      <c r="T63" s="11">
        <f t="shared" si="12"/>
        <v>9</v>
      </c>
      <c r="U63" s="11">
        <f t="shared" si="12"/>
        <v>0</v>
      </c>
      <c r="V63" s="12">
        <f>A45</f>
        <v>22</v>
      </c>
    </row>
  </sheetData>
  <phoneticPr fontId="1"/>
  <dataValidations count="1">
    <dataValidation type="list" allowBlank="1" showInputMessage="1" showErrorMessage="1" sqref="C5:C36">
      <formula1>$P$1:$U$1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1:W60"/>
  <sheetViews>
    <sheetView workbookViewId="0">
      <selection activeCell="A10" sqref="A10:G10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3.5" bestFit="1" customWidth="1"/>
    <col min="5" max="5" width="4" bestFit="1" customWidth="1"/>
    <col min="6" max="6" width="2" bestFit="1" customWidth="1"/>
    <col min="7" max="7" width="4.875" bestFit="1" customWidth="1"/>
    <col min="8" max="8" width="12.625" customWidth="1"/>
    <col min="9" max="9" width="20.75" style="1" customWidth="1"/>
    <col min="10" max="10" width="3.5" bestFit="1" customWidth="1"/>
    <col min="11" max="11" width="2.5" bestFit="1" customWidth="1"/>
    <col min="12" max="12" width="3.5" bestFit="1" customWidth="1"/>
    <col min="13" max="13" width="2.5" bestFit="1" customWidth="1"/>
    <col min="14" max="14" width="3.5" bestFit="1" customWidth="1"/>
    <col min="15" max="17" width="3.75" customWidth="1"/>
    <col min="18" max="18" width="3.625" customWidth="1"/>
    <col min="19" max="22" width="3.75" customWidth="1"/>
    <col min="23" max="23" width="3.625" customWidth="1"/>
  </cols>
  <sheetData>
    <row r="1" spans="1:21" x14ac:dyDescent="0.15">
      <c r="P1" t="s">
        <v>80</v>
      </c>
      <c r="Q1" t="s">
        <v>145</v>
      </c>
      <c r="R1" t="s">
        <v>255</v>
      </c>
      <c r="S1" t="s">
        <v>97</v>
      </c>
      <c r="T1" t="s">
        <v>99</v>
      </c>
      <c r="U1" t="s">
        <v>83</v>
      </c>
    </row>
    <row r="4" spans="1:21" ht="14.25" thickBot="1" x14ac:dyDescent="0.2">
      <c r="A4">
        <f>SUM(A5:A41)</f>
        <v>60</v>
      </c>
    </row>
    <row r="5" spans="1:21" x14ac:dyDescent="0.15">
      <c r="A5" s="2">
        <v>4</v>
      </c>
      <c r="B5" t="s">
        <v>386</v>
      </c>
      <c r="C5" t="s">
        <v>206</v>
      </c>
      <c r="D5">
        <v>1</v>
      </c>
      <c r="F5" t="s">
        <v>556</v>
      </c>
      <c r="G5" s="5" t="s">
        <v>555</v>
      </c>
      <c r="H5" s="5"/>
      <c r="J5">
        <f t="shared" ref="J5" si="0">IF(AND(ISBLANK(D5),ISBLANK(E5)),"",D5+LEN(E5))</f>
        <v>1</v>
      </c>
      <c r="K5">
        <f>A5</f>
        <v>4</v>
      </c>
    </row>
    <row r="6" spans="1:21" x14ac:dyDescent="0.15">
      <c r="A6" s="3"/>
      <c r="B6" t="s">
        <v>554</v>
      </c>
      <c r="C6" t="s">
        <v>338</v>
      </c>
      <c r="E6" t="s">
        <v>548</v>
      </c>
      <c r="F6" t="s">
        <v>556</v>
      </c>
      <c r="G6" s="5" t="s">
        <v>557</v>
      </c>
      <c r="J6">
        <f>IF(AND(ISBLANK(D6),ISBLANK(E6)),"",D6+LEN(E6))</f>
        <v>1</v>
      </c>
      <c r="K6">
        <f>A6</f>
        <v>0</v>
      </c>
    </row>
    <row r="7" spans="1:21" x14ac:dyDescent="0.15">
      <c r="A7" s="3"/>
      <c r="B7" t="s">
        <v>558</v>
      </c>
      <c r="C7" t="s">
        <v>338</v>
      </c>
      <c r="D7">
        <v>1</v>
      </c>
      <c r="F7" t="s">
        <v>556</v>
      </c>
      <c r="G7" s="5" t="s">
        <v>559</v>
      </c>
      <c r="H7" t="s">
        <v>11</v>
      </c>
      <c r="J7">
        <f>IF(AND(ISBLANK(D7),ISBLANK(E7)),"",D7+LEN(E7))</f>
        <v>1</v>
      </c>
      <c r="K7">
        <f>A7</f>
        <v>0</v>
      </c>
    </row>
    <row r="8" spans="1:21" x14ac:dyDescent="0.15">
      <c r="A8" s="3"/>
      <c r="G8" s="5"/>
      <c r="J8" t="str">
        <f>IF(AND(ISBLANK(D8),ISBLANK(E8)),"",D8+LEN(E8))</f>
        <v/>
      </c>
      <c r="K8">
        <f>A8</f>
        <v>0</v>
      </c>
    </row>
    <row r="9" spans="1:21" x14ac:dyDescent="0.15">
      <c r="A9" s="3"/>
      <c r="B9" t="s">
        <v>279</v>
      </c>
      <c r="C9" t="s">
        <v>217</v>
      </c>
      <c r="E9" t="s">
        <v>276</v>
      </c>
      <c r="F9" t="s">
        <v>556</v>
      </c>
      <c r="G9" s="5" t="s">
        <v>562</v>
      </c>
      <c r="J9">
        <f t="shared" ref="J9:J33" si="1">IF(AND(ISBLANK(D9),ISBLANK(E9)),"",D9+LEN(E9))</f>
        <v>2</v>
      </c>
      <c r="K9">
        <f t="shared" ref="K9:K33" si="2">A9</f>
        <v>0</v>
      </c>
    </row>
    <row r="10" spans="1:21" x14ac:dyDescent="0.15">
      <c r="A10" s="3">
        <v>4</v>
      </c>
      <c r="B10" t="s">
        <v>388</v>
      </c>
      <c r="C10" t="s">
        <v>96</v>
      </c>
      <c r="D10">
        <v>2</v>
      </c>
      <c r="F10" t="s">
        <v>560</v>
      </c>
      <c r="G10" s="5" t="s">
        <v>561</v>
      </c>
      <c r="H10" s="5"/>
      <c r="J10">
        <f t="shared" si="1"/>
        <v>2</v>
      </c>
      <c r="K10">
        <f t="shared" si="2"/>
        <v>4</v>
      </c>
    </row>
    <row r="11" spans="1:21" x14ac:dyDescent="0.15">
      <c r="A11" s="3"/>
      <c r="G11" s="5"/>
      <c r="H11" s="5"/>
      <c r="J11" t="str">
        <f t="shared" si="1"/>
        <v/>
      </c>
      <c r="K11">
        <f t="shared" si="2"/>
        <v>0</v>
      </c>
    </row>
    <row r="12" spans="1:21" x14ac:dyDescent="0.15">
      <c r="A12" s="3"/>
      <c r="G12" s="5"/>
      <c r="H12" s="5"/>
      <c r="J12" t="str">
        <f t="shared" si="1"/>
        <v/>
      </c>
      <c r="K12">
        <f t="shared" si="2"/>
        <v>0</v>
      </c>
    </row>
    <row r="13" spans="1:21" x14ac:dyDescent="0.15">
      <c r="A13" s="3">
        <v>4</v>
      </c>
      <c r="B13" t="s">
        <v>281</v>
      </c>
      <c r="C13" t="s">
        <v>217</v>
      </c>
      <c r="D13">
        <v>2</v>
      </c>
      <c r="E13" t="s">
        <v>276</v>
      </c>
      <c r="F13" t="s">
        <v>556</v>
      </c>
      <c r="G13" s="5" t="s">
        <v>563</v>
      </c>
      <c r="H13" s="5"/>
      <c r="J13">
        <f t="shared" si="1"/>
        <v>4</v>
      </c>
      <c r="K13">
        <f t="shared" si="2"/>
        <v>4</v>
      </c>
    </row>
    <row r="14" spans="1:21" x14ac:dyDescent="0.15">
      <c r="A14" s="3">
        <v>2</v>
      </c>
      <c r="B14" t="s">
        <v>546</v>
      </c>
      <c r="C14" t="s">
        <v>96</v>
      </c>
      <c r="D14">
        <v>2</v>
      </c>
      <c r="E14" t="s">
        <v>276</v>
      </c>
      <c r="F14" t="s">
        <v>3</v>
      </c>
      <c r="G14" s="5" t="s">
        <v>564</v>
      </c>
      <c r="H14" s="5"/>
      <c r="J14">
        <f t="shared" si="1"/>
        <v>4</v>
      </c>
      <c r="K14">
        <f t="shared" si="2"/>
        <v>2</v>
      </c>
    </row>
    <row r="15" spans="1:21" x14ac:dyDescent="0.15">
      <c r="A15" s="3">
        <v>4</v>
      </c>
      <c r="B15" t="s">
        <v>283</v>
      </c>
      <c r="C15" t="s">
        <v>103</v>
      </c>
      <c r="D15">
        <v>2</v>
      </c>
      <c r="E15" t="s">
        <v>125</v>
      </c>
      <c r="F15" t="s">
        <v>3</v>
      </c>
      <c r="G15" s="5" t="s">
        <v>565</v>
      </c>
      <c r="H15" s="5" t="s">
        <v>0</v>
      </c>
      <c r="J15">
        <f t="shared" si="1"/>
        <v>4</v>
      </c>
      <c r="K15">
        <f t="shared" si="2"/>
        <v>4</v>
      </c>
    </row>
    <row r="16" spans="1:21" x14ac:dyDescent="0.15">
      <c r="A16" s="3">
        <v>4</v>
      </c>
      <c r="B16" t="s">
        <v>583</v>
      </c>
      <c r="D16">
        <v>4</v>
      </c>
      <c r="E16" t="s">
        <v>584</v>
      </c>
      <c r="F16" t="s">
        <v>166</v>
      </c>
      <c r="G16" s="5" t="s">
        <v>585</v>
      </c>
      <c r="H16" s="5"/>
      <c r="J16">
        <f t="shared" si="1"/>
        <v>5</v>
      </c>
      <c r="K16">
        <f t="shared" si="2"/>
        <v>4</v>
      </c>
    </row>
    <row r="17" spans="1:11" x14ac:dyDescent="0.15">
      <c r="A17" s="3"/>
      <c r="G17" s="5"/>
      <c r="H17" s="5"/>
      <c r="J17" t="str">
        <f t="shared" si="1"/>
        <v/>
      </c>
      <c r="K17">
        <f t="shared" si="2"/>
        <v>0</v>
      </c>
    </row>
    <row r="18" spans="1:11" x14ac:dyDescent="0.15">
      <c r="A18" s="3">
        <v>4</v>
      </c>
      <c r="B18" t="s">
        <v>551</v>
      </c>
      <c r="C18" t="s">
        <v>338</v>
      </c>
      <c r="E18" t="s">
        <v>552</v>
      </c>
      <c r="F18" t="s">
        <v>566</v>
      </c>
      <c r="G18" s="5"/>
      <c r="H18" s="5"/>
      <c r="J18">
        <f t="shared" si="1"/>
        <v>1</v>
      </c>
      <c r="K18">
        <f t="shared" si="2"/>
        <v>4</v>
      </c>
    </row>
    <row r="19" spans="1:11" x14ac:dyDescent="0.15">
      <c r="A19" s="3">
        <v>4</v>
      </c>
      <c r="B19" t="s">
        <v>553</v>
      </c>
      <c r="C19" t="s">
        <v>338</v>
      </c>
      <c r="E19" t="s">
        <v>552</v>
      </c>
      <c r="F19" t="s">
        <v>567</v>
      </c>
      <c r="G19" s="5"/>
      <c r="H19" s="5"/>
      <c r="J19">
        <f t="shared" si="1"/>
        <v>1</v>
      </c>
      <c r="K19">
        <f t="shared" si="2"/>
        <v>4</v>
      </c>
    </row>
    <row r="20" spans="1:11" x14ac:dyDescent="0.15">
      <c r="A20" s="3"/>
      <c r="G20" s="5"/>
      <c r="H20" s="5"/>
      <c r="J20" t="str">
        <f t="shared" si="1"/>
        <v/>
      </c>
      <c r="K20">
        <f t="shared" si="2"/>
        <v>0</v>
      </c>
    </row>
    <row r="21" spans="1:11" x14ac:dyDescent="0.15">
      <c r="A21" s="3">
        <v>2</v>
      </c>
      <c r="B21" t="s">
        <v>549</v>
      </c>
      <c r="C21" t="s">
        <v>206</v>
      </c>
      <c r="D21">
        <v>2</v>
      </c>
      <c r="F21" t="s">
        <v>568</v>
      </c>
      <c r="G21" s="5"/>
      <c r="H21" s="5"/>
      <c r="J21">
        <f t="shared" si="1"/>
        <v>2</v>
      </c>
      <c r="K21">
        <f t="shared" si="2"/>
        <v>2</v>
      </c>
    </row>
    <row r="22" spans="1:11" x14ac:dyDescent="0.15">
      <c r="A22" s="3"/>
      <c r="G22" s="5"/>
      <c r="H22" s="5"/>
      <c r="J22" t="str">
        <f t="shared" si="1"/>
        <v/>
      </c>
      <c r="K22">
        <f t="shared" si="2"/>
        <v>0</v>
      </c>
    </row>
    <row r="23" spans="1:11" x14ac:dyDescent="0.15">
      <c r="A23" s="3"/>
      <c r="G23" s="5"/>
      <c r="H23" s="5"/>
      <c r="J23" t="str">
        <f t="shared" si="1"/>
        <v/>
      </c>
      <c r="K23">
        <f t="shared" si="2"/>
        <v>0</v>
      </c>
    </row>
    <row r="24" spans="1:11" x14ac:dyDescent="0.15">
      <c r="A24" s="3">
        <v>2</v>
      </c>
      <c r="B24" t="s">
        <v>547</v>
      </c>
      <c r="C24" t="s">
        <v>96</v>
      </c>
      <c r="D24">
        <v>2</v>
      </c>
      <c r="E24" t="s">
        <v>548</v>
      </c>
      <c r="F24" t="s">
        <v>569</v>
      </c>
      <c r="G24" s="5"/>
      <c r="J24">
        <f>IF(AND(ISBLANK(D24),ISBLANK(E24)),"",D24+LEN(E24))</f>
        <v>3</v>
      </c>
      <c r="K24">
        <f>A24</f>
        <v>2</v>
      </c>
    </row>
    <row r="25" spans="1:11" x14ac:dyDescent="0.15">
      <c r="A25" s="3">
        <v>4</v>
      </c>
      <c r="B25" t="s">
        <v>550</v>
      </c>
      <c r="C25" t="s">
        <v>338</v>
      </c>
      <c r="D25">
        <v>1</v>
      </c>
      <c r="E25" t="s">
        <v>87</v>
      </c>
      <c r="F25" t="s">
        <v>566</v>
      </c>
      <c r="G25" s="5"/>
      <c r="J25">
        <f>IF(AND(ISBLANK(D25),ISBLANK(E25)),"",D25+LEN(E25))</f>
        <v>3</v>
      </c>
      <c r="K25">
        <f>A25</f>
        <v>4</v>
      </c>
    </row>
    <row r="26" spans="1:11" x14ac:dyDescent="0.15">
      <c r="A26" s="3"/>
      <c r="G26" s="5"/>
      <c r="H26" s="5"/>
      <c r="J26" t="str">
        <f t="shared" si="1"/>
        <v/>
      </c>
      <c r="K26">
        <f t="shared" si="2"/>
        <v>0</v>
      </c>
    </row>
    <row r="27" spans="1:11" x14ac:dyDescent="0.15">
      <c r="A27" s="3"/>
      <c r="G27" s="5"/>
      <c r="H27" s="5"/>
      <c r="J27" t="str">
        <f t="shared" si="1"/>
        <v/>
      </c>
      <c r="K27">
        <f t="shared" si="2"/>
        <v>0</v>
      </c>
    </row>
    <row r="28" spans="1:11" x14ac:dyDescent="0.15">
      <c r="A28" s="3"/>
      <c r="G28" s="5"/>
      <c r="H28" s="5"/>
      <c r="J28" t="str">
        <f t="shared" si="1"/>
        <v/>
      </c>
      <c r="K28">
        <f t="shared" si="2"/>
        <v>0</v>
      </c>
    </row>
    <row r="29" spans="1:11" x14ac:dyDescent="0.15">
      <c r="A29" s="3"/>
      <c r="G29" s="5"/>
      <c r="H29" s="5"/>
      <c r="J29" t="str">
        <f t="shared" si="1"/>
        <v/>
      </c>
      <c r="K29">
        <f t="shared" si="2"/>
        <v>0</v>
      </c>
    </row>
    <row r="30" spans="1:11" x14ac:dyDescent="0.15">
      <c r="A30" s="3"/>
      <c r="G30" s="5"/>
      <c r="H30" s="5"/>
      <c r="J30" t="str">
        <f t="shared" si="1"/>
        <v/>
      </c>
      <c r="K30">
        <f t="shared" si="2"/>
        <v>0</v>
      </c>
    </row>
    <row r="31" spans="1:11" x14ac:dyDescent="0.15">
      <c r="A31" s="3"/>
      <c r="G31" s="5"/>
      <c r="J31" t="str">
        <f t="shared" si="1"/>
        <v/>
      </c>
      <c r="K31">
        <f t="shared" si="2"/>
        <v>0</v>
      </c>
    </row>
    <row r="32" spans="1:11" x14ac:dyDescent="0.15">
      <c r="A32" s="3"/>
      <c r="G32" s="5"/>
      <c r="J32" t="str">
        <f t="shared" si="1"/>
        <v/>
      </c>
      <c r="K32">
        <f t="shared" si="2"/>
        <v>0</v>
      </c>
    </row>
    <row r="33" spans="1:23" ht="14.25" thickBot="1" x14ac:dyDescent="0.2">
      <c r="A33" s="3"/>
      <c r="J33" t="str">
        <f t="shared" si="1"/>
        <v/>
      </c>
      <c r="K33">
        <f t="shared" si="2"/>
        <v>0</v>
      </c>
    </row>
    <row r="34" spans="1:23" x14ac:dyDescent="0.15">
      <c r="A34" s="2"/>
    </row>
    <row r="35" spans="1:23" s="1" customFormat="1" x14ac:dyDescent="0.15">
      <c r="A35" s="3"/>
      <c r="B35"/>
      <c r="C35"/>
      <c r="D35"/>
      <c r="E35"/>
      <c r="F35"/>
      <c r="G35"/>
      <c r="H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 s="1" customFormat="1" x14ac:dyDescent="0.15">
      <c r="A36" s="3">
        <v>22</v>
      </c>
      <c r="B36"/>
      <c r="C36"/>
      <c r="D36"/>
      <c r="E36"/>
      <c r="F36"/>
      <c r="G36"/>
      <c r="H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 s="1" customFormat="1" x14ac:dyDescent="0.15">
      <c r="A37" s="3"/>
      <c r="B37"/>
      <c r="C37"/>
      <c r="D37"/>
      <c r="E37"/>
      <c r="F37"/>
      <c r="G37"/>
      <c r="H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23" s="1" customFormat="1" x14ac:dyDescent="0.15">
      <c r="A38" s="3"/>
      <c r="B38"/>
      <c r="C38"/>
      <c r="D38"/>
      <c r="E38"/>
      <c r="F38"/>
      <c r="G38"/>
      <c r="H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 s="1" customFormat="1" x14ac:dyDescent="0.15">
      <c r="A39" s="3"/>
      <c r="B39"/>
      <c r="C39"/>
      <c r="D39"/>
      <c r="E39"/>
      <c r="F39"/>
      <c r="G39"/>
      <c r="H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 s="1" customFormat="1" x14ac:dyDescent="0.15">
      <c r="A40" s="3"/>
      <c r="B40"/>
      <c r="C40"/>
      <c r="D40"/>
      <c r="E40"/>
      <c r="F40"/>
      <c r="G40"/>
      <c r="H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 s="1" customFormat="1" ht="14.25" thickBot="1" x14ac:dyDescent="0.2">
      <c r="A41" s="4"/>
      <c r="B41"/>
      <c r="C41"/>
      <c r="D41"/>
      <c r="E41"/>
      <c r="F41"/>
      <c r="G41"/>
      <c r="H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 s="1" customFormat="1" x14ac:dyDescent="0.15">
      <c r="A42">
        <f>SUM(A34:A41)</f>
        <v>22</v>
      </c>
      <c r="B42"/>
      <c r="C42"/>
      <c r="D42"/>
      <c r="E42"/>
      <c r="F42"/>
      <c r="G42"/>
      <c r="H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4" spans="1:23" s="1" customFormat="1" ht="14.25" thickBot="1" x14ac:dyDescent="0.2">
      <c r="A44"/>
      <c r="B44"/>
      <c r="C44"/>
      <c r="D44"/>
      <c r="E44"/>
      <c r="F44"/>
      <c r="G44"/>
      <c r="H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 s="1" customFormat="1" x14ac:dyDescent="0.15">
      <c r="A45" s="2"/>
      <c r="B45"/>
      <c r="C45"/>
      <c r="D45"/>
      <c r="E45"/>
      <c r="F45"/>
      <c r="G45"/>
      <c r="H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 s="1" customFormat="1" x14ac:dyDescent="0.15">
      <c r="A46" s="3"/>
      <c r="B46"/>
      <c r="C46"/>
      <c r="D46"/>
      <c r="E46"/>
      <c r="F46"/>
      <c r="G46" s="5"/>
      <c r="H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 s="1" customFormat="1" x14ac:dyDescent="0.15">
      <c r="A47" s="3"/>
      <c r="B47"/>
      <c r="C47"/>
      <c r="D47"/>
      <c r="E47"/>
      <c r="F47"/>
      <c r="G47" s="5"/>
      <c r="H47" s="5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 s="1" customFormat="1" x14ac:dyDescent="0.15">
      <c r="A48" s="3"/>
      <c r="B48"/>
      <c r="C48"/>
      <c r="D48"/>
      <c r="E48"/>
      <c r="F48"/>
      <c r="G48" s="5"/>
      <c r="H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 s="1" customFormat="1" x14ac:dyDescent="0.15">
      <c r="A49" s="3"/>
      <c r="B49"/>
      <c r="C49"/>
      <c r="D49"/>
      <c r="E49"/>
      <c r="F49"/>
      <c r="G49" s="5"/>
      <c r="H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 s="1" customFormat="1" x14ac:dyDescent="0.15">
      <c r="A50" s="3"/>
      <c r="B50"/>
      <c r="C50"/>
      <c r="D50"/>
      <c r="E50"/>
      <c r="F50"/>
      <c r="G50" s="5"/>
      <c r="H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 x14ac:dyDescent="0.15">
      <c r="A51" s="3"/>
    </row>
    <row r="52" spans="1:23" x14ac:dyDescent="0.15">
      <c r="A52" s="3"/>
    </row>
    <row r="53" spans="1:23" x14ac:dyDescent="0.15">
      <c r="A53" s="3"/>
    </row>
    <row r="54" spans="1:23" ht="14.25" thickBot="1" x14ac:dyDescent="0.2">
      <c r="A54" s="3"/>
    </row>
    <row r="55" spans="1:23" ht="14.25" thickBot="1" x14ac:dyDescent="0.2">
      <c r="A55" s="6">
        <f>SUM(A45:A54)</f>
        <v>0</v>
      </c>
      <c r="P55" s="7">
        <v>0</v>
      </c>
      <c r="Q55" s="8">
        <v>1</v>
      </c>
      <c r="R55" s="8">
        <v>2</v>
      </c>
      <c r="S55" s="8">
        <v>3</v>
      </c>
      <c r="T55" s="8">
        <v>4</v>
      </c>
      <c r="U55" s="8">
        <v>5</v>
      </c>
      <c r="V55" s="8">
        <v>6</v>
      </c>
      <c r="W55" s="9">
        <v>7</v>
      </c>
    </row>
    <row r="56" spans="1:23" ht="14.25" thickBot="1" x14ac:dyDescent="0.2">
      <c r="P56" s="10">
        <f t="shared" ref="P56:V56" si="3">SUMIF($J5:$J33,P55,$A5:$A33)</f>
        <v>0</v>
      </c>
      <c r="Q56" s="11">
        <f t="shared" si="3"/>
        <v>12</v>
      </c>
      <c r="R56" s="11">
        <f t="shared" si="3"/>
        <v>6</v>
      </c>
      <c r="S56" s="11">
        <f t="shared" si="3"/>
        <v>6</v>
      </c>
      <c r="T56" s="11">
        <f t="shared" si="3"/>
        <v>10</v>
      </c>
      <c r="U56" s="11">
        <f t="shared" si="3"/>
        <v>4</v>
      </c>
      <c r="V56" s="11">
        <f t="shared" si="3"/>
        <v>0</v>
      </c>
      <c r="W56" s="12">
        <f>SUMIF($J5:$J33,"&gt;6",$A5:$A33)</f>
        <v>0</v>
      </c>
    </row>
    <row r="58" spans="1:23" ht="14.25" thickBot="1" x14ac:dyDescent="0.2"/>
    <row r="59" spans="1:23" x14ac:dyDescent="0.15">
      <c r="P59" s="7" t="s">
        <v>3</v>
      </c>
      <c r="Q59" s="8" t="s">
        <v>6</v>
      </c>
      <c r="R59" s="8" t="s">
        <v>5</v>
      </c>
      <c r="S59" s="8" t="s">
        <v>7</v>
      </c>
      <c r="T59" s="8" t="s">
        <v>8</v>
      </c>
      <c r="U59" s="8" t="s">
        <v>10</v>
      </c>
      <c r="V59" s="9" t="s">
        <v>9</v>
      </c>
    </row>
    <row r="60" spans="1:23" ht="14.25" thickBot="1" x14ac:dyDescent="0.2">
      <c r="P60" s="10">
        <f t="shared" ref="P60:U60" si="4">SUMIF($F5:$F33,P59,$A5:$A33)</f>
        <v>22</v>
      </c>
      <c r="Q60" s="11">
        <f t="shared" si="4"/>
        <v>8</v>
      </c>
      <c r="R60" s="11">
        <f t="shared" si="4"/>
        <v>2</v>
      </c>
      <c r="S60" s="11">
        <f t="shared" si="4"/>
        <v>4</v>
      </c>
      <c r="T60" s="11">
        <f t="shared" si="4"/>
        <v>2</v>
      </c>
      <c r="U60" s="11">
        <f t="shared" si="4"/>
        <v>0</v>
      </c>
      <c r="V60" s="12">
        <f>A42</f>
        <v>22</v>
      </c>
    </row>
  </sheetData>
  <phoneticPr fontId="1"/>
  <dataValidations count="1">
    <dataValidation type="list" allowBlank="1" showInputMessage="1" showErrorMessage="1" sqref="C5:C33">
      <formula1>$P$1:$U$1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1:W58"/>
  <sheetViews>
    <sheetView workbookViewId="0">
      <selection activeCell="H35" sqref="H35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3.5" bestFit="1" customWidth="1"/>
    <col min="5" max="5" width="4" bestFit="1" customWidth="1"/>
    <col min="6" max="6" width="2" bestFit="1" customWidth="1"/>
    <col min="7" max="7" width="4.875" bestFit="1" customWidth="1"/>
    <col min="8" max="8" width="12.625" customWidth="1"/>
    <col min="9" max="9" width="20.75" style="1" customWidth="1"/>
    <col min="10" max="10" width="3.5" bestFit="1" customWidth="1"/>
    <col min="11" max="11" width="2.5" bestFit="1" customWidth="1"/>
    <col min="12" max="12" width="3.5" bestFit="1" customWidth="1"/>
    <col min="13" max="13" width="2.5" bestFit="1" customWidth="1"/>
    <col min="14" max="14" width="3.5" bestFit="1" customWidth="1"/>
    <col min="15" max="17" width="3.75" customWidth="1"/>
    <col min="18" max="18" width="3.625" customWidth="1"/>
    <col min="19" max="22" width="3.75" customWidth="1"/>
    <col min="23" max="23" width="3.625" customWidth="1"/>
  </cols>
  <sheetData>
    <row r="1" spans="1:21" x14ac:dyDescent="0.15">
      <c r="P1" t="s">
        <v>80</v>
      </c>
      <c r="Q1" t="s">
        <v>145</v>
      </c>
      <c r="R1" t="s">
        <v>255</v>
      </c>
      <c r="S1" t="s">
        <v>97</v>
      </c>
      <c r="T1" t="s">
        <v>99</v>
      </c>
      <c r="U1" t="s">
        <v>83</v>
      </c>
    </row>
    <row r="4" spans="1:21" ht="14.25" thickBot="1" x14ac:dyDescent="0.2">
      <c r="A4">
        <f>SUM(A5:A39)</f>
        <v>60</v>
      </c>
    </row>
    <row r="5" spans="1:21" x14ac:dyDescent="0.15">
      <c r="A5" s="2"/>
      <c r="G5" s="5"/>
      <c r="H5" s="5"/>
      <c r="J5" t="str">
        <f t="shared" ref="J5" si="0">IF(AND(ISBLANK(D5),ISBLANK(E5)),"",D5+LEN(E5))</f>
        <v/>
      </c>
      <c r="K5">
        <f>A5</f>
        <v>0</v>
      </c>
    </row>
    <row r="6" spans="1:21" x14ac:dyDescent="0.15">
      <c r="A6" s="3">
        <v>4</v>
      </c>
      <c r="B6" t="s">
        <v>303</v>
      </c>
      <c r="C6" t="s">
        <v>82</v>
      </c>
      <c r="D6">
        <v>1</v>
      </c>
      <c r="E6" t="s">
        <v>434</v>
      </c>
      <c r="F6" t="s">
        <v>211</v>
      </c>
      <c r="G6" s="5" t="s">
        <v>232</v>
      </c>
      <c r="J6">
        <f>IF(AND(ISBLANK(D6),ISBLANK(E6)),"",D6+LEN(E6))</f>
        <v>2</v>
      </c>
      <c r="K6">
        <f>A6</f>
        <v>4</v>
      </c>
    </row>
    <row r="7" spans="1:21" x14ac:dyDescent="0.15">
      <c r="A7" s="3">
        <v>4</v>
      </c>
      <c r="B7" t="s">
        <v>504</v>
      </c>
      <c r="C7" t="s">
        <v>206</v>
      </c>
      <c r="D7">
        <v>1</v>
      </c>
      <c r="E7" t="s">
        <v>146</v>
      </c>
      <c r="F7" t="s">
        <v>3</v>
      </c>
      <c r="G7" s="5" t="s">
        <v>73</v>
      </c>
      <c r="H7" t="s">
        <v>507</v>
      </c>
      <c r="J7">
        <f t="shared" ref="J7:J31" si="1">IF(AND(ISBLANK(D7),ISBLANK(E7)),"",D7+LEN(E7))</f>
        <v>2</v>
      </c>
      <c r="K7">
        <f t="shared" ref="K7:K31" si="2">A7</f>
        <v>4</v>
      </c>
    </row>
    <row r="8" spans="1:21" x14ac:dyDescent="0.15">
      <c r="A8" s="3"/>
      <c r="G8" s="5"/>
      <c r="H8" s="5"/>
      <c r="J8" t="str">
        <f t="shared" si="1"/>
        <v/>
      </c>
      <c r="K8">
        <f t="shared" si="2"/>
        <v>0</v>
      </c>
    </row>
    <row r="9" spans="1:21" x14ac:dyDescent="0.15">
      <c r="A9" s="3"/>
      <c r="G9" s="5"/>
      <c r="H9" s="5"/>
      <c r="J9" t="str">
        <f t="shared" si="1"/>
        <v/>
      </c>
      <c r="K9">
        <f t="shared" si="2"/>
        <v>0</v>
      </c>
    </row>
    <row r="10" spans="1:21" x14ac:dyDescent="0.15">
      <c r="A10" s="3">
        <v>4</v>
      </c>
      <c r="B10" t="s">
        <v>421</v>
      </c>
      <c r="C10" t="s">
        <v>338</v>
      </c>
      <c r="D10">
        <v>2</v>
      </c>
      <c r="E10" t="s">
        <v>146</v>
      </c>
      <c r="F10" t="s">
        <v>3</v>
      </c>
      <c r="G10" s="5" t="s">
        <v>142</v>
      </c>
      <c r="H10" s="5" t="s">
        <v>509</v>
      </c>
      <c r="J10">
        <f t="shared" si="1"/>
        <v>3</v>
      </c>
      <c r="K10">
        <f t="shared" si="2"/>
        <v>4</v>
      </c>
    </row>
    <row r="11" spans="1:21" x14ac:dyDescent="0.15">
      <c r="A11" s="3"/>
      <c r="G11" s="5"/>
      <c r="H11" s="5"/>
      <c r="J11" t="str">
        <f t="shared" si="1"/>
        <v/>
      </c>
      <c r="K11">
        <f t="shared" si="2"/>
        <v>0</v>
      </c>
    </row>
    <row r="12" spans="1:21" x14ac:dyDescent="0.15">
      <c r="A12" s="3">
        <v>2</v>
      </c>
      <c r="B12" t="s">
        <v>439</v>
      </c>
      <c r="C12" t="s">
        <v>96</v>
      </c>
      <c r="D12">
        <v>3</v>
      </c>
      <c r="E12" t="s">
        <v>453</v>
      </c>
      <c r="F12" t="s">
        <v>211</v>
      </c>
      <c r="G12" s="5" t="s">
        <v>580</v>
      </c>
      <c r="H12" s="5" t="s">
        <v>581</v>
      </c>
      <c r="J12">
        <f t="shared" si="1"/>
        <v>5</v>
      </c>
      <c r="K12">
        <f t="shared" si="2"/>
        <v>2</v>
      </c>
    </row>
    <row r="13" spans="1:21" x14ac:dyDescent="0.15">
      <c r="A13" s="3"/>
      <c r="B13" t="s">
        <v>444</v>
      </c>
      <c r="C13" t="s">
        <v>96</v>
      </c>
      <c r="D13">
        <v>5</v>
      </c>
      <c r="F13" t="s">
        <v>211</v>
      </c>
      <c r="G13" s="5" t="s">
        <v>44</v>
      </c>
      <c r="H13" s="5" t="s">
        <v>582</v>
      </c>
      <c r="J13">
        <f t="shared" si="1"/>
        <v>5</v>
      </c>
      <c r="K13">
        <f t="shared" si="2"/>
        <v>0</v>
      </c>
    </row>
    <row r="14" spans="1:21" x14ac:dyDescent="0.15">
      <c r="A14" s="3"/>
      <c r="G14" s="5"/>
      <c r="H14" s="5"/>
      <c r="J14" t="str">
        <f t="shared" si="1"/>
        <v/>
      </c>
      <c r="K14">
        <f t="shared" si="2"/>
        <v>0</v>
      </c>
    </row>
    <row r="15" spans="1:21" x14ac:dyDescent="0.15">
      <c r="A15" s="3">
        <v>2</v>
      </c>
      <c r="B15" t="s">
        <v>317</v>
      </c>
      <c r="C15" t="s">
        <v>206</v>
      </c>
      <c r="D15">
        <v>5</v>
      </c>
      <c r="E15" t="s">
        <v>453</v>
      </c>
      <c r="F15" t="s">
        <v>211</v>
      </c>
      <c r="G15" s="5" t="s">
        <v>510</v>
      </c>
      <c r="H15" s="5" t="s">
        <v>319</v>
      </c>
      <c r="J15">
        <f t="shared" si="1"/>
        <v>7</v>
      </c>
      <c r="K15">
        <f t="shared" si="2"/>
        <v>2</v>
      </c>
    </row>
    <row r="16" spans="1:21" x14ac:dyDescent="0.15">
      <c r="A16" s="3"/>
      <c r="G16" s="5"/>
      <c r="H16" s="5"/>
      <c r="J16" t="str">
        <f t="shared" si="1"/>
        <v/>
      </c>
      <c r="K16">
        <f t="shared" si="2"/>
        <v>0</v>
      </c>
    </row>
    <row r="17" spans="1:11" x14ac:dyDescent="0.15">
      <c r="A17" s="3"/>
      <c r="G17" s="5"/>
      <c r="H17" s="5"/>
      <c r="J17" t="str">
        <f t="shared" si="1"/>
        <v/>
      </c>
      <c r="K17">
        <f t="shared" si="2"/>
        <v>0</v>
      </c>
    </row>
    <row r="18" spans="1:11" x14ac:dyDescent="0.15">
      <c r="A18" s="3">
        <v>4</v>
      </c>
      <c r="B18" t="s">
        <v>500</v>
      </c>
      <c r="C18" t="s">
        <v>206</v>
      </c>
      <c r="E18" t="s">
        <v>146</v>
      </c>
      <c r="F18" t="s">
        <v>5</v>
      </c>
      <c r="G18" s="5"/>
      <c r="H18" s="5" t="s">
        <v>503</v>
      </c>
      <c r="J18">
        <f t="shared" si="1"/>
        <v>1</v>
      </c>
      <c r="K18">
        <f t="shared" si="2"/>
        <v>4</v>
      </c>
    </row>
    <row r="19" spans="1:11" x14ac:dyDescent="0.15">
      <c r="A19" s="3"/>
      <c r="G19" s="5"/>
      <c r="H19" s="5"/>
      <c r="J19" t="str">
        <f t="shared" si="1"/>
        <v/>
      </c>
      <c r="K19">
        <f t="shared" si="2"/>
        <v>0</v>
      </c>
    </row>
    <row r="20" spans="1:11" x14ac:dyDescent="0.15">
      <c r="A20" s="3">
        <v>2</v>
      </c>
      <c r="B20" t="s">
        <v>293</v>
      </c>
      <c r="C20" t="s">
        <v>82</v>
      </c>
      <c r="D20">
        <v>3</v>
      </c>
      <c r="F20" t="s">
        <v>577</v>
      </c>
      <c r="G20" s="5"/>
      <c r="H20" s="5"/>
      <c r="J20">
        <f t="shared" si="1"/>
        <v>3</v>
      </c>
      <c r="K20">
        <f t="shared" si="2"/>
        <v>2</v>
      </c>
    </row>
    <row r="21" spans="1:11" x14ac:dyDescent="0.15">
      <c r="A21" s="3">
        <v>4</v>
      </c>
      <c r="B21" t="s">
        <v>314</v>
      </c>
      <c r="C21" t="s">
        <v>82</v>
      </c>
      <c r="D21">
        <v>2</v>
      </c>
      <c r="E21" t="s">
        <v>304</v>
      </c>
      <c r="F21" t="s">
        <v>6</v>
      </c>
      <c r="G21" s="5" t="s">
        <v>514</v>
      </c>
      <c r="H21" s="5"/>
      <c r="J21">
        <f t="shared" si="1"/>
        <v>3</v>
      </c>
      <c r="K21">
        <f t="shared" si="2"/>
        <v>4</v>
      </c>
    </row>
    <row r="22" spans="1:11" x14ac:dyDescent="0.15">
      <c r="A22" s="3">
        <v>4</v>
      </c>
      <c r="B22" t="s">
        <v>570</v>
      </c>
      <c r="C22" t="s">
        <v>206</v>
      </c>
      <c r="D22">
        <v>3</v>
      </c>
      <c r="G22" s="5"/>
      <c r="J22">
        <f>IF(AND(ISBLANK(D22),ISBLANK(E22)),"",D22+LEN(E22))</f>
        <v>3</v>
      </c>
      <c r="K22">
        <f>A22</f>
        <v>4</v>
      </c>
    </row>
    <row r="23" spans="1:11" x14ac:dyDescent="0.15">
      <c r="A23" s="3"/>
      <c r="G23" s="5"/>
      <c r="J23" t="str">
        <f>IF(AND(ISBLANK(D23),ISBLANK(E23)),"",D23+LEN(E23))</f>
        <v/>
      </c>
      <c r="K23">
        <f>A23</f>
        <v>0</v>
      </c>
    </row>
    <row r="24" spans="1:11" x14ac:dyDescent="0.15">
      <c r="A24" s="3">
        <v>1</v>
      </c>
      <c r="B24" t="s">
        <v>511</v>
      </c>
      <c r="C24" t="s">
        <v>82</v>
      </c>
      <c r="D24">
        <v>2</v>
      </c>
      <c r="E24" t="s">
        <v>453</v>
      </c>
      <c r="F24" t="s">
        <v>147</v>
      </c>
      <c r="G24" s="5" t="s">
        <v>516</v>
      </c>
      <c r="H24" s="5"/>
      <c r="J24">
        <f t="shared" si="1"/>
        <v>4</v>
      </c>
      <c r="K24">
        <f t="shared" si="2"/>
        <v>1</v>
      </c>
    </row>
    <row r="25" spans="1:11" x14ac:dyDescent="0.15">
      <c r="A25" s="3"/>
      <c r="G25" s="5"/>
      <c r="H25" s="5"/>
      <c r="J25" t="str">
        <f t="shared" si="1"/>
        <v/>
      </c>
      <c r="K25">
        <f t="shared" si="2"/>
        <v>0</v>
      </c>
    </row>
    <row r="26" spans="1:11" x14ac:dyDescent="0.15">
      <c r="A26" s="3"/>
      <c r="G26" s="5"/>
      <c r="H26" s="5"/>
      <c r="J26" t="str">
        <f t="shared" si="1"/>
        <v/>
      </c>
      <c r="K26">
        <f t="shared" si="2"/>
        <v>0</v>
      </c>
    </row>
    <row r="27" spans="1:11" x14ac:dyDescent="0.15">
      <c r="A27" s="3">
        <v>2</v>
      </c>
      <c r="B27" t="s">
        <v>578</v>
      </c>
      <c r="C27" t="s">
        <v>338</v>
      </c>
      <c r="D27">
        <v>3</v>
      </c>
      <c r="E27" t="s">
        <v>311</v>
      </c>
      <c r="F27" t="s">
        <v>579</v>
      </c>
      <c r="G27" s="5"/>
      <c r="H27" s="5"/>
      <c r="J27">
        <f t="shared" si="1"/>
        <v>5</v>
      </c>
      <c r="K27">
        <f t="shared" si="2"/>
        <v>2</v>
      </c>
    </row>
    <row r="28" spans="1:11" x14ac:dyDescent="0.15">
      <c r="A28" s="3">
        <v>3</v>
      </c>
      <c r="B28" t="s">
        <v>512</v>
      </c>
      <c r="C28" t="s">
        <v>82</v>
      </c>
      <c r="D28">
        <v>3</v>
      </c>
      <c r="E28" t="s">
        <v>311</v>
      </c>
      <c r="F28" t="s">
        <v>5</v>
      </c>
      <c r="G28" s="5" t="s">
        <v>514</v>
      </c>
      <c r="H28" s="5" t="s">
        <v>515</v>
      </c>
      <c r="J28">
        <f t="shared" si="1"/>
        <v>5</v>
      </c>
      <c r="K28">
        <f t="shared" si="2"/>
        <v>3</v>
      </c>
    </row>
    <row r="29" spans="1:11" x14ac:dyDescent="0.15">
      <c r="A29" s="3">
        <v>2</v>
      </c>
      <c r="B29" t="s">
        <v>310</v>
      </c>
      <c r="C29" t="s">
        <v>82</v>
      </c>
      <c r="D29">
        <v>3</v>
      </c>
      <c r="E29" t="s">
        <v>453</v>
      </c>
      <c r="F29" t="s">
        <v>4</v>
      </c>
      <c r="G29" s="5"/>
      <c r="J29">
        <f t="shared" si="1"/>
        <v>5</v>
      </c>
      <c r="K29">
        <f t="shared" si="2"/>
        <v>2</v>
      </c>
    </row>
    <row r="30" spans="1:11" x14ac:dyDescent="0.15">
      <c r="A30" s="3"/>
      <c r="G30" s="5"/>
      <c r="J30" t="str">
        <f t="shared" si="1"/>
        <v/>
      </c>
      <c r="K30">
        <f t="shared" si="2"/>
        <v>0</v>
      </c>
    </row>
    <row r="31" spans="1:11" ht="14.25" thickBot="1" x14ac:dyDescent="0.2">
      <c r="A31" s="3"/>
      <c r="J31" t="str">
        <f t="shared" si="1"/>
        <v/>
      </c>
      <c r="K31">
        <f t="shared" si="2"/>
        <v>0</v>
      </c>
    </row>
    <row r="32" spans="1:11" x14ac:dyDescent="0.15">
      <c r="A32" s="2">
        <v>3</v>
      </c>
      <c r="B32" t="s">
        <v>335</v>
      </c>
    </row>
    <row r="33" spans="1:8" x14ac:dyDescent="0.15">
      <c r="A33" s="3">
        <v>4</v>
      </c>
      <c r="B33" t="s">
        <v>461</v>
      </c>
    </row>
    <row r="34" spans="1:8" x14ac:dyDescent="0.15">
      <c r="A34" s="3">
        <v>2</v>
      </c>
      <c r="B34" t="s">
        <v>576</v>
      </c>
    </row>
    <row r="35" spans="1:8" x14ac:dyDescent="0.15">
      <c r="A35" s="3">
        <v>4</v>
      </c>
      <c r="B35" t="s">
        <v>520</v>
      </c>
    </row>
    <row r="36" spans="1:8" x14ac:dyDescent="0.15">
      <c r="A36" s="3"/>
    </row>
    <row r="37" spans="1:8" x14ac:dyDescent="0.15">
      <c r="A37" s="3">
        <v>5</v>
      </c>
      <c r="B37" t="s">
        <v>149</v>
      </c>
    </row>
    <row r="38" spans="1:8" x14ac:dyDescent="0.15">
      <c r="A38" s="3"/>
    </row>
    <row r="39" spans="1:8" ht="14.25" thickBot="1" x14ac:dyDescent="0.2">
      <c r="A39" s="4">
        <v>4</v>
      </c>
      <c r="B39" t="s">
        <v>522</v>
      </c>
    </row>
    <row r="40" spans="1:8" x14ac:dyDescent="0.15">
      <c r="A40">
        <f>SUM(A32:A39)</f>
        <v>22</v>
      </c>
    </row>
    <row r="42" spans="1:8" ht="14.25" thickBot="1" x14ac:dyDescent="0.2"/>
    <row r="43" spans="1:8" x14ac:dyDescent="0.15">
      <c r="A43" s="2"/>
    </row>
    <row r="44" spans="1:8" x14ac:dyDescent="0.15">
      <c r="A44" s="3"/>
      <c r="G44" s="5"/>
    </row>
    <row r="45" spans="1:8" x14ac:dyDescent="0.15">
      <c r="A45" s="3"/>
      <c r="G45" s="5"/>
      <c r="H45" s="5"/>
    </row>
    <row r="46" spans="1:8" x14ac:dyDescent="0.15">
      <c r="A46" s="3"/>
      <c r="G46" s="5"/>
    </row>
    <row r="47" spans="1:8" x14ac:dyDescent="0.15">
      <c r="A47" s="3"/>
      <c r="G47" s="5"/>
    </row>
    <row r="48" spans="1:8" x14ac:dyDescent="0.15">
      <c r="A48" s="3"/>
      <c r="G48" s="5"/>
    </row>
    <row r="49" spans="1:23" x14ac:dyDescent="0.15">
      <c r="A49" s="3"/>
    </row>
    <row r="50" spans="1:23" x14ac:dyDescent="0.15">
      <c r="A50" s="3"/>
    </row>
    <row r="51" spans="1:23" x14ac:dyDescent="0.15">
      <c r="A51" s="3"/>
    </row>
    <row r="52" spans="1:23" ht="14.25" thickBot="1" x14ac:dyDescent="0.2">
      <c r="A52" s="3"/>
    </row>
    <row r="53" spans="1:23" ht="14.25" thickBot="1" x14ac:dyDescent="0.2">
      <c r="A53" s="6">
        <f>SUM(A43:A52)</f>
        <v>0</v>
      </c>
      <c r="P53" s="7">
        <v>0</v>
      </c>
      <c r="Q53" s="8">
        <v>1</v>
      </c>
      <c r="R53" s="8">
        <v>2</v>
      </c>
      <c r="S53" s="8">
        <v>3</v>
      </c>
      <c r="T53" s="8">
        <v>4</v>
      </c>
      <c r="U53" s="8">
        <v>5</v>
      </c>
      <c r="V53" s="8">
        <v>6</v>
      </c>
      <c r="W53" s="9">
        <v>7</v>
      </c>
    </row>
    <row r="54" spans="1:23" ht="14.25" thickBot="1" x14ac:dyDescent="0.2">
      <c r="P54" s="10">
        <f t="shared" ref="P54:V54" si="3">SUMIF($J5:$J31,P53,$A5:$A31)</f>
        <v>0</v>
      </c>
      <c r="Q54" s="11">
        <f t="shared" si="3"/>
        <v>4</v>
      </c>
      <c r="R54" s="11">
        <f t="shared" si="3"/>
        <v>8</v>
      </c>
      <c r="S54" s="11">
        <f t="shared" si="3"/>
        <v>14</v>
      </c>
      <c r="T54" s="11">
        <f t="shared" si="3"/>
        <v>1</v>
      </c>
      <c r="U54" s="11">
        <f t="shared" si="3"/>
        <v>9</v>
      </c>
      <c r="V54" s="11">
        <f t="shared" si="3"/>
        <v>0</v>
      </c>
      <c r="W54" s="12">
        <f>SUMIF($J5:$J31,"&gt;6",$A5:$A31)</f>
        <v>2</v>
      </c>
    </row>
    <row r="56" spans="1:23" ht="14.25" thickBot="1" x14ac:dyDescent="0.2"/>
    <row r="57" spans="1:23" x14ac:dyDescent="0.15">
      <c r="P57" s="7" t="s">
        <v>3</v>
      </c>
      <c r="Q57" s="8" t="s">
        <v>6</v>
      </c>
      <c r="R57" s="8" t="s">
        <v>5</v>
      </c>
      <c r="S57" s="8" t="s">
        <v>7</v>
      </c>
      <c r="T57" s="8" t="s">
        <v>8</v>
      </c>
      <c r="U57" s="8" t="s">
        <v>10</v>
      </c>
      <c r="V57" s="9" t="s">
        <v>9</v>
      </c>
    </row>
    <row r="58" spans="1:23" ht="14.25" thickBot="1" x14ac:dyDescent="0.2">
      <c r="P58" s="10">
        <f t="shared" ref="P58:U58" si="4">SUMIF($F5:$F31,P57,$A5:$A31)</f>
        <v>16</v>
      </c>
      <c r="Q58" s="11">
        <f t="shared" si="4"/>
        <v>6</v>
      </c>
      <c r="R58" s="11">
        <f t="shared" si="4"/>
        <v>9</v>
      </c>
      <c r="S58" s="11">
        <f t="shared" si="4"/>
        <v>1</v>
      </c>
      <c r="T58" s="11">
        <f t="shared" si="4"/>
        <v>2</v>
      </c>
      <c r="U58" s="11">
        <f t="shared" si="4"/>
        <v>0</v>
      </c>
      <c r="V58" s="12">
        <f>A40</f>
        <v>22</v>
      </c>
    </row>
  </sheetData>
  <phoneticPr fontId="1"/>
  <dataValidations count="1">
    <dataValidation type="list" allowBlank="1" showInputMessage="1" showErrorMessage="1" sqref="C5:C31">
      <formula1>$P$1:$U$1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W69"/>
  <sheetViews>
    <sheetView topLeftCell="A4" workbookViewId="0">
      <selection activeCell="A35" sqref="A35:G35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2.5" bestFit="1" customWidth="1"/>
    <col min="5" max="5" width="4" bestFit="1" customWidth="1"/>
    <col min="6" max="6" width="2" bestFit="1" customWidth="1"/>
    <col min="7" max="7" width="4.875" bestFit="1" customWidth="1"/>
    <col min="8" max="8" width="12.625" customWidth="1"/>
    <col min="9" max="9" width="14.875" style="1" customWidth="1"/>
    <col min="10" max="10" width="3.5" bestFit="1" customWidth="1"/>
    <col min="11" max="11" width="2.5" bestFit="1" customWidth="1"/>
    <col min="12" max="12" width="3.5" bestFit="1" customWidth="1"/>
    <col min="13" max="13" width="2.5" bestFit="1" customWidth="1"/>
    <col min="14" max="14" width="3.5" bestFit="1" customWidth="1"/>
    <col min="15" max="17" width="3.75" customWidth="1"/>
    <col min="18" max="18" width="3.625" customWidth="1"/>
    <col min="19" max="22" width="3.75" customWidth="1"/>
    <col min="23" max="23" width="3.625" customWidth="1"/>
  </cols>
  <sheetData>
    <row r="1" spans="1:21" x14ac:dyDescent="0.15">
      <c r="P1" t="s">
        <v>202</v>
      </c>
      <c r="Q1" t="s">
        <v>145</v>
      </c>
      <c r="R1" t="s">
        <v>255</v>
      </c>
      <c r="S1" t="s">
        <v>97</v>
      </c>
      <c r="T1" t="s">
        <v>99</v>
      </c>
      <c r="U1" t="s">
        <v>83</v>
      </c>
    </row>
    <row r="4" spans="1:21" ht="14.25" thickBot="1" x14ac:dyDescent="0.2">
      <c r="A4">
        <f>SUM(A5:A48)</f>
        <v>60</v>
      </c>
    </row>
    <row r="5" spans="1:21" x14ac:dyDescent="0.15">
      <c r="A5" s="2"/>
      <c r="G5" s="5"/>
      <c r="H5" s="5"/>
      <c r="J5" t="str">
        <f t="shared" ref="J5:J40" si="0">IF(AND(ISBLANK(D5),ISBLANK(E5)),"",D5+LEN(E5))</f>
        <v/>
      </c>
      <c r="K5">
        <f>A5</f>
        <v>0</v>
      </c>
    </row>
    <row r="6" spans="1:21" x14ac:dyDescent="0.15">
      <c r="A6" s="3">
        <v>4</v>
      </c>
      <c r="B6" t="s">
        <v>303</v>
      </c>
      <c r="C6" t="s">
        <v>82</v>
      </c>
      <c r="D6">
        <v>1</v>
      </c>
      <c r="E6" t="s">
        <v>435</v>
      </c>
      <c r="F6" t="s">
        <v>436</v>
      </c>
      <c r="G6" s="5" t="s">
        <v>437</v>
      </c>
      <c r="H6" s="5"/>
      <c r="J6">
        <f t="shared" si="0"/>
        <v>2</v>
      </c>
      <c r="K6">
        <f t="shared" ref="K6:K40" si="1">A6</f>
        <v>4</v>
      </c>
    </row>
    <row r="7" spans="1:21" x14ac:dyDescent="0.15">
      <c r="A7" s="3"/>
      <c r="B7" t="s">
        <v>447</v>
      </c>
      <c r="C7" t="s">
        <v>96</v>
      </c>
      <c r="D7">
        <v>1</v>
      </c>
      <c r="E7" t="s">
        <v>434</v>
      </c>
      <c r="F7" t="s">
        <v>211</v>
      </c>
      <c r="G7" s="5" t="s">
        <v>448</v>
      </c>
      <c r="H7" s="5" t="s">
        <v>449</v>
      </c>
      <c r="J7">
        <f t="shared" si="0"/>
        <v>2</v>
      </c>
      <c r="K7">
        <f t="shared" si="1"/>
        <v>0</v>
      </c>
    </row>
    <row r="8" spans="1:21" x14ac:dyDescent="0.15">
      <c r="A8" s="3"/>
      <c r="B8" t="s">
        <v>450</v>
      </c>
      <c r="C8" t="s">
        <v>96</v>
      </c>
      <c r="D8">
        <v>2</v>
      </c>
      <c r="F8" t="s">
        <v>211</v>
      </c>
      <c r="G8" s="5" t="s">
        <v>451</v>
      </c>
      <c r="H8" s="5" t="s">
        <v>452</v>
      </c>
      <c r="J8">
        <f t="shared" ref="J8:J15" si="2">IF(AND(ISBLANK(D8),ISBLANK(E8)),"",D8+LEN(E8))</f>
        <v>2</v>
      </c>
      <c r="K8">
        <f t="shared" ref="K8:K15" si="3">A8</f>
        <v>0</v>
      </c>
    </row>
    <row r="9" spans="1:21" x14ac:dyDescent="0.15">
      <c r="A9" s="3">
        <v>3</v>
      </c>
      <c r="B9" t="s">
        <v>496</v>
      </c>
      <c r="C9" t="s">
        <v>338</v>
      </c>
      <c r="D9">
        <v>1</v>
      </c>
      <c r="E9" t="s">
        <v>434</v>
      </c>
      <c r="F9" t="s">
        <v>211</v>
      </c>
      <c r="G9" s="5" t="s">
        <v>494</v>
      </c>
      <c r="H9" s="5"/>
      <c r="J9">
        <f>IF(AND(ISBLANK(D9),ISBLANK(E9)),"",D9+LEN(E9))</f>
        <v>2</v>
      </c>
      <c r="K9">
        <f>A9</f>
        <v>3</v>
      </c>
    </row>
    <row r="10" spans="1:21" x14ac:dyDescent="0.15">
      <c r="A10" s="3"/>
      <c r="B10" t="s">
        <v>493</v>
      </c>
      <c r="C10" t="s">
        <v>338</v>
      </c>
      <c r="D10">
        <v>2</v>
      </c>
      <c r="F10" t="s">
        <v>211</v>
      </c>
      <c r="G10" s="5" t="s">
        <v>495</v>
      </c>
      <c r="H10" s="5"/>
      <c r="J10">
        <f t="shared" ref="J10" si="4">IF(AND(ISBLANK(D10),ISBLANK(E10)),"",D10+LEN(E10))</f>
        <v>2</v>
      </c>
      <c r="K10">
        <f t="shared" ref="K10" si="5">A10</f>
        <v>0</v>
      </c>
    </row>
    <row r="11" spans="1:21" x14ac:dyDescent="0.15">
      <c r="A11" s="3"/>
      <c r="G11" s="5"/>
      <c r="H11" s="5"/>
      <c r="J11" t="str">
        <f t="shared" si="2"/>
        <v/>
      </c>
      <c r="K11">
        <f t="shared" si="3"/>
        <v>0</v>
      </c>
    </row>
    <row r="12" spans="1:21" x14ac:dyDescent="0.15">
      <c r="A12" s="3"/>
      <c r="B12" t="s">
        <v>462</v>
      </c>
      <c r="C12" t="s">
        <v>103</v>
      </c>
      <c r="D12">
        <v>1</v>
      </c>
      <c r="E12" t="s">
        <v>473</v>
      </c>
      <c r="F12" t="s">
        <v>478</v>
      </c>
      <c r="G12" s="5" t="s">
        <v>479</v>
      </c>
      <c r="H12" s="5"/>
      <c r="J12">
        <f t="shared" si="2"/>
        <v>3</v>
      </c>
      <c r="K12">
        <f t="shared" si="3"/>
        <v>0</v>
      </c>
    </row>
    <row r="13" spans="1:21" x14ac:dyDescent="0.15">
      <c r="A13" s="3"/>
      <c r="G13" s="5"/>
      <c r="H13" s="5"/>
      <c r="J13" t="str">
        <f t="shared" si="2"/>
        <v/>
      </c>
      <c r="K13">
        <f t="shared" si="3"/>
        <v>0</v>
      </c>
    </row>
    <row r="14" spans="1:21" x14ac:dyDescent="0.15">
      <c r="A14" s="3">
        <v>2</v>
      </c>
      <c r="B14" t="s">
        <v>439</v>
      </c>
      <c r="C14" t="s">
        <v>96</v>
      </c>
      <c r="D14">
        <v>3</v>
      </c>
      <c r="E14" t="s">
        <v>440</v>
      </c>
      <c r="F14" t="s">
        <v>441</v>
      </c>
      <c r="G14" s="5" t="s">
        <v>442</v>
      </c>
      <c r="H14" s="5" t="s">
        <v>443</v>
      </c>
      <c r="J14">
        <f t="shared" si="2"/>
        <v>5</v>
      </c>
      <c r="K14">
        <f t="shared" si="3"/>
        <v>2</v>
      </c>
    </row>
    <row r="15" spans="1:21" x14ac:dyDescent="0.15">
      <c r="A15" s="3"/>
      <c r="B15" t="s">
        <v>444</v>
      </c>
      <c r="C15" t="s">
        <v>96</v>
      </c>
      <c r="D15">
        <v>5</v>
      </c>
      <c r="F15" t="s">
        <v>438</v>
      </c>
      <c r="G15" s="5" t="s">
        <v>445</v>
      </c>
      <c r="H15" s="5" t="s">
        <v>446</v>
      </c>
      <c r="J15">
        <f t="shared" si="2"/>
        <v>5</v>
      </c>
      <c r="K15">
        <f t="shared" si="3"/>
        <v>0</v>
      </c>
    </row>
    <row r="16" spans="1:21" x14ac:dyDescent="0.15">
      <c r="A16" s="3"/>
      <c r="G16" s="5"/>
      <c r="J16" t="str">
        <f t="shared" si="0"/>
        <v/>
      </c>
      <c r="K16">
        <f t="shared" si="1"/>
        <v>0</v>
      </c>
    </row>
    <row r="17" spans="1:11" x14ac:dyDescent="0.15">
      <c r="A17" s="3">
        <v>4</v>
      </c>
      <c r="B17" t="s">
        <v>570</v>
      </c>
      <c r="C17" t="s">
        <v>571</v>
      </c>
      <c r="D17">
        <v>3</v>
      </c>
      <c r="G17" s="5"/>
      <c r="H17" s="5"/>
      <c r="J17">
        <f t="shared" si="0"/>
        <v>3</v>
      </c>
      <c r="K17">
        <f t="shared" si="1"/>
        <v>4</v>
      </c>
    </row>
    <row r="18" spans="1:11" x14ac:dyDescent="0.15">
      <c r="A18" s="3"/>
      <c r="G18" s="5"/>
      <c r="H18" s="5"/>
      <c r="J18" t="str">
        <f t="shared" ref="J18" si="6">IF(AND(ISBLANK(D18),ISBLANK(E18)),"",D18+LEN(E18))</f>
        <v/>
      </c>
      <c r="K18">
        <f t="shared" ref="K18" si="7">A18</f>
        <v>0</v>
      </c>
    </row>
    <row r="19" spans="1:11" x14ac:dyDescent="0.15">
      <c r="A19" s="3"/>
      <c r="B19" t="s">
        <v>468</v>
      </c>
      <c r="C19" t="s">
        <v>206</v>
      </c>
      <c r="E19" t="s">
        <v>469</v>
      </c>
      <c r="F19" t="s">
        <v>470</v>
      </c>
      <c r="H19" t="s">
        <v>474</v>
      </c>
      <c r="J19">
        <f t="shared" ref="J19" si="8">IF(AND(ISBLANK(D19),ISBLANK(E19)),"",D19+LEN(E19))</f>
        <v>1</v>
      </c>
      <c r="K19">
        <f t="shared" ref="K19" si="9">A19</f>
        <v>0</v>
      </c>
    </row>
    <row r="20" spans="1:11" x14ac:dyDescent="0.15">
      <c r="A20" s="3"/>
      <c r="G20" s="5"/>
      <c r="H20" s="5"/>
      <c r="J20" t="str">
        <f t="shared" ref="J20:J34" si="10">IF(AND(ISBLANK(D20),ISBLANK(E20)),"",D20+LEN(E20))</f>
        <v/>
      </c>
      <c r="K20">
        <f t="shared" ref="K20:K34" si="11">A20</f>
        <v>0</v>
      </c>
    </row>
    <row r="21" spans="1:11" x14ac:dyDescent="0.15">
      <c r="A21" s="3">
        <v>3</v>
      </c>
      <c r="B21" t="s">
        <v>463</v>
      </c>
      <c r="C21" t="s">
        <v>217</v>
      </c>
      <c r="D21">
        <v>1</v>
      </c>
      <c r="E21" t="s">
        <v>434</v>
      </c>
      <c r="F21" t="s">
        <v>219</v>
      </c>
      <c r="G21" s="5"/>
      <c r="H21" s="5" t="s">
        <v>476</v>
      </c>
      <c r="J21">
        <f t="shared" si="10"/>
        <v>2</v>
      </c>
      <c r="K21">
        <f t="shared" si="11"/>
        <v>3</v>
      </c>
    </row>
    <row r="22" spans="1:11" x14ac:dyDescent="0.15">
      <c r="A22" s="3">
        <v>4</v>
      </c>
      <c r="B22" t="s">
        <v>455</v>
      </c>
      <c r="C22" t="s">
        <v>82</v>
      </c>
      <c r="D22">
        <v>1</v>
      </c>
      <c r="E22" t="s">
        <v>434</v>
      </c>
      <c r="F22" t="s">
        <v>219</v>
      </c>
      <c r="G22" s="5"/>
      <c r="H22" s="5" t="s">
        <v>475</v>
      </c>
      <c r="J22">
        <f t="shared" si="10"/>
        <v>2</v>
      </c>
      <c r="K22">
        <f t="shared" si="11"/>
        <v>4</v>
      </c>
    </row>
    <row r="23" spans="1:11" x14ac:dyDescent="0.15">
      <c r="A23" s="3"/>
      <c r="B23" t="s">
        <v>464</v>
      </c>
      <c r="C23" t="s">
        <v>206</v>
      </c>
      <c r="D23">
        <v>1</v>
      </c>
      <c r="E23" t="s">
        <v>469</v>
      </c>
      <c r="F23" t="s">
        <v>470</v>
      </c>
      <c r="G23" s="5"/>
      <c r="H23" s="5" t="s">
        <v>477</v>
      </c>
      <c r="J23">
        <f t="shared" si="10"/>
        <v>2</v>
      </c>
      <c r="K23">
        <f t="shared" si="11"/>
        <v>0</v>
      </c>
    </row>
    <row r="24" spans="1:11" x14ac:dyDescent="0.15">
      <c r="A24" s="3">
        <v>4</v>
      </c>
      <c r="B24" t="s">
        <v>465</v>
      </c>
      <c r="C24" t="s">
        <v>217</v>
      </c>
      <c r="D24">
        <v>1</v>
      </c>
      <c r="E24" t="s">
        <v>469</v>
      </c>
      <c r="F24" t="s">
        <v>470</v>
      </c>
      <c r="G24" s="5"/>
      <c r="J24">
        <f t="shared" si="10"/>
        <v>2</v>
      </c>
      <c r="K24">
        <f t="shared" si="11"/>
        <v>4</v>
      </c>
    </row>
    <row r="25" spans="1:11" x14ac:dyDescent="0.15">
      <c r="A25" s="3"/>
      <c r="B25" t="s">
        <v>483</v>
      </c>
      <c r="C25" t="s">
        <v>338</v>
      </c>
      <c r="D25">
        <v>1</v>
      </c>
      <c r="E25" t="s">
        <v>304</v>
      </c>
      <c r="F25" t="s">
        <v>155</v>
      </c>
      <c r="G25" s="5"/>
      <c r="J25">
        <f t="shared" ref="J25" si="12">IF(AND(ISBLANK(D25),ISBLANK(E25)),"",D25+LEN(E25))</f>
        <v>2</v>
      </c>
      <c r="K25">
        <f t="shared" ref="K25" si="13">A25</f>
        <v>0</v>
      </c>
    </row>
    <row r="26" spans="1:11" x14ac:dyDescent="0.15">
      <c r="A26" s="3">
        <v>4</v>
      </c>
      <c r="B26" t="s">
        <v>466</v>
      </c>
      <c r="C26" t="s">
        <v>206</v>
      </c>
      <c r="D26">
        <v>1</v>
      </c>
      <c r="E26" t="s">
        <v>472</v>
      </c>
      <c r="F26" t="s">
        <v>470</v>
      </c>
      <c r="J26">
        <f t="shared" si="10"/>
        <v>2</v>
      </c>
      <c r="K26">
        <f t="shared" si="11"/>
        <v>4</v>
      </c>
    </row>
    <row r="27" spans="1:11" x14ac:dyDescent="0.15">
      <c r="A27" s="3"/>
      <c r="B27" t="s">
        <v>467</v>
      </c>
      <c r="C27" t="s">
        <v>96</v>
      </c>
      <c r="D27">
        <v>1</v>
      </c>
      <c r="E27" t="s">
        <v>472</v>
      </c>
      <c r="F27" t="s">
        <v>471</v>
      </c>
      <c r="J27">
        <f t="shared" si="10"/>
        <v>2</v>
      </c>
      <c r="K27">
        <f t="shared" si="11"/>
        <v>0</v>
      </c>
    </row>
    <row r="28" spans="1:11" x14ac:dyDescent="0.15">
      <c r="A28" s="3"/>
      <c r="J28" t="str">
        <f t="shared" ref="J28:J29" si="14">IF(AND(ISBLANK(D28),ISBLANK(E28)),"",D28+LEN(E28))</f>
        <v/>
      </c>
      <c r="K28">
        <f t="shared" ref="K28:K29" si="15">A28</f>
        <v>0</v>
      </c>
    </row>
    <row r="29" spans="1:11" x14ac:dyDescent="0.15">
      <c r="A29" s="3">
        <v>2</v>
      </c>
      <c r="B29" t="s">
        <v>312</v>
      </c>
      <c r="C29" t="s">
        <v>82</v>
      </c>
      <c r="D29">
        <v>1</v>
      </c>
      <c r="E29" t="s">
        <v>453</v>
      </c>
      <c r="F29" t="s">
        <v>219</v>
      </c>
      <c r="G29" s="5"/>
      <c r="H29" s="5" t="s">
        <v>456</v>
      </c>
      <c r="J29">
        <f t="shared" si="14"/>
        <v>3</v>
      </c>
      <c r="K29">
        <f t="shared" si="15"/>
        <v>2</v>
      </c>
    </row>
    <row r="30" spans="1:11" x14ac:dyDescent="0.15">
      <c r="A30" s="3">
        <v>2</v>
      </c>
      <c r="B30" t="s">
        <v>491</v>
      </c>
      <c r="C30" t="s">
        <v>217</v>
      </c>
      <c r="D30">
        <v>1</v>
      </c>
      <c r="E30" t="s">
        <v>453</v>
      </c>
      <c r="F30" t="s">
        <v>219</v>
      </c>
      <c r="G30" s="5"/>
      <c r="H30" s="5"/>
      <c r="J30">
        <f t="shared" ref="J30" si="16">IF(AND(ISBLANK(D30),ISBLANK(E30)),"",D30+LEN(E30))</f>
        <v>3</v>
      </c>
      <c r="K30">
        <f t="shared" ref="K30" si="17">A30</f>
        <v>2</v>
      </c>
    </row>
    <row r="31" spans="1:11" x14ac:dyDescent="0.15">
      <c r="A31" s="3"/>
      <c r="B31" t="s">
        <v>487</v>
      </c>
      <c r="C31" t="s">
        <v>338</v>
      </c>
      <c r="D31">
        <v>2</v>
      </c>
      <c r="E31" t="s">
        <v>488</v>
      </c>
      <c r="F31" t="s">
        <v>489</v>
      </c>
      <c r="G31" s="5"/>
      <c r="H31" s="5"/>
      <c r="J31">
        <f t="shared" ref="J31" si="18">IF(AND(ISBLANK(D31),ISBLANK(E31)),"",D31+LEN(E31))</f>
        <v>3</v>
      </c>
      <c r="K31">
        <f t="shared" ref="K31" si="19">A31</f>
        <v>0</v>
      </c>
    </row>
    <row r="32" spans="1:11" x14ac:dyDescent="0.15">
      <c r="A32" s="3"/>
      <c r="J32" t="str">
        <f t="shared" si="10"/>
        <v/>
      </c>
      <c r="K32">
        <f t="shared" si="11"/>
        <v>0</v>
      </c>
    </row>
    <row r="33" spans="1:11" x14ac:dyDescent="0.15">
      <c r="A33" s="3">
        <v>2</v>
      </c>
      <c r="B33" t="s">
        <v>320</v>
      </c>
      <c r="C33" t="s">
        <v>206</v>
      </c>
      <c r="D33">
        <v>3</v>
      </c>
      <c r="E33" t="s">
        <v>434</v>
      </c>
      <c r="F33" t="s">
        <v>219</v>
      </c>
      <c r="H33" t="s">
        <v>454</v>
      </c>
      <c r="J33">
        <f t="shared" si="10"/>
        <v>4</v>
      </c>
      <c r="K33">
        <f t="shared" si="11"/>
        <v>2</v>
      </c>
    </row>
    <row r="34" spans="1:11" x14ac:dyDescent="0.15">
      <c r="A34" s="3"/>
      <c r="G34" s="5"/>
      <c r="J34" t="str">
        <f t="shared" si="10"/>
        <v/>
      </c>
      <c r="K34">
        <f t="shared" si="11"/>
        <v>0</v>
      </c>
    </row>
    <row r="35" spans="1:11" x14ac:dyDescent="0.15">
      <c r="A35" s="3">
        <v>2</v>
      </c>
      <c r="B35" t="s">
        <v>310</v>
      </c>
      <c r="C35" t="s">
        <v>82</v>
      </c>
      <c r="D35">
        <v>3</v>
      </c>
      <c r="E35" t="s">
        <v>453</v>
      </c>
      <c r="F35" t="s">
        <v>480</v>
      </c>
      <c r="G35" s="5"/>
      <c r="J35">
        <f t="shared" si="0"/>
        <v>5</v>
      </c>
      <c r="K35">
        <f t="shared" si="1"/>
        <v>2</v>
      </c>
    </row>
    <row r="36" spans="1:11" x14ac:dyDescent="0.15">
      <c r="A36" s="3"/>
      <c r="B36" t="s">
        <v>481</v>
      </c>
      <c r="D36">
        <v>3</v>
      </c>
      <c r="E36" t="s">
        <v>453</v>
      </c>
      <c r="F36" t="s">
        <v>482</v>
      </c>
      <c r="G36" s="5"/>
      <c r="J36">
        <f t="shared" si="0"/>
        <v>5</v>
      </c>
      <c r="K36">
        <f t="shared" si="1"/>
        <v>0</v>
      </c>
    </row>
    <row r="37" spans="1:11" x14ac:dyDescent="0.15">
      <c r="A37" s="3">
        <v>1</v>
      </c>
      <c r="B37" t="s">
        <v>492</v>
      </c>
      <c r="D37">
        <v>3</v>
      </c>
      <c r="E37" t="s">
        <v>453</v>
      </c>
      <c r="F37" t="s">
        <v>480</v>
      </c>
      <c r="G37" s="5"/>
      <c r="J37">
        <f t="shared" ref="J37" si="20">IF(AND(ISBLANK(D37),ISBLANK(E37)),"",D37+LEN(E37))</f>
        <v>5</v>
      </c>
      <c r="K37">
        <f t="shared" ref="K37" si="21">A37</f>
        <v>1</v>
      </c>
    </row>
    <row r="38" spans="1:11" x14ac:dyDescent="0.15">
      <c r="A38" s="3"/>
      <c r="G38" s="5"/>
      <c r="J38" t="str">
        <f t="shared" ref="J38" si="22">IF(AND(ISBLANK(D38),ISBLANK(E38)),"",D38+LEN(E38))</f>
        <v/>
      </c>
      <c r="K38">
        <f t="shared" ref="K38" si="23">A38</f>
        <v>0</v>
      </c>
    </row>
    <row r="39" spans="1:11" x14ac:dyDescent="0.15">
      <c r="A39" s="3">
        <v>1</v>
      </c>
      <c r="B39" t="s">
        <v>484</v>
      </c>
      <c r="D39">
        <v>5</v>
      </c>
      <c r="E39" t="s">
        <v>485</v>
      </c>
      <c r="F39" t="s">
        <v>486</v>
      </c>
      <c r="G39" s="5"/>
      <c r="J39">
        <f t="shared" si="0"/>
        <v>6</v>
      </c>
      <c r="K39">
        <f t="shared" si="1"/>
        <v>1</v>
      </c>
    </row>
    <row r="40" spans="1:11" ht="14.25" thickBot="1" x14ac:dyDescent="0.2">
      <c r="A40" s="3"/>
      <c r="J40" t="str">
        <f t="shared" si="0"/>
        <v/>
      </c>
      <c r="K40">
        <f t="shared" si="1"/>
        <v>0</v>
      </c>
    </row>
    <row r="41" spans="1:11" x14ac:dyDescent="0.15">
      <c r="A41" s="2"/>
    </row>
    <row r="42" spans="1:11" x14ac:dyDescent="0.15">
      <c r="A42" s="3">
        <v>3</v>
      </c>
      <c r="B42" t="s">
        <v>457</v>
      </c>
    </row>
    <row r="43" spans="1:11" x14ac:dyDescent="0.15">
      <c r="A43" s="3">
        <v>7</v>
      </c>
      <c r="B43" t="s">
        <v>458</v>
      </c>
    </row>
    <row r="44" spans="1:11" x14ac:dyDescent="0.15">
      <c r="A44" s="3">
        <v>4</v>
      </c>
      <c r="B44" t="s">
        <v>459</v>
      </c>
    </row>
    <row r="45" spans="1:11" x14ac:dyDescent="0.15">
      <c r="A45" s="3">
        <v>4</v>
      </c>
      <c r="B45" t="s">
        <v>460</v>
      </c>
    </row>
    <row r="46" spans="1:11" x14ac:dyDescent="0.15">
      <c r="A46" s="3">
        <v>4</v>
      </c>
      <c r="B46" t="s">
        <v>461</v>
      </c>
    </row>
    <row r="47" spans="1:11" x14ac:dyDescent="0.15">
      <c r="A47" s="3"/>
    </row>
    <row r="48" spans="1:11" ht="14.25" thickBot="1" x14ac:dyDescent="0.2">
      <c r="A48" s="4"/>
    </row>
    <row r="49" spans="1:23" x14ac:dyDescent="0.15">
      <c r="A49">
        <f>SUM(A41:A48)</f>
        <v>22</v>
      </c>
    </row>
    <row r="53" spans="1:23" ht="14.25" thickBot="1" x14ac:dyDescent="0.2"/>
    <row r="54" spans="1:23" x14ac:dyDescent="0.15">
      <c r="A54" s="2"/>
    </row>
    <row r="55" spans="1:23" x14ac:dyDescent="0.15">
      <c r="A55" s="3"/>
      <c r="B55" t="s">
        <v>490</v>
      </c>
      <c r="C55" t="s">
        <v>217</v>
      </c>
      <c r="G55" s="5"/>
    </row>
    <row r="56" spans="1:23" x14ac:dyDescent="0.15">
      <c r="A56" s="3"/>
      <c r="G56" s="5"/>
      <c r="H56" s="5"/>
    </row>
    <row r="57" spans="1:23" x14ac:dyDescent="0.15">
      <c r="A57" s="3"/>
      <c r="G57" s="5"/>
    </row>
    <row r="58" spans="1:23" x14ac:dyDescent="0.15">
      <c r="A58" s="3"/>
      <c r="G58" s="5"/>
    </row>
    <row r="59" spans="1:23" x14ac:dyDescent="0.15">
      <c r="A59" s="3"/>
      <c r="G59" s="5"/>
    </row>
    <row r="60" spans="1:23" x14ac:dyDescent="0.15">
      <c r="A60" s="3"/>
    </row>
    <row r="61" spans="1:23" x14ac:dyDescent="0.15">
      <c r="A61" s="3"/>
    </row>
    <row r="62" spans="1:23" x14ac:dyDescent="0.15">
      <c r="A62" s="3"/>
    </row>
    <row r="63" spans="1:23" ht="14.25" thickBot="1" x14ac:dyDescent="0.2">
      <c r="A63" s="3"/>
    </row>
    <row r="64" spans="1:23" ht="14.25" thickBot="1" x14ac:dyDescent="0.2">
      <c r="A64" s="6">
        <f>SUM(A54:A63)</f>
        <v>0</v>
      </c>
      <c r="P64" s="7">
        <v>0</v>
      </c>
      <c r="Q64" s="8">
        <v>1</v>
      </c>
      <c r="R64" s="8">
        <v>2</v>
      </c>
      <c r="S64" s="8">
        <v>3</v>
      </c>
      <c r="T64" s="8">
        <v>4</v>
      </c>
      <c r="U64" s="8">
        <v>5</v>
      </c>
      <c r="V64" s="8">
        <v>6</v>
      </c>
      <c r="W64" s="9">
        <v>7</v>
      </c>
    </row>
    <row r="65" spans="16:23" ht="14.25" thickBot="1" x14ac:dyDescent="0.2">
      <c r="P65" s="10">
        <f t="shared" ref="P65:V65" si="24">SUMIF($J5:$J40,P64,$A5:$A40)</f>
        <v>0</v>
      </c>
      <c r="Q65" s="11">
        <f t="shared" si="24"/>
        <v>0</v>
      </c>
      <c r="R65" s="11">
        <f t="shared" si="24"/>
        <v>22</v>
      </c>
      <c r="S65" s="11">
        <f t="shared" si="24"/>
        <v>8</v>
      </c>
      <c r="T65" s="11">
        <f t="shared" si="24"/>
        <v>2</v>
      </c>
      <c r="U65" s="11">
        <f t="shared" si="24"/>
        <v>5</v>
      </c>
      <c r="V65" s="11">
        <f t="shared" si="24"/>
        <v>1</v>
      </c>
      <c r="W65" s="12">
        <f>SUMIF($J5:$J40,"&gt;6",$A5:$A40)</f>
        <v>0</v>
      </c>
    </row>
    <row r="67" spans="16:23" ht="14.25" thickBot="1" x14ac:dyDescent="0.2"/>
    <row r="68" spans="16:23" x14ac:dyDescent="0.15">
      <c r="P68" s="7" t="s">
        <v>3</v>
      </c>
      <c r="Q68" s="8" t="s">
        <v>6</v>
      </c>
      <c r="R68" s="8" t="s">
        <v>5</v>
      </c>
      <c r="S68" s="8" t="s">
        <v>7</v>
      </c>
      <c r="T68" s="8" t="s">
        <v>8</v>
      </c>
      <c r="U68" s="8" t="s">
        <v>10</v>
      </c>
      <c r="V68" s="9" t="s">
        <v>9</v>
      </c>
    </row>
    <row r="69" spans="16:23" ht="14.25" thickBot="1" x14ac:dyDescent="0.2">
      <c r="P69" s="10">
        <f t="shared" ref="P69:U69" si="25">SUMIF($F5:$F40,P68,$A5:$A40)</f>
        <v>9</v>
      </c>
      <c r="Q69" s="11">
        <f t="shared" si="25"/>
        <v>21</v>
      </c>
      <c r="R69" s="11">
        <f t="shared" si="25"/>
        <v>4</v>
      </c>
      <c r="S69" s="11">
        <f t="shared" si="25"/>
        <v>0</v>
      </c>
      <c r="T69" s="11">
        <f t="shared" si="25"/>
        <v>0</v>
      </c>
      <c r="U69" s="11">
        <f t="shared" si="25"/>
        <v>0</v>
      </c>
      <c r="V69" s="12">
        <f>A49</f>
        <v>22</v>
      </c>
    </row>
  </sheetData>
  <phoneticPr fontId="1"/>
  <dataValidations count="1">
    <dataValidation type="list" allowBlank="1" showInputMessage="1" showErrorMessage="1" sqref="C54:C63 C5:C40">
      <formula1>$P$1:$U$1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1:W58"/>
  <sheetViews>
    <sheetView workbookViewId="0">
      <selection activeCell="C18" sqref="C18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3.5" bestFit="1" customWidth="1"/>
    <col min="5" max="5" width="4" bestFit="1" customWidth="1"/>
    <col min="6" max="6" width="2" bestFit="1" customWidth="1"/>
    <col min="7" max="7" width="4.875" bestFit="1" customWidth="1"/>
    <col min="8" max="8" width="12.625" customWidth="1"/>
    <col min="9" max="9" width="20.75" style="1" customWidth="1"/>
    <col min="10" max="10" width="3.5" bestFit="1" customWidth="1"/>
    <col min="11" max="11" width="2.5" bestFit="1" customWidth="1"/>
    <col min="12" max="12" width="3.5" bestFit="1" customWidth="1"/>
    <col min="13" max="13" width="2.5" bestFit="1" customWidth="1"/>
    <col min="14" max="14" width="3.5" bestFit="1" customWidth="1"/>
    <col min="15" max="17" width="3.75" customWidth="1"/>
    <col min="18" max="18" width="3.625" customWidth="1"/>
    <col min="19" max="22" width="3.75" customWidth="1"/>
    <col min="23" max="23" width="3.625" customWidth="1"/>
  </cols>
  <sheetData>
    <row r="1" spans="1:21" x14ac:dyDescent="0.15">
      <c r="P1" t="s">
        <v>80</v>
      </c>
      <c r="Q1" t="s">
        <v>145</v>
      </c>
      <c r="R1" t="s">
        <v>255</v>
      </c>
      <c r="S1" t="s">
        <v>97</v>
      </c>
      <c r="T1" t="s">
        <v>99</v>
      </c>
      <c r="U1" t="s">
        <v>83</v>
      </c>
    </row>
    <row r="4" spans="1:21" ht="14.25" thickBot="1" x14ac:dyDescent="0.2">
      <c r="A4">
        <f>SUM(A5:A39)</f>
        <v>29</v>
      </c>
    </row>
    <row r="5" spans="1:21" x14ac:dyDescent="0.15">
      <c r="A5" s="2"/>
      <c r="G5" s="5"/>
      <c r="H5" s="5"/>
      <c r="J5" t="str">
        <f t="shared" ref="J5" si="0">IF(AND(ISBLANK(D5),ISBLANK(E5)),"",D5+LEN(E5))</f>
        <v/>
      </c>
      <c r="K5">
        <f>A5</f>
        <v>0</v>
      </c>
    </row>
    <row r="6" spans="1:21" x14ac:dyDescent="0.15">
      <c r="A6" s="3"/>
      <c r="G6" s="5"/>
      <c r="J6" t="str">
        <f>IF(AND(ISBLANK(D6),ISBLANK(E6)),"",D6+LEN(E6))</f>
        <v/>
      </c>
      <c r="K6">
        <f>A6</f>
        <v>0</v>
      </c>
      <c r="P6" t="s">
        <v>591</v>
      </c>
    </row>
    <row r="7" spans="1:21" x14ac:dyDescent="0.15">
      <c r="A7" s="3"/>
      <c r="G7" s="5"/>
      <c r="J7" t="str">
        <f t="shared" ref="J7:J31" si="1">IF(AND(ISBLANK(D7),ISBLANK(E7)),"",D7+LEN(E7))</f>
        <v/>
      </c>
      <c r="K7">
        <f t="shared" ref="K7:K31" si="2">A7</f>
        <v>0</v>
      </c>
      <c r="P7" t="s">
        <v>592</v>
      </c>
    </row>
    <row r="8" spans="1:21" x14ac:dyDescent="0.15">
      <c r="A8" s="3"/>
      <c r="G8" s="5"/>
      <c r="H8" s="5"/>
      <c r="J8" t="str">
        <f t="shared" si="1"/>
        <v/>
      </c>
      <c r="K8">
        <f t="shared" si="2"/>
        <v>0</v>
      </c>
      <c r="P8" t="s">
        <v>593</v>
      </c>
    </row>
    <row r="9" spans="1:21" x14ac:dyDescent="0.15">
      <c r="A9" s="3"/>
      <c r="G9" s="5"/>
      <c r="H9" s="5"/>
      <c r="J9" t="str">
        <f t="shared" si="1"/>
        <v/>
      </c>
      <c r="K9">
        <f t="shared" si="2"/>
        <v>0</v>
      </c>
      <c r="P9" t="s">
        <v>594</v>
      </c>
    </row>
    <row r="10" spans="1:21" x14ac:dyDescent="0.15">
      <c r="A10" s="3"/>
      <c r="G10" s="5"/>
      <c r="H10" s="5"/>
      <c r="J10" t="str">
        <f t="shared" si="1"/>
        <v/>
      </c>
      <c r="K10">
        <f t="shared" si="2"/>
        <v>0</v>
      </c>
      <c r="P10" t="s">
        <v>595</v>
      </c>
    </row>
    <row r="11" spans="1:21" x14ac:dyDescent="0.15">
      <c r="A11" s="3">
        <v>4</v>
      </c>
      <c r="B11" t="s">
        <v>586</v>
      </c>
      <c r="C11" t="s">
        <v>217</v>
      </c>
      <c r="D11">
        <v>1</v>
      </c>
      <c r="E11" t="s">
        <v>199</v>
      </c>
      <c r="F11" t="s">
        <v>587</v>
      </c>
      <c r="G11" s="5" t="s">
        <v>588</v>
      </c>
      <c r="H11" s="5"/>
      <c r="J11">
        <f t="shared" si="1"/>
        <v>3</v>
      </c>
      <c r="K11">
        <f t="shared" si="2"/>
        <v>4</v>
      </c>
      <c r="P11" t="s">
        <v>596</v>
      </c>
    </row>
    <row r="12" spans="1:21" x14ac:dyDescent="0.15">
      <c r="A12" s="3">
        <v>3</v>
      </c>
      <c r="B12" t="s">
        <v>190</v>
      </c>
      <c r="C12" t="s">
        <v>82</v>
      </c>
      <c r="D12">
        <v>2</v>
      </c>
      <c r="E12" t="s">
        <v>642</v>
      </c>
      <c r="F12" t="s">
        <v>3</v>
      </c>
      <c r="G12" s="5" t="s">
        <v>73</v>
      </c>
      <c r="H12" s="5"/>
      <c r="J12">
        <f t="shared" si="1"/>
        <v>3</v>
      </c>
      <c r="K12">
        <f t="shared" si="2"/>
        <v>3</v>
      </c>
      <c r="P12" t="s">
        <v>597</v>
      </c>
    </row>
    <row r="13" spans="1:21" x14ac:dyDescent="0.15">
      <c r="A13" s="3"/>
      <c r="G13" s="5"/>
      <c r="H13" s="5"/>
      <c r="J13" t="str">
        <f t="shared" si="1"/>
        <v/>
      </c>
      <c r="K13">
        <f t="shared" si="2"/>
        <v>0</v>
      </c>
      <c r="P13" t="s">
        <v>598</v>
      </c>
    </row>
    <row r="14" spans="1:21" x14ac:dyDescent="0.15">
      <c r="A14" s="3"/>
      <c r="G14" s="5"/>
      <c r="H14" s="5"/>
      <c r="J14" t="str">
        <f t="shared" si="1"/>
        <v/>
      </c>
      <c r="K14">
        <f t="shared" si="2"/>
        <v>0</v>
      </c>
      <c r="P14" t="s">
        <v>599</v>
      </c>
    </row>
    <row r="15" spans="1:21" x14ac:dyDescent="0.15">
      <c r="A15" s="3"/>
      <c r="B15" t="s">
        <v>589</v>
      </c>
      <c r="C15" t="s">
        <v>217</v>
      </c>
      <c r="D15">
        <v>3</v>
      </c>
      <c r="E15" t="s">
        <v>199</v>
      </c>
      <c r="F15" t="s">
        <v>587</v>
      </c>
      <c r="G15" s="5" t="s">
        <v>590</v>
      </c>
      <c r="H15" s="5"/>
      <c r="J15">
        <f t="shared" si="1"/>
        <v>5</v>
      </c>
      <c r="K15">
        <f t="shared" si="2"/>
        <v>0</v>
      </c>
      <c r="P15" t="s">
        <v>600</v>
      </c>
    </row>
    <row r="16" spans="1:21" x14ac:dyDescent="0.15">
      <c r="A16" s="3"/>
      <c r="G16" s="5"/>
      <c r="H16" s="5"/>
      <c r="J16" t="str">
        <f t="shared" si="1"/>
        <v/>
      </c>
      <c r="K16">
        <f t="shared" si="2"/>
        <v>0</v>
      </c>
      <c r="P16" t="s">
        <v>601</v>
      </c>
    </row>
    <row r="17" spans="1:16" x14ac:dyDescent="0.15">
      <c r="A17" s="3"/>
      <c r="G17" s="5"/>
      <c r="H17" s="5"/>
      <c r="J17" t="str">
        <f t="shared" si="1"/>
        <v/>
      </c>
      <c r="K17">
        <f t="shared" si="2"/>
        <v>0</v>
      </c>
      <c r="P17" t="s">
        <v>602</v>
      </c>
    </row>
    <row r="18" spans="1:16" x14ac:dyDescent="0.15">
      <c r="A18" s="3"/>
      <c r="G18" s="5"/>
      <c r="H18" s="5"/>
      <c r="J18" t="str">
        <f t="shared" si="1"/>
        <v/>
      </c>
      <c r="K18">
        <f t="shared" si="2"/>
        <v>0</v>
      </c>
      <c r="P18" t="s">
        <v>603</v>
      </c>
    </row>
    <row r="19" spans="1:16" x14ac:dyDescent="0.15">
      <c r="A19" s="3"/>
      <c r="G19" s="5"/>
      <c r="H19" s="5"/>
      <c r="J19" t="str">
        <f t="shared" si="1"/>
        <v/>
      </c>
      <c r="K19">
        <f t="shared" si="2"/>
        <v>0</v>
      </c>
      <c r="P19" t="s">
        <v>604</v>
      </c>
    </row>
    <row r="20" spans="1:16" x14ac:dyDescent="0.15">
      <c r="A20" s="3"/>
      <c r="G20" s="5"/>
      <c r="H20" s="5"/>
      <c r="J20" t="str">
        <f t="shared" si="1"/>
        <v/>
      </c>
      <c r="K20">
        <f t="shared" si="2"/>
        <v>0</v>
      </c>
      <c r="P20" t="s">
        <v>605</v>
      </c>
    </row>
    <row r="21" spans="1:16" x14ac:dyDescent="0.15">
      <c r="A21" s="3"/>
      <c r="G21" s="5"/>
      <c r="H21" s="5"/>
      <c r="J21" t="str">
        <f t="shared" si="1"/>
        <v/>
      </c>
      <c r="K21">
        <f t="shared" si="2"/>
        <v>0</v>
      </c>
      <c r="P21" t="s">
        <v>606</v>
      </c>
    </row>
    <row r="22" spans="1:16" x14ac:dyDescent="0.15">
      <c r="A22" s="3"/>
      <c r="G22" s="5"/>
      <c r="J22" t="str">
        <f>IF(AND(ISBLANK(D22),ISBLANK(E22)),"",D22+LEN(E22))</f>
        <v/>
      </c>
      <c r="K22">
        <f>A22</f>
        <v>0</v>
      </c>
    </row>
    <row r="23" spans="1:16" x14ac:dyDescent="0.15">
      <c r="A23" s="3"/>
      <c r="G23" s="5"/>
      <c r="J23" t="str">
        <f>IF(AND(ISBLANK(D23),ISBLANK(E23)),"",D23+LEN(E23))</f>
        <v/>
      </c>
      <c r="K23">
        <f>A23</f>
        <v>0</v>
      </c>
    </row>
    <row r="24" spans="1:16" x14ac:dyDescent="0.15">
      <c r="A24" s="3"/>
      <c r="B24" t="s">
        <v>154</v>
      </c>
      <c r="C24" t="s">
        <v>82</v>
      </c>
      <c r="D24">
        <v>3</v>
      </c>
      <c r="E24" t="s">
        <v>643</v>
      </c>
      <c r="G24" s="5"/>
      <c r="H24" s="5"/>
      <c r="J24">
        <f t="shared" si="1"/>
        <v>4</v>
      </c>
      <c r="K24">
        <f t="shared" si="2"/>
        <v>0</v>
      </c>
    </row>
    <row r="25" spans="1:16" x14ac:dyDescent="0.15">
      <c r="A25" s="3"/>
      <c r="G25" s="5"/>
      <c r="H25" s="5"/>
      <c r="J25" t="str">
        <f t="shared" si="1"/>
        <v/>
      </c>
      <c r="K25">
        <f t="shared" si="2"/>
        <v>0</v>
      </c>
    </row>
    <row r="26" spans="1:16" x14ac:dyDescent="0.15">
      <c r="A26" s="3"/>
      <c r="G26" s="5"/>
      <c r="H26" s="5"/>
      <c r="J26" t="str">
        <f t="shared" si="1"/>
        <v/>
      </c>
      <c r="K26">
        <f t="shared" si="2"/>
        <v>0</v>
      </c>
    </row>
    <row r="27" spans="1:16" x14ac:dyDescent="0.15">
      <c r="A27" s="3"/>
      <c r="G27" s="5"/>
      <c r="H27" s="5"/>
      <c r="J27" t="str">
        <f t="shared" si="1"/>
        <v/>
      </c>
      <c r="K27">
        <f t="shared" si="2"/>
        <v>0</v>
      </c>
    </row>
    <row r="28" spans="1:16" x14ac:dyDescent="0.15">
      <c r="A28" s="3"/>
      <c r="G28" s="5"/>
      <c r="H28" s="5"/>
      <c r="J28" t="str">
        <f t="shared" si="1"/>
        <v/>
      </c>
      <c r="K28">
        <f t="shared" si="2"/>
        <v>0</v>
      </c>
    </row>
    <row r="29" spans="1:16" x14ac:dyDescent="0.15">
      <c r="A29" s="3"/>
      <c r="G29" s="5"/>
      <c r="J29" t="str">
        <f t="shared" si="1"/>
        <v/>
      </c>
      <c r="K29">
        <f t="shared" si="2"/>
        <v>0</v>
      </c>
    </row>
    <row r="30" spans="1:16" x14ac:dyDescent="0.15">
      <c r="A30" s="3"/>
      <c r="G30" s="5"/>
      <c r="J30" t="str">
        <f t="shared" si="1"/>
        <v/>
      </c>
      <c r="K30">
        <f t="shared" si="2"/>
        <v>0</v>
      </c>
    </row>
    <row r="31" spans="1:16" ht="14.25" thickBot="1" x14ac:dyDescent="0.2">
      <c r="A31" s="3"/>
      <c r="J31" t="str">
        <f t="shared" si="1"/>
        <v/>
      </c>
      <c r="K31">
        <f t="shared" si="2"/>
        <v>0</v>
      </c>
    </row>
    <row r="32" spans="1:16" x14ac:dyDescent="0.15">
      <c r="A32" s="2"/>
    </row>
    <row r="33" spans="1:8" x14ac:dyDescent="0.15">
      <c r="A33" s="3">
        <v>22</v>
      </c>
    </row>
    <row r="34" spans="1:8" x14ac:dyDescent="0.15">
      <c r="A34" s="3"/>
    </row>
    <row r="35" spans="1:8" x14ac:dyDescent="0.15">
      <c r="A35" s="3"/>
    </row>
    <row r="36" spans="1:8" x14ac:dyDescent="0.15">
      <c r="A36" s="3"/>
    </row>
    <row r="37" spans="1:8" x14ac:dyDescent="0.15">
      <c r="A37" s="3"/>
    </row>
    <row r="38" spans="1:8" x14ac:dyDescent="0.15">
      <c r="A38" s="3"/>
    </row>
    <row r="39" spans="1:8" ht="14.25" thickBot="1" x14ac:dyDescent="0.2">
      <c r="A39" s="4"/>
    </row>
    <row r="40" spans="1:8" x14ac:dyDescent="0.15">
      <c r="A40">
        <f>SUM(A32:A39)</f>
        <v>22</v>
      </c>
    </row>
    <row r="42" spans="1:8" ht="14.25" thickBot="1" x14ac:dyDescent="0.2"/>
    <row r="43" spans="1:8" x14ac:dyDescent="0.15">
      <c r="A43" s="2"/>
    </row>
    <row r="44" spans="1:8" x14ac:dyDescent="0.15">
      <c r="A44" s="3"/>
      <c r="G44" s="5"/>
    </row>
    <row r="45" spans="1:8" x14ac:dyDescent="0.15">
      <c r="A45" s="3"/>
      <c r="G45" s="5"/>
      <c r="H45" s="5"/>
    </row>
    <row r="46" spans="1:8" x14ac:dyDescent="0.15">
      <c r="A46" s="3"/>
      <c r="G46" s="5"/>
    </row>
    <row r="47" spans="1:8" x14ac:dyDescent="0.15">
      <c r="A47" s="3"/>
      <c r="G47" s="5"/>
    </row>
    <row r="48" spans="1:8" x14ac:dyDescent="0.15">
      <c r="A48" s="3"/>
      <c r="G48" s="5"/>
    </row>
    <row r="49" spans="1:23" x14ac:dyDescent="0.15">
      <c r="A49" s="3"/>
    </row>
    <row r="50" spans="1:23" x14ac:dyDescent="0.15">
      <c r="A50" s="3"/>
    </row>
    <row r="51" spans="1:23" x14ac:dyDescent="0.15">
      <c r="A51" s="3"/>
    </row>
    <row r="52" spans="1:23" ht="14.25" thickBot="1" x14ac:dyDescent="0.2">
      <c r="A52" s="3"/>
    </row>
    <row r="53" spans="1:23" ht="14.25" thickBot="1" x14ac:dyDescent="0.2">
      <c r="A53" s="6">
        <f>SUM(A43:A52)</f>
        <v>0</v>
      </c>
      <c r="P53" s="7">
        <v>0</v>
      </c>
      <c r="Q53" s="8">
        <v>1</v>
      </c>
      <c r="R53" s="8">
        <v>2</v>
      </c>
      <c r="S53" s="8">
        <v>3</v>
      </c>
      <c r="T53" s="8">
        <v>4</v>
      </c>
      <c r="U53" s="8">
        <v>5</v>
      </c>
      <c r="V53" s="8">
        <v>6</v>
      </c>
      <c r="W53" s="9">
        <v>7</v>
      </c>
    </row>
    <row r="54" spans="1:23" ht="14.25" thickBot="1" x14ac:dyDescent="0.2">
      <c r="P54" s="10">
        <f t="shared" ref="P54:V54" si="3">SUMIF($J5:$J31,P53,$A5:$A31)</f>
        <v>0</v>
      </c>
      <c r="Q54" s="11">
        <f t="shared" si="3"/>
        <v>0</v>
      </c>
      <c r="R54" s="11">
        <f t="shared" si="3"/>
        <v>0</v>
      </c>
      <c r="S54" s="11">
        <f t="shared" si="3"/>
        <v>7</v>
      </c>
      <c r="T54" s="11">
        <f t="shared" si="3"/>
        <v>0</v>
      </c>
      <c r="U54" s="11">
        <f t="shared" si="3"/>
        <v>0</v>
      </c>
      <c r="V54" s="11">
        <f t="shared" si="3"/>
        <v>0</v>
      </c>
      <c r="W54" s="12">
        <f>SUMIF($J5:$J31,"&gt;6",$A5:$A31)</f>
        <v>0</v>
      </c>
    </row>
    <row r="56" spans="1:23" ht="14.25" thickBot="1" x14ac:dyDescent="0.2"/>
    <row r="57" spans="1:23" x14ac:dyDescent="0.15">
      <c r="P57" s="7" t="s">
        <v>3</v>
      </c>
      <c r="Q57" s="8" t="s">
        <v>6</v>
      </c>
      <c r="R57" s="8" t="s">
        <v>5</v>
      </c>
      <c r="S57" s="8" t="s">
        <v>7</v>
      </c>
      <c r="T57" s="8" t="s">
        <v>8</v>
      </c>
      <c r="U57" s="8" t="s">
        <v>10</v>
      </c>
      <c r="V57" s="9" t="s">
        <v>9</v>
      </c>
    </row>
    <row r="58" spans="1:23" ht="14.25" thickBot="1" x14ac:dyDescent="0.2">
      <c r="P58" s="10">
        <f t="shared" ref="P58:U58" si="4">SUMIF($F5:$F31,P57,$A5:$A31)</f>
        <v>7</v>
      </c>
      <c r="Q58" s="11">
        <f t="shared" si="4"/>
        <v>0</v>
      </c>
      <c r="R58" s="11">
        <f t="shared" si="4"/>
        <v>0</v>
      </c>
      <c r="S58" s="11">
        <f t="shared" si="4"/>
        <v>0</v>
      </c>
      <c r="T58" s="11">
        <f t="shared" si="4"/>
        <v>0</v>
      </c>
      <c r="U58" s="11">
        <f t="shared" si="4"/>
        <v>0</v>
      </c>
      <c r="V58" s="12">
        <f>A40</f>
        <v>22</v>
      </c>
    </row>
  </sheetData>
  <phoneticPr fontId="1"/>
  <dataValidations count="1">
    <dataValidation type="list" allowBlank="1" showInputMessage="1" showErrorMessage="1" sqref="C5:C31">
      <formula1>$P$1:$U$1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X58"/>
  <sheetViews>
    <sheetView workbookViewId="0">
      <selection activeCell="A26" sqref="A26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3.5" bestFit="1" customWidth="1"/>
    <col min="5" max="5" width="4" bestFit="1" customWidth="1"/>
    <col min="6" max="6" width="2" bestFit="1" customWidth="1"/>
    <col min="7" max="7" width="4.875" bestFit="1" customWidth="1"/>
    <col min="8" max="9" width="12.625" customWidth="1"/>
    <col min="10" max="10" width="13.875" style="1" customWidth="1"/>
    <col min="11" max="11" width="3.5" bestFit="1" customWidth="1"/>
    <col min="12" max="12" width="2.5" bestFit="1" customWidth="1"/>
    <col min="13" max="13" width="3.5" bestFit="1" customWidth="1"/>
    <col min="14" max="14" width="2.5" bestFit="1" customWidth="1"/>
    <col min="15" max="15" width="3.5" bestFit="1" customWidth="1"/>
    <col min="16" max="18" width="3.75" customWidth="1"/>
    <col min="19" max="19" width="3.625" customWidth="1"/>
    <col min="20" max="23" width="3.75" customWidth="1"/>
    <col min="24" max="24" width="3.625" customWidth="1"/>
  </cols>
  <sheetData>
    <row r="1" spans="1:22" x14ac:dyDescent="0.15">
      <c r="Q1" t="s">
        <v>80</v>
      </c>
      <c r="R1" t="s">
        <v>145</v>
      </c>
      <c r="S1" t="s">
        <v>255</v>
      </c>
      <c r="T1" t="s">
        <v>97</v>
      </c>
      <c r="U1" t="s">
        <v>99</v>
      </c>
      <c r="V1" t="s">
        <v>83</v>
      </c>
    </row>
    <row r="4" spans="1:22" ht="14.25" thickBot="1" x14ac:dyDescent="0.2">
      <c r="A4">
        <f>SUM(A5:A39)</f>
        <v>57</v>
      </c>
    </row>
    <row r="5" spans="1:22" x14ac:dyDescent="0.15">
      <c r="A5" s="2"/>
      <c r="G5" s="5"/>
      <c r="H5" s="5"/>
      <c r="I5" s="5"/>
      <c r="K5" t="str">
        <f t="shared" ref="K5" si="0">IF(AND(ISBLANK(D5),ISBLANK(E5)),"",D5+LEN(E5))</f>
        <v/>
      </c>
      <c r="L5">
        <f>A5</f>
        <v>0</v>
      </c>
    </row>
    <row r="6" spans="1:22" x14ac:dyDescent="0.15">
      <c r="A6" s="3">
        <v>4</v>
      </c>
      <c r="B6" t="s">
        <v>504</v>
      </c>
      <c r="C6" t="s">
        <v>206</v>
      </c>
      <c r="D6">
        <v>1</v>
      </c>
      <c r="E6" t="s">
        <v>624</v>
      </c>
      <c r="F6" t="s">
        <v>625</v>
      </c>
      <c r="G6" s="5" t="s">
        <v>626</v>
      </c>
      <c r="K6">
        <f>IF(AND(ISBLANK(D6),ISBLANK(E6)),"",D6+LEN(E6))</f>
        <v>2</v>
      </c>
      <c r="L6">
        <f>A6</f>
        <v>4</v>
      </c>
    </row>
    <row r="7" spans="1:22" x14ac:dyDescent="0.15">
      <c r="A7" s="3"/>
      <c r="G7" s="5"/>
      <c r="K7" t="str">
        <f t="shared" ref="K7:K31" si="1">IF(AND(ISBLANK(D7),ISBLANK(E7)),"",D7+LEN(E7))</f>
        <v/>
      </c>
      <c r="L7">
        <f t="shared" ref="L7:L31" si="2">A7</f>
        <v>0</v>
      </c>
    </row>
    <row r="8" spans="1:22" x14ac:dyDescent="0.15">
      <c r="A8" s="3"/>
      <c r="G8" s="5"/>
      <c r="H8" s="5"/>
      <c r="I8" s="5"/>
      <c r="K8">
        <f>IF(AND(ISBLANK(D43),ISBLANK(E43)),"",D43+LEN(E43))</f>
        <v>1</v>
      </c>
      <c r="L8">
        <f t="shared" si="2"/>
        <v>0</v>
      </c>
    </row>
    <row r="9" spans="1:22" x14ac:dyDescent="0.15">
      <c r="A9" s="3"/>
      <c r="G9" s="5"/>
      <c r="H9" s="5"/>
      <c r="I9" s="5"/>
      <c r="K9" t="str">
        <f t="shared" si="1"/>
        <v/>
      </c>
      <c r="L9">
        <f t="shared" si="2"/>
        <v>0</v>
      </c>
    </row>
    <row r="10" spans="1:22" x14ac:dyDescent="0.15">
      <c r="A10" s="3"/>
      <c r="G10" s="5"/>
      <c r="H10" s="5"/>
      <c r="I10" s="5"/>
      <c r="K10" t="str">
        <f t="shared" si="1"/>
        <v/>
      </c>
      <c r="L10">
        <f t="shared" si="2"/>
        <v>0</v>
      </c>
    </row>
    <row r="11" spans="1:22" x14ac:dyDescent="0.15">
      <c r="A11" s="3"/>
      <c r="G11" s="5"/>
      <c r="H11" s="5"/>
      <c r="I11" s="5"/>
      <c r="K11" t="str">
        <f t="shared" si="1"/>
        <v/>
      </c>
      <c r="L11">
        <f t="shared" si="2"/>
        <v>0</v>
      </c>
    </row>
    <row r="12" spans="1:22" x14ac:dyDescent="0.15">
      <c r="A12" s="3"/>
      <c r="G12" s="5"/>
      <c r="H12" s="5"/>
      <c r="I12" s="5"/>
      <c r="K12" t="str">
        <f t="shared" si="1"/>
        <v/>
      </c>
      <c r="L12">
        <f t="shared" si="2"/>
        <v>0</v>
      </c>
    </row>
    <row r="13" spans="1:22" x14ac:dyDescent="0.15">
      <c r="A13" s="3"/>
      <c r="G13" s="5"/>
      <c r="H13" s="5"/>
      <c r="I13" s="5"/>
      <c r="K13" t="str">
        <f t="shared" si="1"/>
        <v/>
      </c>
      <c r="L13">
        <f t="shared" si="2"/>
        <v>0</v>
      </c>
    </row>
    <row r="14" spans="1:22" x14ac:dyDescent="0.15">
      <c r="A14" s="3"/>
      <c r="G14" s="5"/>
      <c r="H14" s="5"/>
      <c r="I14" s="5"/>
      <c r="K14" t="str">
        <f t="shared" si="1"/>
        <v/>
      </c>
      <c r="L14">
        <f t="shared" si="2"/>
        <v>0</v>
      </c>
    </row>
    <row r="15" spans="1:22" x14ac:dyDescent="0.15">
      <c r="A15" s="3">
        <v>4</v>
      </c>
      <c r="B15" t="s">
        <v>500</v>
      </c>
      <c r="C15" t="s">
        <v>206</v>
      </c>
      <c r="E15" t="s">
        <v>621</v>
      </c>
      <c r="F15" t="s">
        <v>619</v>
      </c>
      <c r="G15" s="5"/>
      <c r="H15" s="5"/>
      <c r="I15" s="5"/>
      <c r="K15">
        <f t="shared" si="1"/>
        <v>1</v>
      </c>
      <c r="L15">
        <f t="shared" si="2"/>
        <v>4</v>
      </c>
    </row>
    <row r="16" spans="1:22" x14ac:dyDescent="0.15">
      <c r="A16" s="3">
        <v>4</v>
      </c>
      <c r="B16" t="s">
        <v>144</v>
      </c>
      <c r="C16" t="s">
        <v>103</v>
      </c>
      <c r="E16" t="s">
        <v>621</v>
      </c>
      <c r="F16" t="s">
        <v>623</v>
      </c>
      <c r="G16" s="5"/>
      <c r="H16" s="5"/>
      <c r="I16" s="5"/>
      <c r="K16">
        <f t="shared" si="1"/>
        <v>1</v>
      </c>
      <c r="L16">
        <f t="shared" si="2"/>
        <v>4</v>
      </c>
    </row>
    <row r="17" spans="1:12" x14ac:dyDescent="0.15">
      <c r="A17" s="3">
        <v>4</v>
      </c>
      <c r="B17" t="s">
        <v>639</v>
      </c>
      <c r="C17" t="s">
        <v>103</v>
      </c>
      <c r="D17">
        <v>1</v>
      </c>
      <c r="E17" t="s">
        <v>472</v>
      </c>
      <c r="F17" t="s">
        <v>121</v>
      </c>
      <c r="G17" s="5" t="s">
        <v>638</v>
      </c>
      <c r="H17" t="s">
        <v>637</v>
      </c>
      <c r="I17" s="5"/>
      <c r="K17">
        <f>IF(AND(ISBLANK(D17),ISBLANK(E17)),"",D17+LEN(E17))</f>
        <v>2</v>
      </c>
      <c r="L17">
        <f>A17</f>
        <v>4</v>
      </c>
    </row>
    <row r="18" spans="1:12" x14ac:dyDescent="0.15">
      <c r="A18" s="3">
        <v>4</v>
      </c>
      <c r="B18" t="s">
        <v>636</v>
      </c>
      <c r="C18" t="s">
        <v>103</v>
      </c>
      <c r="D18">
        <v>2</v>
      </c>
      <c r="E18" t="s">
        <v>207</v>
      </c>
      <c r="F18" t="s">
        <v>147</v>
      </c>
      <c r="G18" s="5" t="s">
        <v>640</v>
      </c>
      <c r="H18" s="5" t="s">
        <v>641</v>
      </c>
      <c r="I18" s="5"/>
      <c r="K18">
        <f t="shared" si="1"/>
        <v>3</v>
      </c>
      <c r="L18">
        <f t="shared" si="2"/>
        <v>4</v>
      </c>
    </row>
    <row r="19" spans="1:12" x14ac:dyDescent="0.15">
      <c r="A19" s="3"/>
      <c r="G19" s="5"/>
      <c r="H19" s="5"/>
      <c r="I19" s="5"/>
      <c r="K19" t="str">
        <f t="shared" si="1"/>
        <v/>
      </c>
      <c r="L19">
        <f t="shared" si="2"/>
        <v>0</v>
      </c>
    </row>
    <row r="20" spans="1:12" x14ac:dyDescent="0.15">
      <c r="A20" s="3"/>
      <c r="G20" s="5"/>
      <c r="H20" s="5"/>
      <c r="I20" s="5"/>
      <c r="K20" t="str">
        <f t="shared" si="1"/>
        <v/>
      </c>
      <c r="L20">
        <f t="shared" si="2"/>
        <v>0</v>
      </c>
    </row>
    <row r="21" spans="1:12" x14ac:dyDescent="0.15">
      <c r="A21" s="3">
        <v>1</v>
      </c>
      <c r="B21" t="s">
        <v>618</v>
      </c>
      <c r="C21" t="s">
        <v>96</v>
      </c>
      <c r="D21">
        <v>4</v>
      </c>
      <c r="E21" t="s">
        <v>220</v>
      </c>
      <c r="F21" t="s">
        <v>4</v>
      </c>
      <c r="G21" s="5"/>
      <c r="H21" s="5"/>
      <c r="I21" s="5"/>
      <c r="K21">
        <f t="shared" si="1"/>
        <v>6</v>
      </c>
      <c r="L21">
        <f t="shared" si="2"/>
        <v>1</v>
      </c>
    </row>
    <row r="22" spans="1:12" x14ac:dyDescent="0.15">
      <c r="A22" s="3"/>
      <c r="G22" s="5"/>
      <c r="H22" s="5"/>
      <c r="I22" s="5"/>
      <c r="K22" t="str">
        <f>IF(AND(ISBLANK(D22),ISBLANK(E22)),"",D22+LEN(E22))</f>
        <v/>
      </c>
      <c r="L22">
        <f>A22</f>
        <v>0</v>
      </c>
    </row>
    <row r="23" spans="1:12" x14ac:dyDescent="0.15">
      <c r="A23" s="3">
        <v>4</v>
      </c>
      <c r="B23" t="s">
        <v>627</v>
      </c>
      <c r="C23" t="s">
        <v>103</v>
      </c>
      <c r="D23">
        <v>1</v>
      </c>
      <c r="E23" t="s">
        <v>199</v>
      </c>
      <c r="F23" t="s">
        <v>200</v>
      </c>
      <c r="G23" s="5" t="s">
        <v>613</v>
      </c>
      <c r="H23" t="s">
        <v>628</v>
      </c>
      <c r="I23" t="s">
        <v>629</v>
      </c>
      <c r="J23" s="1" t="s">
        <v>630</v>
      </c>
      <c r="K23">
        <f>IF(AND(ISBLANK(D23),ISBLANK(E23)),"",D23+LEN(E23))</f>
        <v>3</v>
      </c>
      <c r="L23">
        <f>A23</f>
        <v>4</v>
      </c>
    </row>
    <row r="24" spans="1:12" x14ac:dyDescent="0.15">
      <c r="A24" s="3"/>
      <c r="G24" s="5"/>
      <c r="H24" s="5"/>
      <c r="I24" s="5"/>
      <c r="K24" t="str">
        <f t="shared" si="1"/>
        <v/>
      </c>
      <c r="L24">
        <f t="shared" si="2"/>
        <v>0</v>
      </c>
    </row>
    <row r="25" spans="1:12" x14ac:dyDescent="0.15">
      <c r="A25" s="3">
        <v>4</v>
      </c>
      <c r="B25" t="s">
        <v>612</v>
      </c>
      <c r="C25" t="s">
        <v>217</v>
      </c>
      <c r="D25">
        <v>2</v>
      </c>
      <c r="E25" t="s">
        <v>220</v>
      </c>
      <c r="F25" t="s">
        <v>221</v>
      </c>
      <c r="G25" s="5" t="s">
        <v>610</v>
      </c>
      <c r="H25" s="5" t="s">
        <v>607</v>
      </c>
      <c r="I25" s="5" t="s">
        <v>608</v>
      </c>
      <c r="J25" s="1" t="s">
        <v>609</v>
      </c>
      <c r="K25">
        <f t="shared" si="1"/>
        <v>4</v>
      </c>
      <c r="L25">
        <f t="shared" si="2"/>
        <v>4</v>
      </c>
    </row>
    <row r="26" spans="1:12" x14ac:dyDescent="0.15">
      <c r="A26" s="3"/>
      <c r="G26" s="5"/>
      <c r="H26" s="5"/>
      <c r="I26" s="5"/>
      <c r="K26" t="str">
        <f t="shared" si="1"/>
        <v/>
      </c>
      <c r="L26">
        <f t="shared" si="2"/>
        <v>0</v>
      </c>
    </row>
    <row r="27" spans="1:12" x14ac:dyDescent="0.15">
      <c r="A27" s="3"/>
      <c r="G27" s="5"/>
      <c r="H27" s="5"/>
      <c r="I27" s="5"/>
      <c r="K27" t="str">
        <f t="shared" si="1"/>
        <v/>
      </c>
      <c r="L27">
        <f t="shared" si="2"/>
        <v>0</v>
      </c>
    </row>
    <row r="28" spans="1:12" x14ac:dyDescent="0.15">
      <c r="A28" s="3"/>
      <c r="G28" s="5"/>
      <c r="H28" s="5"/>
      <c r="I28" s="5"/>
      <c r="K28" t="str">
        <f t="shared" si="1"/>
        <v/>
      </c>
      <c r="L28">
        <f t="shared" si="2"/>
        <v>0</v>
      </c>
    </row>
    <row r="29" spans="1:12" x14ac:dyDescent="0.15">
      <c r="A29" s="3"/>
      <c r="G29" s="5"/>
      <c r="K29" t="str">
        <f t="shared" si="1"/>
        <v/>
      </c>
      <c r="L29">
        <f t="shared" si="2"/>
        <v>0</v>
      </c>
    </row>
    <row r="30" spans="1:12" x14ac:dyDescent="0.15">
      <c r="A30" s="3">
        <v>2</v>
      </c>
      <c r="B30" t="s">
        <v>631</v>
      </c>
      <c r="C30" t="s">
        <v>103</v>
      </c>
      <c r="D30">
        <v>4</v>
      </c>
      <c r="E30" t="s">
        <v>632</v>
      </c>
      <c r="F30" t="s">
        <v>200</v>
      </c>
      <c r="G30" s="5" t="s">
        <v>611</v>
      </c>
      <c r="H30" s="5" t="s">
        <v>633</v>
      </c>
      <c r="I30" s="5" t="s">
        <v>634</v>
      </c>
      <c r="J30" s="1" t="s">
        <v>635</v>
      </c>
      <c r="K30">
        <f t="shared" si="1"/>
        <v>6</v>
      </c>
      <c r="L30">
        <f t="shared" si="2"/>
        <v>2</v>
      </c>
    </row>
    <row r="31" spans="1:12" ht="14.25" thickBot="1" x14ac:dyDescent="0.2">
      <c r="A31" s="3">
        <v>2</v>
      </c>
      <c r="B31" t="s">
        <v>614</v>
      </c>
      <c r="C31" t="s">
        <v>82</v>
      </c>
      <c r="D31">
        <v>4</v>
      </c>
      <c r="E31" t="s">
        <v>417</v>
      </c>
      <c r="F31" t="s">
        <v>221</v>
      </c>
      <c r="G31" t="s">
        <v>610</v>
      </c>
      <c r="H31" t="s">
        <v>615</v>
      </c>
      <c r="I31" t="s">
        <v>616</v>
      </c>
      <c r="J31" s="1" t="s">
        <v>617</v>
      </c>
      <c r="K31">
        <f t="shared" si="1"/>
        <v>6</v>
      </c>
      <c r="L31">
        <f t="shared" si="2"/>
        <v>2</v>
      </c>
    </row>
    <row r="32" spans="1:12" x14ac:dyDescent="0.15">
      <c r="A32" s="2"/>
    </row>
    <row r="33" spans="1:24" s="1" customFormat="1" x14ac:dyDescent="0.15">
      <c r="A33" s="3">
        <v>24</v>
      </c>
      <c r="B33"/>
      <c r="C33"/>
      <c r="D33"/>
      <c r="E33"/>
      <c r="F33"/>
      <c r="G33"/>
      <c r="H33"/>
      <c r="I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 s="1" customFormat="1" x14ac:dyDescent="0.15">
      <c r="A34" s="3"/>
      <c r="B34"/>
      <c r="C34"/>
      <c r="D34"/>
      <c r="E34"/>
      <c r="F34"/>
      <c r="G34"/>
      <c r="H34"/>
      <c r="I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 s="1" customFormat="1" x14ac:dyDescent="0.15">
      <c r="A35" s="3"/>
      <c r="B35"/>
      <c r="C35"/>
      <c r="D35"/>
      <c r="E35"/>
      <c r="F35"/>
      <c r="G35"/>
      <c r="H35"/>
      <c r="I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s="1" customFormat="1" x14ac:dyDescent="0.15">
      <c r="A36" s="3"/>
      <c r="B36"/>
      <c r="C36"/>
      <c r="D36"/>
      <c r="E36"/>
      <c r="F36"/>
      <c r="G36"/>
      <c r="H36"/>
      <c r="I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s="1" customFormat="1" x14ac:dyDescent="0.15">
      <c r="A37" s="3"/>
      <c r="B37"/>
      <c r="C37"/>
      <c r="D37"/>
      <c r="E37"/>
      <c r="F37"/>
      <c r="G37"/>
      <c r="H37"/>
      <c r="I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s="1" customFormat="1" x14ac:dyDescent="0.15">
      <c r="A38" s="3"/>
      <c r="B38"/>
      <c r="C38"/>
      <c r="D38"/>
      <c r="E38"/>
      <c r="F38"/>
      <c r="G38"/>
      <c r="H38"/>
      <c r="I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s="1" customFormat="1" ht="14.25" thickBot="1" x14ac:dyDescent="0.2">
      <c r="A39" s="4"/>
      <c r="B39"/>
      <c r="C39"/>
      <c r="D39"/>
      <c r="E39"/>
      <c r="F39"/>
      <c r="G39"/>
      <c r="H39"/>
      <c r="I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s="1" customFormat="1" x14ac:dyDescent="0.15">
      <c r="A40">
        <f>SUM(A32:A39)</f>
        <v>24</v>
      </c>
      <c r="B40"/>
      <c r="C40"/>
      <c r="D40"/>
      <c r="E40"/>
      <c r="F40"/>
      <c r="G40"/>
      <c r="H40"/>
      <c r="I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2" spans="1:24" s="1" customFormat="1" ht="14.25" thickBot="1" x14ac:dyDescent="0.2">
      <c r="A42"/>
      <c r="B42"/>
      <c r="C42"/>
      <c r="D42"/>
      <c r="E42"/>
      <c r="F42"/>
      <c r="G42"/>
      <c r="H42"/>
      <c r="I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s="1" customFormat="1" x14ac:dyDescent="0.15">
      <c r="A43" s="2">
        <v>4</v>
      </c>
      <c r="B43" t="s">
        <v>620</v>
      </c>
      <c r="C43" t="s">
        <v>103</v>
      </c>
      <c r="D43"/>
      <c r="E43" t="s">
        <v>621</v>
      </c>
      <c r="F43" t="s">
        <v>622</v>
      </c>
      <c r="G43"/>
      <c r="H43"/>
      <c r="I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s="1" customFormat="1" x14ac:dyDescent="0.15">
      <c r="A44" s="3"/>
      <c r="B44"/>
      <c r="C44"/>
      <c r="D44"/>
      <c r="E44"/>
      <c r="F44"/>
      <c r="G44" s="5"/>
      <c r="H44"/>
      <c r="I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s="1" customFormat="1" x14ac:dyDescent="0.15">
      <c r="A45" s="3"/>
      <c r="B45"/>
      <c r="C45"/>
      <c r="D45"/>
      <c r="E45"/>
      <c r="F45"/>
      <c r="G45" s="5"/>
      <c r="H45" s="5"/>
      <c r="I45" s="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 s="1" customFormat="1" x14ac:dyDescent="0.15">
      <c r="A46" s="3"/>
      <c r="B46"/>
      <c r="C46"/>
      <c r="D46"/>
      <c r="E46"/>
      <c r="F46"/>
      <c r="G46" s="5"/>
      <c r="H46"/>
      <c r="I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 s="1" customFormat="1" x14ac:dyDescent="0.15">
      <c r="A47" s="3"/>
      <c r="B47"/>
      <c r="C47"/>
      <c r="D47"/>
      <c r="E47"/>
      <c r="F47"/>
      <c r="G47" s="5"/>
      <c r="H47"/>
      <c r="I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 s="1" customFormat="1" x14ac:dyDescent="0.15">
      <c r="A48" s="3"/>
      <c r="B48"/>
      <c r="C48"/>
      <c r="D48"/>
      <c r="E48"/>
      <c r="F48"/>
      <c r="G48" s="5"/>
      <c r="H48"/>
      <c r="I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 x14ac:dyDescent="0.15">
      <c r="A49" s="3"/>
    </row>
    <row r="50" spans="1:24" x14ac:dyDescent="0.15">
      <c r="A50" s="3"/>
    </row>
    <row r="51" spans="1:24" x14ac:dyDescent="0.15">
      <c r="A51" s="3"/>
    </row>
    <row r="52" spans="1:24" ht="14.25" thickBot="1" x14ac:dyDescent="0.2">
      <c r="A52" s="3"/>
    </row>
    <row r="53" spans="1:24" ht="14.25" thickBot="1" x14ac:dyDescent="0.2">
      <c r="A53" s="6">
        <f>SUM(A43:A52)</f>
        <v>4</v>
      </c>
      <c r="Q53" s="7">
        <v>0</v>
      </c>
      <c r="R53" s="8">
        <v>1</v>
      </c>
      <c r="S53" s="8">
        <v>2</v>
      </c>
      <c r="T53" s="8">
        <v>3</v>
      </c>
      <c r="U53" s="8">
        <v>4</v>
      </c>
      <c r="V53" s="8">
        <v>5</v>
      </c>
      <c r="W53" s="8">
        <v>6</v>
      </c>
      <c r="X53" s="9">
        <v>7</v>
      </c>
    </row>
    <row r="54" spans="1:24" ht="14.25" thickBot="1" x14ac:dyDescent="0.2">
      <c r="Q54" s="10">
        <f t="shared" ref="Q54:W54" si="3">SUMIF($K5:$K31,Q53,$A5:$A31)</f>
        <v>0</v>
      </c>
      <c r="R54" s="11">
        <f t="shared" si="3"/>
        <v>8</v>
      </c>
      <c r="S54" s="11">
        <f t="shared" si="3"/>
        <v>8</v>
      </c>
      <c r="T54" s="11">
        <f t="shared" si="3"/>
        <v>8</v>
      </c>
      <c r="U54" s="11">
        <f t="shared" si="3"/>
        <v>4</v>
      </c>
      <c r="V54" s="11">
        <f t="shared" si="3"/>
        <v>0</v>
      </c>
      <c r="W54" s="11">
        <f t="shared" si="3"/>
        <v>5</v>
      </c>
      <c r="X54" s="12">
        <f>SUMIF($K5:$K31,"&gt;6",$A5:$A31)</f>
        <v>0</v>
      </c>
    </row>
    <row r="56" spans="1:24" ht="14.25" thickBot="1" x14ac:dyDescent="0.2"/>
    <row r="57" spans="1:24" x14ac:dyDescent="0.15">
      <c r="Q57" s="7" t="s">
        <v>3</v>
      </c>
      <c r="R57" s="8" t="s">
        <v>6</v>
      </c>
      <c r="S57" s="8" t="s">
        <v>5</v>
      </c>
      <c r="T57" s="8" t="s">
        <v>7</v>
      </c>
      <c r="U57" s="8" t="s">
        <v>8</v>
      </c>
      <c r="V57" s="8" t="s">
        <v>10</v>
      </c>
      <c r="W57" s="9" t="s">
        <v>9</v>
      </c>
    </row>
    <row r="58" spans="1:24" ht="14.25" thickBot="1" x14ac:dyDescent="0.2">
      <c r="Q58" s="10">
        <f t="shared" ref="Q58:V58" si="4">SUMIF($F5:$F31,Q57,$A5:$A31)</f>
        <v>4</v>
      </c>
      <c r="R58" s="11">
        <f t="shared" si="4"/>
        <v>0</v>
      </c>
      <c r="S58" s="11">
        <f t="shared" si="4"/>
        <v>5</v>
      </c>
      <c r="T58" s="11">
        <f t="shared" si="4"/>
        <v>12</v>
      </c>
      <c r="U58" s="11">
        <f t="shared" si="4"/>
        <v>0</v>
      </c>
      <c r="V58" s="11">
        <f t="shared" si="4"/>
        <v>12</v>
      </c>
      <c r="W58" s="12">
        <f>A40</f>
        <v>24</v>
      </c>
    </row>
  </sheetData>
  <phoneticPr fontId="1"/>
  <dataValidations count="1">
    <dataValidation type="list" allowBlank="1" showInputMessage="1" showErrorMessage="1" sqref="C43 C5:C7 C9:C31">
      <formula1>$Q$1:$V$1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1:W58"/>
  <sheetViews>
    <sheetView workbookViewId="0">
      <selection activeCell="H10" sqref="H10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3.5" bestFit="1" customWidth="1"/>
    <col min="5" max="5" width="4" bestFit="1" customWidth="1"/>
    <col min="6" max="6" width="2" bestFit="1" customWidth="1"/>
    <col min="7" max="7" width="4.875" bestFit="1" customWidth="1"/>
    <col min="8" max="8" width="12.625" customWidth="1"/>
    <col min="9" max="9" width="20.75" style="1" customWidth="1"/>
    <col min="10" max="10" width="3.5" bestFit="1" customWidth="1"/>
    <col min="11" max="11" width="2.5" bestFit="1" customWidth="1"/>
    <col min="12" max="12" width="3.5" bestFit="1" customWidth="1"/>
    <col min="13" max="13" width="2.5" bestFit="1" customWidth="1"/>
    <col min="14" max="14" width="3.5" bestFit="1" customWidth="1"/>
    <col min="15" max="17" width="3.75" customWidth="1"/>
    <col min="18" max="18" width="3.625" customWidth="1"/>
    <col min="19" max="22" width="3.75" customWidth="1"/>
    <col min="23" max="23" width="3.625" customWidth="1"/>
  </cols>
  <sheetData>
    <row r="1" spans="1:22" x14ac:dyDescent="0.15">
      <c r="P1" t="s">
        <v>80</v>
      </c>
      <c r="Q1" t="s">
        <v>145</v>
      </c>
      <c r="R1" t="s">
        <v>255</v>
      </c>
      <c r="S1" t="s">
        <v>97</v>
      </c>
      <c r="T1" t="s">
        <v>99</v>
      </c>
      <c r="U1" t="s">
        <v>83</v>
      </c>
      <c r="V1" t="s">
        <v>644</v>
      </c>
    </row>
    <row r="4" spans="1:22" ht="14.25" thickBot="1" x14ac:dyDescent="0.2">
      <c r="A4">
        <f>SUM(A5:A39)</f>
        <v>36</v>
      </c>
    </row>
    <row r="5" spans="1:22" x14ac:dyDescent="0.15">
      <c r="A5" s="2"/>
      <c r="G5" s="5"/>
      <c r="H5" s="5"/>
      <c r="J5" t="str">
        <f t="shared" ref="J5" si="0">IF(AND(ISBLANK(D5),ISBLANK(E5)),"",D5+LEN(E5))</f>
        <v/>
      </c>
      <c r="K5">
        <f>A5</f>
        <v>0</v>
      </c>
    </row>
    <row r="6" spans="1:22" x14ac:dyDescent="0.15">
      <c r="A6" s="3">
        <v>4</v>
      </c>
      <c r="B6" t="s">
        <v>645</v>
      </c>
      <c r="C6" t="s">
        <v>338</v>
      </c>
      <c r="E6" t="s">
        <v>646</v>
      </c>
      <c r="F6" t="s">
        <v>647</v>
      </c>
      <c r="G6" s="5"/>
      <c r="J6">
        <f>IF(AND(ISBLANK(D6),ISBLANK(E6)),"",D6+LEN(E6))</f>
        <v>1</v>
      </c>
      <c r="K6">
        <f>A6</f>
        <v>4</v>
      </c>
    </row>
    <row r="7" spans="1:22" x14ac:dyDescent="0.15">
      <c r="A7" s="3"/>
      <c r="G7" s="5"/>
      <c r="J7" t="str">
        <f t="shared" ref="J7:J31" si="1">IF(AND(ISBLANK(D7),ISBLANK(E7)),"",D7+LEN(E7))</f>
        <v/>
      </c>
      <c r="K7">
        <f t="shared" ref="K7:K31" si="2">A7</f>
        <v>0</v>
      </c>
    </row>
    <row r="8" spans="1:22" x14ac:dyDescent="0.15">
      <c r="A8" s="3"/>
      <c r="G8" s="5"/>
      <c r="H8" s="5"/>
      <c r="J8" t="str">
        <f t="shared" si="1"/>
        <v/>
      </c>
      <c r="K8">
        <f t="shared" si="2"/>
        <v>0</v>
      </c>
    </row>
    <row r="9" spans="1:22" x14ac:dyDescent="0.15">
      <c r="A9" s="3"/>
      <c r="B9" t="s">
        <v>659</v>
      </c>
      <c r="C9" t="s">
        <v>96</v>
      </c>
      <c r="D9">
        <v>1</v>
      </c>
      <c r="E9" t="s">
        <v>660</v>
      </c>
      <c r="F9" t="s">
        <v>647</v>
      </c>
      <c r="G9" s="5" t="s">
        <v>163</v>
      </c>
      <c r="H9" s="5" t="s">
        <v>661</v>
      </c>
      <c r="J9">
        <f t="shared" si="1"/>
        <v>2</v>
      </c>
      <c r="K9">
        <f t="shared" si="2"/>
        <v>0</v>
      </c>
    </row>
    <row r="10" spans="1:22" x14ac:dyDescent="0.15">
      <c r="A10" s="3"/>
      <c r="G10" s="5"/>
      <c r="H10" s="5"/>
      <c r="J10" t="str">
        <f t="shared" si="1"/>
        <v/>
      </c>
      <c r="K10">
        <f t="shared" si="2"/>
        <v>0</v>
      </c>
    </row>
    <row r="11" spans="1:22" x14ac:dyDescent="0.15">
      <c r="A11" s="3"/>
      <c r="G11" s="5"/>
      <c r="H11" s="5"/>
      <c r="J11" t="str">
        <f t="shared" si="1"/>
        <v/>
      </c>
      <c r="K11">
        <f t="shared" si="2"/>
        <v>0</v>
      </c>
    </row>
    <row r="12" spans="1:22" x14ac:dyDescent="0.15">
      <c r="A12" s="3"/>
      <c r="G12" s="5"/>
      <c r="H12" s="5"/>
      <c r="J12" t="str">
        <f t="shared" si="1"/>
        <v/>
      </c>
      <c r="K12">
        <f t="shared" si="2"/>
        <v>0</v>
      </c>
    </row>
    <row r="13" spans="1:22" x14ac:dyDescent="0.15">
      <c r="A13" s="3"/>
      <c r="G13" s="5"/>
      <c r="H13" s="5"/>
      <c r="J13" t="str">
        <f t="shared" si="1"/>
        <v/>
      </c>
      <c r="K13">
        <f t="shared" si="2"/>
        <v>0</v>
      </c>
    </row>
    <row r="14" spans="1:22" x14ac:dyDescent="0.15">
      <c r="A14" s="3"/>
      <c r="G14" s="5"/>
      <c r="H14" s="5"/>
      <c r="J14" t="str">
        <f t="shared" si="1"/>
        <v/>
      </c>
      <c r="K14">
        <f t="shared" si="2"/>
        <v>0</v>
      </c>
    </row>
    <row r="15" spans="1:22" x14ac:dyDescent="0.15">
      <c r="A15" s="3"/>
      <c r="G15" s="5"/>
      <c r="H15" s="5"/>
      <c r="J15" t="str">
        <f t="shared" si="1"/>
        <v/>
      </c>
      <c r="K15">
        <f t="shared" si="2"/>
        <v>0</v>
      </c>
    </row>
    <row r="16" spans="1:22" x14ac:dyDescent="0.15">
      <c r="A16" s="3"/>
      <c r="B16" t="s">
        <v>650</v>
      </c>
      <c r="C16" t="s">
        <v>338</v>
      </c>
      <c r="D16">
        <v>3</v>
      </c>
      <c r="E16" t="s">
        <v>648</v>
      </c>
      <c r="F16" t="s">
        <v>647</v>
      </c>
      <c r="G16" s="5" t="s">
        <v>349</v>
      </c>
      <c r="H16" s="5" t="s">
        <v>651</v>
      </c>
      <c r="J16">
        <f t="shared" si="1"/>
        <v>5</v>
      </c>
      <c r="K16">
        <f t="shared" si="2"/>
        <v>0</v>
      </c>
    </row>
    <row r="17" spans="1:11" x14ac:dyDescent="0.15">
      <c r="A17" s="3"/>
      <c r="G17" s="5"/>
      <c r="H17" s="5"/>
      <c r="J17" t="str">
        <f t="shared" si="1"/>
        <v/>
      </c>
      <c r="K17">
        <f t="shared" si="2"/>
        <v>0</v>
      </c>
    </row>
    <row r="18" spans="1:11" x14ac:dyDescent="0.15">
      <c r="A18" s="3"/>
      <c r="G18" s="5"/>
      <c r="H18" s="5"/>
      <c r="J18" t="str">
        <f t="shared" si="1"/>
        <v/>
      </c>
      <c r="K18">
        <f t="shared" si="2"/>
        <v>0</v>
      </c>
    </row>
    <row r="19" spans="1:11" x14ac:dyDescent="0.15">
      <c r="A19" s="3"/>
      <c r="G19" s="5"/>
      <c r="H19" s="5"/>
      <c r="J19" t="str">
        <f t="shared" si="1"/>
        <v/>
      </c>
      <c r="K19">
        <f t="shared" si="2"/>
        <v>0</v>
      </c>
    </row>
    <row r="20" spans="1:11" x14ac:dyDescent="0.15">
      <c r="A20" s="3"/>
      <c r="G20" s="5"/>
      <c r="H20" s="5"/>
      <c r="J20" t="str">
        <f t="shared" si="1"/>
        <v/>
      </c>
      <c r="K20">
        <f t="shared" si="2"/>
        <v>0</v>
      </c>
    </row>
    <row r="21" spans="1:11" x14ac:dyDescent="0.15">
      <c r="A21" s="3"/>
      <c r="G21" s="5"/>
      <c r="H21" s="5"/>
      <c r="J21" t="str">
        <f t="shared" si="1"/>
        <v/>
      </c>
      <c r="K21">
        <f t="shared" si="2"/>
        <v>0</v>
      </c>
    </row>
    <row r="22" spans="1:11" x14ac:dyDescent="0.15">
      <c r="A22" s="3"/>
      <c r="G22" s="5"/>
      <c r="J22" t="str">
        <f>IF(AND(ISBLANK(D22),ISBLANK(E22)),"",D22+LEN(E22))</f>
        <v/>
      </c>
      <c r="K22">
        <f>A22</f>
        <v>0</v>
      </c>
    </row>
    <row r="23" spans="1:11" x14ac:dyDescent="0.15">
      <c r="A23" s="3"/>
      <c r="G23" s="5"/>
      <c r="J23" t="str">
        <f>IF(AND(ISBLANK(D23),ISBLANK(E23)),"",D23+LEN(E23))</f>
        <v/>
      </c>
      <c r="K23">
        <f>A23</f>
        <v>0</v>
      </c>
    </row>
    <row r="24" spans="1:11" x14ac:dyDescent="0.15">
      <c r="A24" s="3"/>
      <c r="G24" s="5"/>
      <c r="H24" s="5"/>
      <c r="J24" t="str">
        <f t="shared" si="1"/>
        <v/>
      </c>
      <c r="K24">
        <f t="shared" si="2"/>
        <v>0</v>
      </c>
    </row>
    <row r="25" spans="1:11" x14ac:dyDescent="0.15">
      <c r="A25" s="3">
        <v>4</v>
      </c>
      <c r="B25" t="s">
        <v>550</v>
      </c>
      <c r="C25" t="s">
        <v>338</v>
      </c>
      <c r="D25">
        <v>1</v>
      </c>
      <c r="E25" t="s">
        <v>648</v>
      </c>
      <c r="F25" t="s">
        <v>649</v>
      </c>
      <c r="G25" s="5"/>
      <c r="H25" s="5" t="s">
        <v>652</v>
      </c>
      <c r="J25">
        <f t="shared" si="1"/>
        <v>3</v>
      </c>
      <c r="K25">
        <f t="shared" si="2"/>
        <v>4</v>
      </c>
    </row>
    <row r="26" spans="1:11" x14ac:dyDescent="0.15">
      <c r="A26" s="3">
        <v>3</v>
      </c>
      <c r="B26" t="s">
        <v>551</v>
      </c>
      <c r="C26" t="s">
        <v>338</v>
      </c>
      <c r="E26" t="s">
        <v>653</v>
      </c>
      <c r="F26" t="s">
        <v>649</v>
      </c>
      <c r="G26" s="5"/>
      <c r="H26" s="5" t="s">
        <v>654</v>
      </c>
      <c r="J26">
        <f t="shared" si="1"/>
        <v>1</v>
      </c>
      <c r="K26">
        <f t="shared" si="2"/>
        <v>3</v>
      </c>
    </row>
    <row r="27" spans="1:11" x14ac:dyDescent="0.15">
      <c r="A27" s="3">
        <v>3</v>
      </c>
      <c r="C27" t="s">
        <v>206</v>
      </c>
      <c r="D27">
        <v>1</v>
      </c>
      <c r="E27" t="s">
        <v>655</v>
      </c>
      <c r="F27" t="s">
        <v>649</v>
      </c>
      <c r="G27" s="5"/>
      <c r="H27" s="5" t="s">
        <v>656</v>
      </c>
      <c r="J27">
        <f t="shared" si="1"/>
        <v>3</v>
      </c>
      <c r="K27">
        <f t="shared" si="2"/>
        <v>3</v>
      </c>
    </row>
    <row r="28" spans="1:11" x14ac:dyDescent="0.15">
      <c r="A28" s="3"/>
      <c r="G28" s="5"/>
      <c r="H28" s="5"/>
      <c r="J28" t="str">
        <f t="shared" si="1"/>
        <v/>
      </c>
      <c r="K28">
        <f t="shared" si="2"/>
        <v>0</v>
      </c>
    </row>
    <row r="29" spans="1:11" x14ac:dyDescent="0.15">
      <c r="A29" s="3"/>
      <c r="B29" t="s">
        <v>657</v>
      </c>
      <c r="C29" t="s">
        <v>338</v>
      </c>
      <c r="D29">
        <v>2</v>
      </c>
      <c r="E29" t="s">
        <v>653</v>
      </c>
      <c r="F29" t="s">
        <v>658</v>
      </c>
      <c r="G29" s="5"/>
      <c r="J29">
        <f t="shared" si="1"/>
        <v>3</v>
      </c>
      <c r="K29">
        <f t="shared" si="2"/>
        <v>0</v>
      </c>
    </row>
    <row r="30" spans="1:11" x14ac:dyDescent="0.15">
      <c r="A30" s="3"/>
      <c r="G30" s="5"/>
      <c r="J30" t="str">
        <f t="shared" si="1"/>
        <v/>
      </c>
      <c r="K30">
        <f t="shared" si="2"/>
        <v>0</v>
      </c>
    </row>
    <row r="31" spans="1:11" ht="14.25" thickBot="1" x14ac:dyDescent="0.2">
      <c r="A31" s="3"/>
      <c r="J31" t="str">
        <f t="shared" si="1"/>
        <v/>
      </c>
      <c r="K31">
        <f t="shared" si="2"/>
        <v>0</v>
      </c>
    </row>
    <row r="32" spans="1:11" x14ac:dyDescent="0.15">
      <c r="A32" s="2"/>
    </row>
    <row r="33" spans="1:8" x14ac:dyDescent="0.15">
      <c r="A33" s="3">
        <v>22</v>
      </c>
    </row>
    <row r="34" spans="1:8" x14ac:dyDescent="0.15">
      <c r="A34" s="3"/>
    </row>
    <row r="35" spans="1:8" x14ac:dyDescent="0.15">
      <c r="A35" s="3"/>
    </row>
    <row r="36" spans="1:8" x14ac:dyDescent="0.15">
      <c r="A36" s="3"/>
    </row>
    <row r="37" spans="1:8" x14ac:dyDescent="0.15">
      <c r="A37" s="3"/>
    </row>
    <row r="38" spans="1:8" x14ac:dyDescent="0.15">
      <c r="A38" s="3"/>
    </row>
    <row r="39" spans="1:8" ht="14.25" thickBot="1" x14ac:dyDescent="0.2">
      <c r="A39" s="4"/>
    </row>
    <row r="40" spans="1:8" x14ac:dyDescent="0.15">
      <c r="A40">
        <f>SUM(A32:A39)</f>
        <v>22</v>
      </c>
    </row>
    <row r="42" spans="1:8" ht="14.25" thickBot="1" x14ac:dyDescent="0.2"/>
    <row r="43" spans="1:8" x14ac:dyDescent="0.15">
      <c r="A43" s="2"/>
    </row>
    <row r="44" spans="1:8" x14ac:dyDescent="0.15">
      <c r="A44" s="3"/>
      <c r="G44" s="5"/>
    </row>
    <row r="45" spans="1:8" x14ac:dyDescent="0.15">
      <c r="A45" s="3"/>
      <c r="G45" s="5"/>
      <c r="H45" s="5"/>
    </row>
    <row r="46" spans="1:8" x14ac:dyDescent="0.15">
      <c r="A46" s="3"/>
      <c r="G46" s="5"/>
    </row>
    <row r="47" spans="1:8" x14ac:dyDescent="0.15">
      <c r="A47" s="3"/>
      <c r="G47" s="5"/>
    </row>
    <row r="48" spans="1:8" x14ac:dyDescent="0.15">
      <c r="A48" s="3"/>
      <c r="G48" s="5"/>
    </row>
    <row r="49" spans="1:23" x14ac:dyDescent="0.15">
      <c r="A49" s="3"/>
    </row>
    <row r="50" spans="1:23" x14ac:dyDescent="0.15">
      <c r="A50" s="3"/>
    </row>
    <row r="51" spans="1:23" x14ac:dyDescent="0.15">
      <c r="A51" s="3"/>
    </row>
    <row r="52" spans="1:23" ht="14.25" thickBot="1" x14ac:dyDescent="0.2">
      <c r="A52" s="3"/>
    </row>
    <row r="53" spans="1:23" ht="14.25" thickBot="1" x14ac:dyDescent="0.2">
      <c r="A53" s="6">
        <f>SUM(A43:A52)</f>
        <v>0</v>
      </c>
      <c r="P53" s="7">
        <v>0</v>
      </c>
      <c r="Q53" s="8">
        <v>1</v>
      </c>
      <c r="R53" s="8">
        <v>2</v>
      </c>
      <c r="S53" s="8">
        <v>3</v>
      </c>
      <c r="T53" s="8">
        <v>4</v>
      </c>
      <c r="U53" s="8">
        <v>5</v>
      </c>
      <c r="V53" s="8">
        <v>6</v>
      </c>
      <c r="W53" s="9">
        <v>7</v>
      </c>
    </row>
    <row r="54" spans="1:23" ht="14.25" thickBot="1" x14ac:dyDescent="0.2">
      <c r="P54" s="10">
        <f t="shared" ref="P54:V54" si="3">SUMIF($J5:$J31,P53,$A5:$A31)</f>
        <v>0</v>
      </c>
      <c r="Q54" s="11">
        <f t="shared" si="3"/>
        <v>7</v>
      </c>
      <c r="R54" s="11">
        <f t="shared" si="3"/>
        <v>0</v>
      </c>
      <c r="S54" s="11">
        <f t="shared" si="3"/>
        <v>7</v>
      </c>
      <c r="T54" s="11">
        <f t="shared" si="3"/>
        <v>0</v>
      </c>
      <c r="U54" s="11">
        <f t="shared" si="3"/>
        <v>0</v>
      </c>
      <c r="V54" s="11">
        <f t="shared" si="3"/>
        <v>0</v>
      </c>
      <c r="W54" s="12">
        <f>SUMIF($J5:$J31,"&gt;6",$A5:$A31)</f>
        <v>0</v>
      </c>
    </row>
    <row r="56" spans="1:23" ht="14.25" thickBot="1" x14ac:dyDescent="0.2"/>
    <row r="57" spans="1:23" x14ac:dyDescent="0.15">
      <c r="P57" s="7" t="s">
        <v>3</v>
      </c>
      <c r="Q57" s="8" t="s">
        <v>6</v>
      </c>
      <c r="R57" s="8" t="s">
        <v>5</v>
      </c>
      <c r="S57" s="8" t="s">
        <v>7</v>
      </c>
      <c r="T57" s="8" t="s">
        <v>8</v>
      </c>
      <c r="U57" s="8" t="s">
        <v>10</v>
      </c>
      <c r="V57" s="9" t="s">
        <v>9</v>
      </c>
    </row>
    <row r="58" spans="1:23" ht="14.25" thickBot="1" x14ac:dyDescent="0.2">
      <c r="P58" s="10">
        <f t="shared" ref="P58:U58" si="4">SUMIF($F5:$F31,P57,$A5:$A31)</f>
        <v>4</v>
      </c>
      <c r="Q58" s="11">
        <f t="shared" si="4"/>
        <v>10</v>
      </c>
      <c r="R58" s="11">
        <f t="shared" si="4"/>
        <v>0</v>
      </c>
      <c r="S58" s="11">
        <f t="shared" si="4"/>
        <v>0</v>
      </c>
      <c r="T58" s="11">
        <f t="shared" si="4"/>
        <v>0</v>
      </c>
      <c r="U58" s="11">
        <f t="shared" si="4"/>
        <v>0</v>
      </c>
      <c r="V58" s="12">
        <f>A40</f>
        <v>22</v>
      </c>
    </row>
  </sheetData>
  <phoneticPr fontId="1"/>
  <dataValidations count="1">
    <dataValidation type="list" allowBlank="1" showInputMessage="1" showErrorMessage="1" sqref="C5:C31">
      <formula1>$P$1:$W$1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4:W66"/>
  <sheetViews>
    <sheetView workbookViewId="0">
      <selection activeCell="P4" sqref="P4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2.5" bestFit="1" customWidth="1"/>
    <col min="5" max="5" width="4" bestFit="1" customWidth="1"/>
    <col min="6" max="6" width="2" bestFit="1" customWidth="1"/>
    <col min="7" max="7" width="4.875" bestFit="1" customWidth="1"/>
    <col min="8" max="8" width="12.625" customWidth="1"/>
    <col min="9" max="9" width="14.875" style="1" customWidth="1"/>
    <col min="10" max="10" width="3.5" hidden="1" customWidth="1"/>
    <col min="11" max="11" width="2.5" hidden="1" customWidth="1"/>
    <col min="12" max="12" width="3.5" bestFit="1" customWidth="1"/>
    <col min="13" max="13" width="2.5" bestFit="1" customWidth="1"/>
    <col min="14" max="14" width="3.5" bestFit="1" customWidth="1"/>
    <col min="15" max="17" width="3.75" customWidth="1"/>
    <col min="18" max="18" width="3.625" customWidth="1"/>
    <col min="19" max="22" width="3.75" customWidth="1"/>
    <col min="23" max="23" width="3.625" customWidth="1"/>
  </cols>
  <sheetData>
    <row r="4" spans="1:11" ht="14.25" thickBot="1" x14ac:dyDescent="0.2">
      <c r="A4">
        <f>SUM(A5:A47)</f>
        <v>60</v>
      </c>
    </row>
    <row r="5" spans="1:11" x14ac:dyDescent="0.15">
      <c r="A5" s="2"/>
      <c r="G5" s="5"/>
      <c r="H5" s="5"/>
      <c r="J5" t="str">
        <f t="shared" ref="J5:J39" si="0">IF(AND(ISBLANK(D5),ISBLANK(E5)),"",D5+LEN(E5))</f>
        <v/>
      </c>
      <c r="K5">
        <f>A5</f>
        <v>0</v>
      </c>
    </row>
    <row r="6" spans="1:11" ht="13.5" hidden="1" customHeight="1" x14ac:dyDescent="0.15">
      <c r="A6" s="3"/>
      <c r="B6" t="s">
        <v>685</v>
      </c>
      <c r="C6" t="s">
        <v>80</v>
      </c>
      <c r="E6" t="s">
        <v>686</v>
      </c>
      <c r="F6" t="s">
        <v>687</v>
      </c>
      <c r="G6" s="5" t="s">
        <v>688</v>
      </c>
      <c r="H6" s="5" t="s">
        <v>689</v>
      </c>
      <c r="J6">
        <f t="shared" ref="J6:J9" si="1">IF(AND(ISBLANK(D6),ISBLANK(E6)),"",D6+LEN(E6))</f>
        <v>2</v>
      </c>
      <c r="K6">
        <f t="shared" ref="K6:K9" si="2">A6</f>
        <v>0</v>
      </c>
    </row>
    <row r="7" spans="1:11" x14ac:dyDescent="0.15">
      <c r="A7" s="3">
        <v>4</v>
      </c>
      <c r="B7" t="s">
        <v>251</v>
      </c>
      <c r="C7" t="s">
        <v>82</v>
      </c>
      <c r="E7" t="s">
        <v>226</v>
      </c>
      <c r="F7" t="s">
        <v>211</v>
      </c>
      <c r="G7" s="5" t="s">
        <v>703</v>
      </c>
      <c r="H7" s="5" t="s">
        <v>704</v>
      </c>
      <c r="J7">
        <f t="shared" ref="J7" si="3">IF(AND(ISBLANK(D7),ISBLANK(E7)),"",D7+LEN(E7))</f>
        <v>2</v>
      </c>
      <c r="K7">
        <f t="shared" ref="K7" si="4">A7</f>
        <v>4</v>
      </c>
    </row>
    <row r="8" spans="1:11" x14ac:dyDescent="0.15">
      <c r="A8" s="3">
        <v>4</v>
      </c>
      <c r="B8" t="s">
        <v>692</v>
      </c>
      <c r="C8" t="s">
        <v>99</v>
      </c>
      <c r="D8">
        <v>2</v>
      </c>
      <c r="F8" t="s">
        <v>687</v>
      </c>
      <c r="G8" s="5" t="s">
        <v>688</v>
      </c>
      <c r="H8" s="5"/>
      <c r="J8">
        <f t="shared" si="1"/>
        <v>2</v>
      </c>
      <c r="K8">
        <f t="shared" si="2"/>
        <v>4</v>
      </c>
    </row>
    <row r="9" spans="1:11" x14ac:dyDescent="0.15">
      <c r="A9" s="3"/>
      <c r="G9" s="5"/>
      <c r="H9" s="5"/>
      <c r="J9" t="str">
        <f t="shared" si="1"/>
        <v/>
      </c>
      <c r="K9">
        <f t="shared" si="2"/>
        <v>0</v>
      </c>
    </row>
    <row r="10" spans="1:11" x14ac:dyDescent="0.15">
      <c r="A10" s="3">
        <v>2</v>
      </c>
      <c r="B10" t="s">
        <v>671</v>
      </c>
      <c r="C10" t="s">
        <v>670</v>
      </c>
      <c r="D10">
        <v>2</v>
      </c>
      <c r="E10" t="s">
        <v>2</v>
      </c>
      <c r="F10" t="s">
        <v>3</v>
      </c>
      <c r="G10" s="5" t="s">
        <v>672</v>
      </c>
      <c r="H10" s="5" t="s">
        <v>673</v>
      </c>
      <c r="I10" s="1" t="s">
        <v>675</v>
      </c>
      <c r="J10">
        <f t="shared" si="0"/>
        <v>3</v>
      </c>
      <c r="K10">
        <f>A10</f>
        <v>2</v>
      </c>
    </row>
    <row r="11" spans="1:11" x14ac:dyDescent="0.15">
      <c r="A11" s="3">
        <v>4</v>
      </c>
      <c r="B11" t="s">
        <v>130</v>
      </c>
      <c r="C11" t="s">
        <v>83</v>
      </c>
      <c r="D11">
        <v>2</v>
      </c>
      <c r="E11" t="s">
        <v>118</v>
      </c>
      <c r="F11" t="s">
        <v>3</v>
      </c>
      <c r="G11" s="5" t="s">
        <v>73</v>
      </c>
      <c r="H11" s="5" t="s">
        <v>131</v>
      </c>
      <c r="I11" s="1" t="s">
        <v>673</v>
      </c>
      <c r="J11">
        <f t="shared" si="0"/>
        <v>3</v>
      </c>
      <c r="K11">
        <f t="shared" ref="K11" si="5">A11</f>
        <v>4</v>
      </c>
    </row>
    <row r="12" spans="1:11" ht="13.5" hidden="1" customHeight="1" x14ac:dyDescent="0.15">
      <c r="A12" s="3"/>
      <c r="B12" t="s">
        <v>676</v>
      </c>
      <c r="C12" t="s">
        <v>667</v>
      </c>
      <c r="D12">
        <v>2</v>
      </c>
      <c r="E12" t="s">
        <v>118</v>
      </c>
      <c r="F12" t="s">
        <v>3</v>
      </c>
      <c r="G12" s="5" t="s">
        <v>677</v>
      </c>
      <c r="H12" s="5" t="s">
        <v>678</v>
      </c>
      <c r="I12" s="1" t="s">
        <v>679</v>
      </c>
      <c r="J12">
        <f t="shared" ref="J12" si="6">IF(AND(ISBLANK(D12),ISBLANK(E12)),"",D12+LEN(E12))</f>
        <v>3</v>
      </c>
      <c r="K12">
        <f t="shared" ref="K12" si="7">A12</f>
        <v>0</v>
      </c>
    </row>
    <row r="13" spans="1:11" x14ac:dyDescent="0.15">
      <c r="A13" s="3"/>
      <c r="G13" s="5"/>
      <c r="H13" s="5"/>
      <c r="J13" t="str">
        <f t="shared" si="0"/>
        <v/>
      </c>
      <c r="K13">
        <f>A13</f>
        <v>0</v>
      </c>
    </row>
    <row r="14" spans="1:11" ht="13.5" hidden="1" customHeight="1" x14ac:dyDescent="0.15">
      <c r="A14" s="3"/>
      <c r="B14" t="s">
        <v>681</v>
      </c>
      <c r="C14" t="s">
        <v>667</v>
      </c>
      <c r="D14">
        <v>3</v>
      </c>
      <c r="E14" t="s">
        <v>118</v>
      </c>
      <c r="F14" t="s">
        <v>3</v>
      </c>
      <c r="G14" s="5" t="s">
        <v>280</v>
      </c>
      <c r="H14" s="5" t="s">
        <v>682</v>
      </c>
      <c r="J14">
        <f t="shared" ref="J14" si="8">IF(AND(ISBLANK(D14),ISBLANK(E14)),"",D14+LEN(E14))</f>
        <v>4</v>
      </c>
      <c r="K14">
        <f>A14</f>
        <v>0</v>
      </c>
    </row>
    <row r="15" spans="1:11" ht="13.5" hidden="1" customHeight="1" x14ac:dyDescent="0.15">
      <c r="A15" s="3"/>
      <c r="B15" t="s">
        <v>690</v>
      </c>
      <c r="C15" t="s">
        <v>80</v>
      </c>
      <c r="D15">
        <v>2</v>
      </c>
      <c r="E15" t="s">
        <v>686</v>
      </c>
      <c r="F15" t="s">
        <v>3</v>
      </c>
      <c r="G15" s="5" t="s">
        <v>691</v>
      </c>
      <c r="H15" s="5" t="s">
        <v>673</v>
      </c>
      <c r="J15">
        <f t="shared" ref="J15" si="9">IF(AND(ISBLANK(D15),ISBLANK(E15)),"",D15+LEN(E15))</f>
        <v>4</v>
      </c>
      <c r="K15">
        <f>A15</f>
        <v>0</v>
      </c>
    </row>
    <row r="16" spans="1:11" x14ac:dyDescent="0.15">
      <c r="A16" s="3">
        <v>4</v>
      </c>
      <c r="B16" t="s">
        <v>699</v>
      </c>
      <c r="C16" t="s">
        <v>82</v>
      </c>
      <c r="D16">
        <v>2</v>
      </c>
      <c r="E16" t="s">
        <v>700</v>
      </c>
      <c r="F16" t="s">
        <v>701</v>
      </c>
      <c r="G16" s="5" t="s">
        <v>702</v>
      </c>
      <c r="H16" s="5"/>
      <c r="J16">
        <f t="shared" ref="J16" si="10">IF(AND(ISBLANK(D16),ISBLANK(E16)),"",D16+LEN(E16))</f>
        <v>4</v>
      </c>
      <c r="K16">
        <f>A16</f>
        <v>4</v>
      </c>
    </row>
    <row r="17" spans="1:11" x14ac:dyDescent="0.15">
      <c r="A17" s="3"/>
      <c r="G17" s="5"/>
      <c r="H17" s="5"/>
    </row>
    <row r="18" spans="1:11" x14ac:dyDescent="0.15">
      <c r="A18" s="3">
        <v>2</v>
      </c>
      <c r="B18" t="s">
        <v>105</v>
      </c>
      <c r="C18" t="s">
        <v>103</v>
      </c>
      <c r="D18">
        <v>3</v>
      </c>
      <c r="E18" t="s">
        <v>87</v>
      </c>
      <c r="F18" t="s">
        <v>3</v>
      </c>
      <c r="G18" s="5" t="s">
        <v>55</v>
      </c>
      <c r="H18" s="5" t="s">
        <v>107</v>
      </c>
      <c r="J18">
        <f t="shared" si="0"/>
        <v>5</v>
      </c>
      <c r="K18">
        <f>A18</f>
        <v>2</v>
      </c>
    </row>
    <row r="19" spans="1:11" x14ac:dyDescent="0.15">
      <c r="A19" s="3"/>
      <c r="G19" s="5"/>
      <c r="J19" t="str">
        <f t="shared" si="0"/>
        <v/>
      </c>
      <c r="K19">
        <f t="shared" ref="K19" si="11">A19</f>
        <v>0</v>
      </c>
    </row>
    <row r="20" spans="1:11" ht="13.5" hidden="1" customHeight="1" x14ac:dyDescent="0.15">
      <c r="A20" s="3"/>
      <c r="B20" t="s">
        <v>114</v>
      </c>
      <c r="C20" t="s">
        <v>96</v>
      </c>
      <c r="D20">
        <v>8</v>
      </c>
      <c r="F20" t="s">
        <v>3</v>
      </c>
      <c r="G20" s="5" t="s">
        <v>115</v>
      </c>
      <c r="H20" s="5" t="s">
        <v>116</v>
      </c>
      <c r="I20" s="1" t="s">
        <v>680</v>
      </c>
      <c r="J20">
        <f t="shared" si="0"/>
        <v>8</v>
      </c>
      <c r="K20">
        <f>A20</f>
        <v>0</v>
      </c>
    </row>
    <row r="21" spans="1:11" ht="13.5" hidden="1" customHeight="1" x14ac:dyDescent="0.15">
      <c r="A21" s="3"/>
      <c r="B21" t="s">
        <v>111</v>
      </c>
      <c r="C21" t="s">
        <v>97</v>
      </c>
      <c r="D21">
        <v>8</v>
      </c>
      <c r="F21" t="s">
        <v>3</v>
      </c>
      <c r="G21" s="5" t="s">
        <v>65</v>
      </c>
      <c r="H21" s="5" t="s">
        <v>113</v>
      </c>
      <c r="J21">
        <f t="shared" si="0"/>
        <v>8</v>
      </c>
      <c r="K21">
        <f t="shared" ref="K21:K31" si="12">A21</f>
        <v>0</v>
      </c>
    </row>
    <row r="22" spans="1:11" x14ac:dyDescent="0.15">
      <c r="A22" s="3"/>
      <c r="G22" s="5"/>
      <c r="H22" s="5"/>
      <c r="J22" t="str">
        <f t="shared" si="0"/>
        <v/>
      </c>
      <c r="K22">
        <f t="shared" si="12"/>
        <v>0</v>
      </c>
    </row>
    <row r="23" spans="1:11" x14ac:dyDescent="0.15">
      <c r="A23" s="3">
        <v>4</v>
      </c>
      <c r="B23" t="s">
        <v>693</v>
      </c>
      <c r="C23" t="s">
        <v>666</v>
      </c>
      <c r="E23" t="s">
        <v>695</v>
      </c>
      <c r="F23" t="s">
        <v>697</v>
      </c>
      <c r="G23" s="5"/>
      <c r="H23" s="5"/>
      <c r="J23">
        <f t="shared" ref="J23:J25" si="13">IF(AND(ISBLANK(D23),ISBLANK(E23)),"",D23+LEN(E23))</f>
        <v>1</v>
      </c>
      <c r="K23">
        <f t="shared" ref="K23:K25" si="14">A23</f>
        <v>4</v>
      </c>
    </row>
    <row r="24" spans="1:11" x14ac:dyDescent="0.15">
      <c r="A24" s="3">
        <v>4</v>
      </c>
      <c r="B24" t="s">
        <v>694</v>
      </c>
      <c r="C24" t="s">
        <v>82</v>
      </c>
      <c r="E24" t="s">
        <v>696</v>
      </c>
      <c r="F24" t="s">
        <v>697</v>
      </c>
      <c r="G24" s="5"/>
      <c r="H24" s="5"/>
      <c r="J24">
        <f t="shared" si="13"/>
        <v>1</v>
      </c>
      <c r="K24">
        <f t="shared" si="14"/>
        <v>4</v>
      </c>
    </row>
    <row r="25" spans="1:11" x14ac:dyDescent="0.15">
      <c r="A25" s="3"/>
      <c r="G25" s="5"/>
      <c r="H25" s="5"/>
      <c r="J25" t="str">
        <f t="shared" si="13"/>
        <v/>
      </c>
      <c r="K25">
        <f t="shared" si="14"/>
        <v>0</v>
      </c>
    </row>
    <row r="26" spans="1:11" ht="13.5" hidden="1" customHeight="1" x14ac:dyDescent="0.15">
      <c r="A26" s="3"/>
      <c r="B26" t="s">
        <v>662</v>
      </c>
      <c r="C26" t="s">
        <v>80</v>
      </c>
      <c r="E26" t="s">
        <v>118</v>
      </c>
      <c r="F26" t="s">
        <v>5</v>
      </c>
      <c r="G26" s="5"/>
      <c r="H26" s="5" t="s">
        <v>119</v>
      </c>
      <c r="J26">
        <f t="shared" si="0"/>
        <v>1</v>
      </c>
      <c r="K26">
        <f t="shared" si="12"/>
        <v>0</v>
      </c>
    </row>
    <row r="27" spans="1:11" ht="13.5" hidden="1" customHeight="1" x14ac:dyDescent="0.15">
      <c r="A27" s="3"/>
      <c r="B27" t="s">
        <v>120</v>
      </c>
      <c r="C27" t="s">
        <v>80</v>
      </c>
      <c r="E27" t="s">
        <v>118</v>
      </c>
      <c r="F27" t="s">
        <v>7</v>
      </c>
      <c r="G27" s="5"/>
      <c r="H27" s="5" t="s">
        <v>122</v>
      </c>
      <c r="J27">
        <f t="shared" si="0"/>
        <v>1</v>
      </c>
      <c r="K27">
        <f t="shared" si="12"/>
        <v>0</v>
      </c>
    </row>
    <row r="28" spans="1:11" x14ac:dyDescent="0.15">
      <c r="A28" s="3"/>
      <c r="G28" s="5"/>
      <c r="H28" s="5"/>
      <c r="J28" t="str">
        <f t="shared" si="0"/>
        <v/>
      </c>
      <c r="K28">
        <f t="shared" si="12"/>
        <v>0</v>
      </c>
    </row>
    <row r="29" spans="1:11" ht="13.5" hidden="1" customHeight="1" x14ac:dyDescent="0.15">
      <c r="A29" s="3"/>
      <c r="B29" t="s">
        <v>93</v>
      </c>
      <c r="C29" t="s">
        <v>83</v>
      </c>
      <c r="D29">
        <v>1</v>
      </c>
      <c r="E29" t="s">
        <v>1</v>
      </c>
      <c r="F29" t="s">
        <v>5</v>
      </c>
      <c r="H29" t="s">
        <v>95</v>
      </c>
      <c r="J29">
        <f t="shared" si="0"/>
        <v>2</v>
      </c>
      <c r="K29">
        <f t="shared" si="12"/>
        <v>0</v>
      </c>
    </row>
    <row r="30" spans="1:11" x14ac:dyDescent="0.15">
      <c r="A30" s="3">
        <v>4</v>
      </c>
      <c r="B30" t="s">
        <v>663</v>
      </c>
      <c r="C30" t="s">
        <v>83</v>
      </c>
      <c r="D30">
        <v>1</v>
      </c>
      <c r="E30" t="s">
        <v>1</v>
      </c>
      <c r="F30" t="s">
        <v>698</v>
      </c>
      <c r="H30" t="s">
        <v>664</v>
      </c>
      <c r="J30">
        <f t="shared" ref="J30" si="15">IF(AND(ISBLANK(D30),ISBLANK(E30)),"",D30+LEN(E30))</f>
        <v>2</v>
      </c>
      <c r="K30">
        <f t="shared" ref="K30" si="16">A30</f>
        <v>4</v>
      </c>
    </row>
    <row r="31" spans="1:11" x14ac:dyDescent="0.15">
      <c r="A31" s="3"/>
      <c r="J31" t="str">
        <f t="shared" si="0"/>
        <v/>
      </c>
      <c r="K31">
        <f t="shared" si="12"/>
        <v>0</v>
      </c>
    </row>
    <row r="32" spans="1:11" x14ac:dyDescent="0.15">
      <c r="A32" s="3">
        <v>4</v>
      </c>
      <c r="B32" t="s">
        <v>94</v>
      </c>
      <c r="C32" t="s">
        <v>83</v>
      </c>
      <c r="D32">
        <v>1</v>
      </c>
      <c r="E32" t="s">
        <v>87</v>
      </c>
      <c r="F32" t="s">
        <v>5</v>
      </c>
      <c r="G32" s="5"/>
      <c r="H32" t="s">
        <v>137</v>
      </c>
      <c r="J32">
        <f t="shared" si="0"/>
        <v>3</v>
      </c>
      <c r="K32">
        <f>A32</f>
        <v>4</v>
      </c>
    </row>
    <row r="33" spans="1:11" ht="13.5" hidden="1" customHeight="1" x14ac:dyDescent="0.15">
      <c r="A33" s="3"/>
      <c r="B33" t="s">
        <v>98</v>
      </c>
      <c r="C33" t="s">
        <v>99</v>
      </c>
      <c r="D33">
        <v>1</v>
      </c>
      <c r="E33" t="s">
        <v>87</v>
      </c>
      <c r="F33" t="s">
        <v>5</v>
      </c>
      <c r="G33" s="5"/>
      <c r="H33" t="s">
        <v>100</v>
      </c>
      <c r="J33">
        <f t="shared" si="0"/>
        <v>3</v>
      </c>
      <c r="K33">
        <f t="shared" ref="K33:K35" si="17">A33</f>
        <v>0</v>
      </c>
    </row>
    <row r="34" spans="1:11" x14ac:dyDescent="0.15">
      <c r="A34" s="3">
        <v>2</v>
      </c>
      <c r="B34" t="s">
        <v>665</v>
      </c>
      <c r="C34" t="s">
        <v>667</v>
      </c>
      <c r="D34">
        <v>2</v>
      </c>
      <c r="E34" t="s">
        <v>668</v>
      </c>
      <c r="F34" t="s">
        <v>669</v>
      </c>
      <c r="G34" s="5"/>
      <c r="H34" t="s">
        <v>674</v>
      </c>
      <c r="J34">
        <f t="shared" ref="J34" si="18">IF(AND(ISBLANK(D34),ISBLANK(E34)),"",D34+LEN(E34))</f>
        <v>3</v>
      </c>
      <c r="K34">
        <f t="shared" ref="K34" si="19">A34</f>
        <v>2</v>
      </c>
    </row>
    <row r="35" spans="1:11" x14ac:dyDescent="0.15">
      <c r="A35" s="3"/>
      <c r="G35" s="5"/>
      <c r="J35" t="str">
        <f t="shared" si="0"/>
        <v/>
      </c>
      <c r="K35">
        <f t="shared" si="17"/>
        <v>0</v>
      </c>
    </row>
    <row r="36" spans="1:11" hidden="1" x14ac:dyDescent="0.15">
      <c r="A36" s="3"/>
      <c r="B36" t="s">
        <v>78</v>
      </c>
      <c r="C36" t="s">
        <v>80</v>
      </c>
      <c r="D36">
        <v>4</v>
      </c>
      <c r="E36" t="s">
        <v>2</v>
      </c>
      <c r="F36" t="s">
        <v>6</v>
      </c>
      <c r="G36" s="5"/>
      <c r="H36" t="s">
        <v>89</v>
      </c>
      <c r="J36">
        <f t="shared" si="0"/>
        <v>5</v>
      </c>
      <c r="K36">
        <f>A36</f>
        <v>0</v>
      </c>
    </row>
    <row r="37" spans="1:11" ht="13.5" hidden="1" customHeight="1" x14ac:dyDescent="0.15">
      <c r="A37" s="3"/>
      <c r="B37" t="s">
        <v>13</v>
      </c>
      <c r="C37" t="s">
        <v>97</v>
      </c>
      <c r="D37">
        <v>4</v>
      </c>
      <c r="E37" t="s">
        <v>118</v>
      </c>
      <c r="F37" t="s">
        <v>5</v>
      </c>
      <c r="G37" s="5"/>
      <c r="H37" t="s">
        <v>123</v>
      </c>
      <c r="J37">
        <f t="shared" si="0"/>
        <v>5</v>
      </c>
      <c r="K37">
        <f t="shared" ref="K37:K39" si="20">A37</f>
        <v>0</v>
      </c>
    </row>
    <row r="38" spans="1:11" x14ac:dyDescent="0.15">
      <c r="A38" s="3"/>
      <c r="G38" s="5"/>
      <c r="J38" t="str">
        <f t="shared" si="0"/>
        <v/>
      </c>
      <c r="K38">
        <f t="shared" si="20"/>
        <v>0</v>
      </c>
    </row>
    <row r="39" spans="1:11" ht="14.25" thickBot="1" x14ac:dyDescent="0.2">
      <c r="A39" s="3"/>
      <c r="J39" t="str">
        <f t="shared" si="0"/>
        <v/>
      </c>
      <c r="K39">
        <f t="shared" si="20"/>
        <v>0</v>
      </c>
    </row>
    <row r="40" spans="1:11" x14ac:dyDescent="0.15">
      <c r="A40" s="2"/>
    </row>
    <row r="41" spans="1:11" x14ac:dyDescent="0.15">
      <c r="A41" s="3">
        <v>5</v>
      </c>
      <c r="B41" t="s">
        <v>12</v>
      </c>
    </row>
    <row r="42" spans="1:11" x14ac:dyDescent="0.15">
      <c r="A42" s="3">
        <v>7</v>
      </c>
      <c r="B42" t="s">
        <v>134</v>
      </c>
    </row>
    <row r="43" spans="1:11" x14ac:dyDescent="0.15">
      <c r="A43" s="3">
        <v>2</v>
      </c>
      <c r="B43" t="s">
        <v>132</v>
      </c>
    </row>
    <row r="44" spans="1:11" x14ac:dyDescent="0.15">
      <c r="A44" s="3">
        <v>4</v>
      </c>
      <c r="B44" t="s">
        <v>133</v>
      </c>
    </row>
    <row r="45" spans="1:11" x14ac:dyDescent="0.15">
      <c r="A45" s="3">
        <v>4</v>
      </c>
      <c r="B45" t="s">
        <v>683</v>
      </c>
    </row>
    <row r="46" spans="1:11" x14ac:dyDescent="0.15">
      <c r="A46" s="3"/>
      <c r="B46" t="s">
        <v>684</v>
      </c>
    </row>
    <row r="47" spans="1:11" ht="14.25" thickBot="1" x14ac:dyDescent="0.2">
      <c r="A47" s="4"/>
    </row>
    <row r="48" spans="1:11" x14ac:dyDescent="0.15">
      <c r="A48">
        <f>SUM(A40:A47)</f>
        <v>22</v>
      </c>
    </row>
    <row r="52" spans="1:23" ht="14.25" thickBot="1" x14ac:dyDescent="0.2"/>
    <row r="53" spans="1:23" x14ac:dyDescent="0.15">
      <c r="A53" s="2">
        <v>4</v>
      </c>
      <c r="B53" t="s">
        <v>554</v>
      </c>
      <c r="C53" t="s">
        <v>338</v>
      </c>
      <c r="E53" t="s">
        <v>1</v>
      </c>
      <c r="F53" t="s">
        <v>211</v>
      </c>
      <c r="G53" t="s">
        <v>425</v>
      </c>
    </row>
    <row r="54" spans="1:23" x14ac:dyDescent="0.15">
      <c r="A54" s="3"/>
      <c r="B54" t="s">
        <v>558</v>
      </c>
      <c r="C54" t="s">
        <v>338</v>
      </c>
      <c r="D54">
        <v>1</v>
      </c>
      <c r="F54" t="s">
        <v>211</v>
      </c>
      <c r="G54" t="s">
        <v>216</v>
      </c>
      <c r="H54" t="s">
        <v>11</v>
      </c>
    </row>
    <row r="55" spans="1:23" x14ac:dyDescent="0.15">
      <c r="A55" s="3">
        <v>4</v>
      </c>
      <c r="B55" t="s">
        <v>135</v>
      </c>
      <c r="C55" t="s">
        <v>82</v>
      </c>
      <c r="D55">
        <v>3</v>
      </c>
      <c r="E55" t="s">
        <v>118</v>
      </c>
      <c r="F55" t="s">
        <v>4</v>
      </c>
      <c r="G55" s="5"/>
      <c r="H55" t="s">
        <v>136</v>
      </c>
      <c r="J55">
        <f>IF(AND(ISBLANK(D55),ISBLANK(E55)),"",D55+LEN(E55))</f>
        <v>4</v>
      </c>
      <c r="K55">
        <f>A55</f>
        <v>4</v>
      </c>
    </row>
    <row r="56" spans="1:23" x14ac:dyDescent="0.15">
      <c r="A56" s="3">
        <v>2</v>
      </c>
      <c r="B56" t="s">
        <v>13</v>
      </c>
      <c r="C56" t="s">
        <v>97</v>
      </c>
      <c r="D56">
        <v>4</v>
      </c>
      <c r="E56" t="s">
        <v>118</v>
      </c>
      <c r="F56" t="s">
        <v>5</v>
      </c>
      <c r="G56" s="5"/>
      <c r="H56" t="s">
        <v>123</v>
      </c>
      <c r="J56">
        <f t="shared" ref="J56" si="21">IF(AND(ISBLANK(D56),ISBLANK(E56)),"",D56+LEN(E56))</f>
        <v>5</v>
      </c>
      <c r="K56">
        <f t="shared" ref="K56" si="22">A56</f>
        <v>2</v>
      </c>
    </row>
    <row r="57" spans="1:23" x14ac:dyDescent="0.15">
      <c r="A57" s="3">
        <v>3</v>
      </c>
      <c r="B57" t="s">
        <v>93</v>
      </c>
      <c r="C57" t="s">
        <v>82</v>
      </c>
      <c r="D57">
        <v>1</v>
      </c>
      <c r="E57" t="s">
        <v>1</v>
      </c>
      <c r="F57" t="s">
        <v>4</v>
      </c>
      <c r="H57" t="s">
        <v>95</v>
      </c>
      <c r="K57">
        <f>A57</f>
        <v>3</v>
      </c>
    </row>
    <row r="58" spans="1:23" x14ac:dyDescent="0.15">
      <c r="A58" s="3">
        <v>2</v>
      </c>
      <c r="B58" t="s">
        <v>117</v>
      </c>
      <c r="C58" t="s">
        <v>217</v>
      </c>
      <c r="E58" t="s">
        <v>215</v>
      </c>
      <c r="F58" t="s">
        <v>4</v>
      </c>
      <c r="H58" t="s">
        <v>218</v>
      </c>
    </row>
    <row r="59" spans="1:23" x14ac:dyDescent="0.15">
      <c r="A59" s="3"/>
    </row>
    <row r="60" spans="1:23" ht="14.25" thickBot="1" x14ac:dyDescent="0.2">
      <c r="A60" s="3"/>
    </row>
    <row r="61" spans="1:23" ht="14.25" thickBot="1" x14ac:dyDescent="0.2">
      <c r="A61" s="6">
        <f>SUM(A53:A60)</f>
        <v>15</v>
      </c>
      <c r="P61" s="7">
        <v>0</v>
      </c>
      <c r="Q61" s="8">
        <v>1</v>
      </c>
      <c r="R61" s="8">
        <v>2</v>
      </c>
      <c r="S61" s="8">
        <v>3</v>
      </c>
      <c r="T61" s="8">
        <v>4</v>
      </c>
      <c r="U61" s="8">
        <v>5</v>
      </c>
      <c r="V61" s="8">
        <v>6</v>
      </c>
      <c r="W61" s="9">
        <v>7</v>
      </c>
    </row>
    <row r="62" spans="1:23" ht="14.25" thickBot="1" x14ac:dyDescent="0.2">
      <c r="P62" s="10">
        <f t="shared" ref="P62:V62" si="23">SUMIF($J5:$J39,P61,$A5:$A39)</f>
        <v>0</v>
      </c>
      <c r="Q62" s="11">
        <f t="shared" si="23"/>
        <v>8</v>
      </c>
      <c r="R62" s="11">
        <f t="shared" si="23"/>
        <v>12</v>
      </c>
      <c r="S62" s="11">
        <f t="shared" si="23"/>
        <v>12</v>
      </c>
      <c r="T62" s="11">
        <f t="shared" si="23"/>
        <v>4</v>
      </c>
      <c r="U62" s="11">
        <f t="shared" si="23"/>
        <v>2</v>
      </c>
      <c r="V62" s="11">
        <f t="shared" si="23"/>
        <v>0</v>
      </c>
      <c r="W62" s="12">
        <f>SUMIF($J5:$J39,"&gt;6",$A5:$A39)</f>
        <v>0</v>
      </c>
    </row>
    <row r="64" spans="1:23" ht="14.25" thickBot="1" x14ac:dyDescent="0.2"/>
    <row r="65" spans="16:22" x14ac:dyDescent="0.15">
      <c r="P65" s="7" t="s">
        <v>3</v>
      </c>
      <c r="Q65" s="8" t="s">
        <v>6</v>
      </c>
      <c r="R65" s="8" t="s">
        <v>5</v>
      </c>
      <c r="S65" s="8" t="s">
        <v>7</v>
      </c>
      <c r="T65" s="8" t="s">
        <v>8</v>
      </c>
      <c r="U65" s="8" t="s">
        <v>10</v>
      </c>
      <c r="V65" s="9" t="s">
        <v>9</v>
      </c>
    </row>
    <row r="66" spans="16:22" ht="14.25" thickBot="1" x14ac:dyDescent="0.2">
      <c r="P66" s="10">
        <f t="shared" ref="P66:U66" si="24">SUMIF($F5:$F39,P65,$A5:$A39)</f>
        <v>20</v>
      </c>
      <c r="Q66" s="11">
        <f t="shared" si="24"/>
        <v>12</v>
      </c>
      <c r="R66" s="11">
        <f t="shared" si="24"/>
        <v>4</v>
      </c>
      <c r="S66" s="11">
        <f t="shared" si="24"/>
        <v>2</v>
      </c>
      <c r="T66" s="11">
        <f t="shared" si="24"/>
        <v>0</v>
      </c>
      <c r="U66" s="11">
        <f t="shared" si="24"/>
        <v>0</v>
      </c>
      <c r="V66" s="12">
        <f>A48</f>
        <v>22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W55"/>
  <sheetViews>
    <sheetView tabSelected="1" topLeftCell="A4" workbookViewId="0">
      <selection activeCell="B7" sqref="B7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3.5" bestFit="1" customWidth="1"/>
    <col min="5" max="5" width="4" bestFit="1" customWidth="1"/>
    <col min="6" max="6" width="2" bestFit="1" customWidth="1"/>
    <col min="7" max="7" width="4.875" bestFit="1" customWidth="1"/>
    <col min="8" max="8" width="12.625" customWidth="1"/>
    <col min="9" max="9" width="20.75" style="1" customWidth="1"/>
    <col min="10" max="10" width="3.5" bestFit="1" customWidth="1"/>
    <col min="11" max="11" width="2.5" bestFit="1" customWidth="1"/>
    <col min="12" max="12" width="3.5" bestFit="1" customWidth="1"/>
    <col min="13" max="13" width="2.5" bestFit="1" customWidth="1"/>
    <col min="14" max="14" width="3.5" bestFit="1" customWidth="1"/>
    <col min="15" max="17" width="3.75" customWidth="1"/>
    <col min="18" max="18" width="3.625" customWidth="1"/>
    <col min="19" max="22" width="3.75" customWidth="1"/>
    <col min="23" max="23" width="3.625" customWidth="1"/>
  </cols>
  <sheetData>
    <row r="1" spans="1:23" x14ac:dyDescent="0.15">
      <c r="P1" t="s">
        <v>80</v>
      </c>
      <c r="Q1" t="s">
        <v>145</v>
      </c>
      <c r="R1" t="s">
        <v>255</v>
      </c>
      <c r="S1" t="s">
        <v>97</v>
      </c>
      <c r="T1" t="s">
        <v>99</v>
      </c>
      <c r="U1" t="s">
        <v>83</v>
      </c>
      <c r="V1" t="s">
        <v>644</v>
      </c>
      <c r="W1" t="s">
        <v>706</v>
      </c>
    </row>
    <row r="4" spans="1:23" ht="14.25" thickBot="1" x14ac:dyDescent="0.2">
      <c r="A4">
        <f>SUM(A5:A36)</f>
        <v>56</v>
      </c>
    </row>
    <row r="5" spans="1:23" x14ac:dyDescent="0.15">
      <c r="A5" s="2">
        <v>4</v>
      </c>
      <c r="B5" t="s">
        <v>386</v>
      </c>
      <c r="C5" t="s">
        <v>206</v>
      </c>
      <c r="D5">
        <v>1</v>
      </c>
      <c r="F5" t="s">
        <v>211</v>
      </c>
      <c r="G5" s="5" t="s">
        <v>425</v>
      </c>
      <c r="H5" s="5"/>
      <c r="J5">
        <f t="shared" ref="J5" si="0">IF(AND(ISBLANK(D5),ISBLANK(E5)),"",D5+LEN(E5))</f>
        <v>1</v>
      </c>
      <c r="K5">
        <f>A5</f>
        <v>4</v>
      </c>
    </row>
    <row r="6" spans="1:23" x14ac:dyDescent="0.15">
      <c r="A6" s="3">
        <v>4</v>
      </c>
      <c r="B6" t="s">
        <v>724</v>
      </c>
      <c r="C6" t="s">
        <v>338</v>
      </c>
      <c r="E6" t="s">
        <v>725</v>
      </c>
      <c r="F6" t="s">
        <v>211</v>
      </c>
      <c r="G6" s="5" t="s">
        <v>425</v>
      </c>
      <c r="J6">
        <f>IF(AND(ISBLANK(D6),ISBLANK(E6)),"",D6+LEN(E6))</f>
        <v>1</v>
      </c>
      <c r="K6">
        <f>A6</f>
        <v>4</v>
      </c>
    </row>
    <row r="7" spans="1:23" x14ac:dyDescent="0.15">
      <c r="A7" s="3"/>
      <c r="G7" s="5"/>
      <c r="J7" t="str">
        <f>IF(AND(ISBLANK(D7),ISBLANK(E7)),"",D7+LEN(E7))</f>
        <v/>
      </c>
      <c r="K7">
        <f>A7</f>
        <v>0</v>
      </c>
    </row>
    <row r="8" spans="1:23" x14ac:dyDescent="0.15">
      <c r="A8" s="3">
        <v>2</v>
      </c>
      <c r="B8" t="s">
        <v>722</v>
      </c>
      <c r="C8" t="s">
        <v>666</v>
      </c>
      <c r="D8">
        <v>1</v>
      </c>
      <c r="E8" t="s">
        <v>717</v>
      </c>
      <c r="F8" t="s">
        <v>714</v>
      </c>
      <c r="G8" s="5" t="s">
        <v>723</v>
      </c>
      <c r="J8">
        <f t="shared" ref="J8:J28" si="1">IF(AND(ISBLANK(D8),ISBLANK(E8)),"",D8+LEN(E8))</f>
        <v>2</v>
      </c>
      <c r="K8">
        <f t="shared" ref="K8:K28" si="2">A8</f>
        <v>2</v>
      </c>
    </row>
    <row r="9" spans="1:23" x14ac:dyDescent="0.15">
      <c r="A9" s="3">
        <v>4</v>
      </c>
      <c r="B9" t="s">
        <v>388</v>
      </c>
      <c r="C9" t="s">
        <v>96</v>
      </c>
      <c r="D9">
        <v>2</v>
      </c>
      <c r="F9" t="s">
        <v>211</v>
      </c>
      <c r="G9" s="5" t="s">
        <v>30</v>
      </c>
      <c r="J9">
        <f t="shared" ref="J9:J18" si="3">IF(AND(ISBLANK(D9),ISBLANK(E9)),"",D9+LEN(E9))</f>
        <v>2</v>
      </c>
      <c r="K9">
        <f t="shared" ref="K9:K18" si="4">A9</f>
        <v>4</v>
      </c>
    </row>
    <row r="10" spans="1:23" x14ac:dyDescent="0.15">
      <c r="A10" s="3"/>
      <c r="G10" s="5"/>
      <c r="J10" t="str">
        <f t="shared" ref="J10" si="5">IF(AND(ISBLANK(D10),ISBLANK(E10)),"",D10+LEN(E10))</f>
        <v/>
      </c>
      <c r="K10">
        <f t="shared" ref="K10" si="6">A10</f>
        <v>0</v>
      </c>
    </row>
    <row r="11" spans="1:23" x14ac:dyDescent="0.15">
      <c r="A11" s="3">
        <v>4</v>
      </c>
      <c r="B11" t="s">
        <v>719</v>
      </c>
      <c r="C11" t="s">
        <v>705</v>
      </c>
      <c r="D11">
        <v>2</v>
      </c>
      <c r="E11" t="s">
        <v>720</v>
      </c>
      <c r="F11" t="s">
        <v>714</v>
      </c>
      <c r="G11" s="5" t="s">
        <v>721</v>
      </c>
      <c r="J11">
        <f t="shared" si="3"/>
        <v>3</v>
      </c>
      <c r="K11">
        <f t="shared" si="4"/>
        <v>4</v>
      </c>
    </row>
    <row r="12" spans="1:23" x14ac:dyDescent="0.15">
      <c r="A12" s="3"/>
      <c r="G12" s="5"/>
      <c r="J12" t="str">
        <f t="shared" ref="J12" si="7">IF(AND(ISBLANK(D12),ISBLANK(E12)),"",D12+LEN(E12))</f>
        <v/>
      </c>
      <c r="K12">
        <f t="shared" ref="K12" si="8">A12</f>
        <v>0</v>
      </c>
    </row>
    <row r="13" spans="1:23" x14ac:dyDescent="0.15">
      <c r="A13" s="3"/>
      <c r="G13" s="5"/>
      <c r="J13" t="str">
        <f t="shared" si="3"/>
        <v/>
      </c>
      <c r="K13">
        <f t="shared" si="4"/>
        <v>0</v>
      </c>
    </row>
    <row r="14" spans="1:23" x14ac:dyDescent="0.15">
      <c r="A14" s="3">
        <v>4</v>
      </c>
      <c r="B14" t="s">
        <v>712</v>
      </c>
      <c r="C14" t="s">
        <v>705</v>
      </c>
      <c r="D14">
        <v>3</v>
      </c>
      <c r="E14" t="s">
        <v>713</v>
      </c>
      <c r="F14" t="s">
        <v>714</v>
      </c>
      <c r="G14" s="5" t="s">
        <v>715</v>
      </c>
      <c r="J14">
        <f t="shared" si="3"/>
        <v>4</v>
      </c>
      <c r="K14">
        <f t="shared" si="4"/>
        <v>4</v>
      </c>
    </row>
    <row r="15" spans="1:23" x14ac:dyDescent="0.15">
      <c r="A15" s="3"/>
      <c r="G15" s="5"/>
      <c r="J15" t="str">
        <f t="shared" si="3"/>
        <v/>
      </c>
      <c r="K15">
        <f t="shared" si="4"/>
        <v>0</v>
      </c>
    </row>
    <row r="16" spans="1:23" x14ac:dyDescent="0.15">
      <c r="A16" s="3"/>
      <c r="G16" s="5"/>
      <c r="J16" t="str">
        <f t="shared" si="3"/>
        <v/>
      </c>
      <c r="K16">
        <f t="shared" si="4"/>
        <v>0</v>
      </c>
    </row>
    <row r="17" spans="1:23" x14ac:dyDescent="0.15">
      <c r="A17" s="3"/>
      <c r="G17" s="5"/>
      <c r="J17" t="str">
        <f t="shared" si="3"/>
        <v/>
      </c>
      <c r="K17">
        <f t="shared" si="4"/>
        <v>0</v>
      </c>
    </row>
    <row r="18" spans="1:23" x14ac:dyDescent="0.15">
      <c r="A18" s="3"/>
      <c r="G18" s="5"/>
      <c r="H18" s="5"/>
      <c r="J18" t="str">
        <f t="shared" si="3"/>
        <v/>
      </c>
      <c r="K18">
        <f t="shared" si="4"/>
        <v>0</v>
      </c>
    </row>
    <row r="19" spans="1:23" x14ac:dyDescent="0.15">
      <c r="A19" s="3"/>
      <c r="G19" s="5"/>
      <c r="H19" s="5"/>
      <c r="J19" t="str">
        <f t="shared" si="1"/>
        <v/>
      </c>
      <c r="K19">
        <f t="shared" si="2"/>
        <v>0</v>
      </c>
    </row>
    <row r="20" spans="1:23" x14ac:dyDescent="0.15">
      <c r="A20" s="3">
        <v>4</v>
      </c>
      <c r="B20" t="s">
        <v>709</v>
      </c>
      <c r="C20" t="s">
        <v>705</v>
      </c>
      <c r="D20">
        <v>1</v>
      </c>
      <c r="E20" t="s">
        <v>707</v>
      </c>
      <c r="F20" t="s">
        <v>710</v>
      </c>
      <c r="G20" s="5"/>
      <c r="H20" s="5" t="s">
        <v>711</v>
      </c>
      <c r="J20">
        <f t="shared" si="1"/>
        <v>2</v>
      </c>
      <c r="K20">
        <f t="shared" si="2"/>
        <v>4</v>
      </c>
    </row>
    <row r="21" spans="1:23" x14ac:dyDescent="0.15">
      <c r="A21" s="3"/>
      <c r="G21" s="5"/>
      <c r="H21" s="5"/>
      <c r="J21" t="str">
        <f t="shared" si="1"/>
        <v/>
      </c>
      <c r="K21">
        <f t="shared" si="2"/>
        <v>0</v>
      </c>
    </row>
    <row r="22" spans="1:23" x14ac:dyDescent="0.15">
      <c r="A22" s="3"/>
      <c r="G22" s="5"/>
      <c r="H22" s="5"/>
      <c r="J22" t="str">
        <f t="shared" si="1"/>
        <v/>
      </c>
      <c r="K22">
        <f t="shared" si="2"/>
        <v>0</v>
      </c>
    </row>
    <row r="23" spans="1:23" x14ac:dyDescent="0.15">
      <c r="A23" s="3">
        <v>3</v>
      </c>
      <c r="B23" t="s">
        <v>716</v>
      </c>
      <c r="C23" t="s">
        <v>705</v>
      </c>
      <c r="D23">
        <v>2</v>
      </c>
      <c r="E23" t="s">
        <v>717</v>
      </c>
      <c r="F23" t="s">
        <v>718</v>
      </c>
      <c r="G23" s="5"/>
      <c r="H23" s="5"/>
      <c r="J23">
        <f t="shared" si="1"/>
        <v>3</v>
      </c>
      <c r="K23">
        <f t="shared" si="2"/>
        <v>3</v>
      </c>
    </row>
    <row r="24" spans="1:23" x14ac:dyDescent="0.15">
      <c r="A24" s="3">
        <v>4</v>
      </c>
      <c r="B24" t="s">
        <v>550</v>
      </c>
      <c r="C24" t="s">
        <v>338</v>
      </c>
      <c r="D24">
        <v>1</v>
      </c>
      <c r="E24" t="s">
        <v>708</v>
      </c>
      <c r="F24" t="s">
        <v>219</v>
      </c>
      <c r="G24" s="5"/>
      <c r="H24" s="5" t="s">
        <v>652</v>
      </c>
      <c r="J24">
        <v>3</v>
      </c>
      <c r="K24">
        <v>4</v>
      </c>
    </row>
    <row r="25" spans="1:23" x14ac:dyDescent="0.15">
      <c r="A25" s="3"/>
      <c r="G25" s="5"/>
      <c r="H25" s="5"/>
      <c r="J25" t="str">
        <f t="shared" si="1"/>
        <v/>
      </c>
      <c r="K25">
        <f t="shared" si="2"/>
        <v>0</v>
      </c>
    </row>
    <row r="26" spans="1:23" x14ac:dyDescent="0.15">
      <c r="A26" s="3"/>
      <c r="G26" s="5"/>
      <c r="J26" t="str">
        <f t="shared" si="1"/>
        <v/>
      </c>
      <c r="K26">
        <f t="shared" si="2"/>
        <v>0</v>
      </c>
    </row>
    <row r="27" spans="1:23" x14ac:dyDescent="0.15">
      <c r="A27" s="3"/>
      <c r="G27" s="5"/>
      <c r="J27" t="str">
        <f t="shared" si="1"/>
        <v/>
      </c>
      <c r="K27">
        <f t="shared" si="2"/>
        <v>0</v>
      </c>
    </row>
    <row r="28" spans="1:23" ht="14.25" thickBot="1" x14ac:dyDescent="0.2">
      <c r="A28" s="3"/>
      <c r="J28" t="str">
        <f t="shared" si="1"/>
        <v/>
      </c>
      <c r="K28">
        <f t="shared" si="2"/>
        <v>0</v>
      </c>
    </row>
    <row r="29" spans="1:23" x14ac:dyDescent="0.15">
      <c r="A29" s="2"/>
    </row>
    <row r="30" spans="1:23" s="1" customFormat="1" x14ac:dyDescent="0.15">
      <c r="A30" s="3">
        <v>23</v>
      </c>
      <c r="B30"/>
      <c r="C30"/>
      <c r="D30"/>
      <c r="E30"/>
      <c r="F30"/>
      <c r="G30"/>
      <c r="H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s="1" customFormat="1" x14ac:dyDescent="0.15">
      <c r="A31" s="3"/>
      <c r="B31"/>
      <c r="C31"/>
      <c r="D31"/>
      <c r="E31"/>
      <c r="F31"/>
      <c r="G31"/>
      <c r="H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:23" s="1" customFormat="1" x14ac:dyDescent="0.15">
      <c r="A32" s="3"/>
      <c r="B32"/>
      <c r="C32"/>
      <c r="D32"/>
      <c r="E32"/>
      <c r="F32"/>
      <c r="G32"/>
      <c r="H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1:23" s="1" customFormat="1" x14ac:dyDescent="0.15">
      <c r="A33" s="3"/>
      <c r="B33"/>
      <c r="C33"/>
      <c r="D33"/>
      <c r="E33"/>
      <c r="F33"/>
      <c r="G33"/>
      <c r="H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1:23" s="1" customFormat="1" x14ac:dyDescent="0.15">
      <c r="A34" s="3"/>
      <c r="B34"/>
      <c r="C34"/>
      <c r="D34"/>
      <c r="E34"/>
      <c r="F34"/>
      <c r="G34"/>
      <c r="H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23" s="1" customFormat="1" x14ac:dyDescent="0.15">
      <c r="A35" s="3"/>
      <c r="B35"/>
      <c r="C35"/>
      <c r="D35"/>
      <c r="E35"/>
      <c r="F35"/>
      <c r="G35"/>
      <c r="H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 s="1" customFormat="1" ht="14.25" thickBot="1" x14ac:dyDescent="0.2">
      <c r="A36" s="4"/>
      <c r="B36"/>
      <c r="C36"/>
      <c r="D36"/>
      <c r="E36"/>
      <c r="F36"/>
      <c r="G36"/>
      <c r="H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 s="1" customFormat="1" x14ac:dyDescent="0.15">
      <c r="A37">
        <f>SUM(A29:A36)</f>
        <v>23</v>
      </c>
      <c r="B37"/>
      <c r="C37"/>
      <c r="D37"/>
      <c r="E37"/>
      <c r="F37"/>
      <c r="G37"/>
      <c r="H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9" spans="1:23" s="1" customFormat="1" ht="14.25" thickBot="1" x14ac:dyDescent="0.2">
      <c r="A39"/>
      <c r="B39"/>
      <c r="C39"/>
      <c r="D39"/>
      <c r="E39"/>
      <c r="F39"/>
      <c r="G39"/>
      <c r="H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 s="1" customFormat="1" x14ac:dyDescent="0.15">
      <c r="A40" s="2"/>
      <c r="B40"/>
      <c r="C40"/>
      <c r="D40"/>
      <c r="E40"/>
      <c r="F40"/>
      <c r="G40"/>
      <c r="H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 s="1" customFormat="1" x14ac:dyDescent="0.15">
      <c r="A41" s="3"/>
      <c r="B41"/>
      <c r="C41"/>
      <c r="D41"/>
      <c r="E41"/>
      <c r="F41"/>
      <c r="G41" s="5"/>
      <c r="H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 s="1" customFormat="1" x14ac:dyDescent="0.15">
      <c r="A42" s="3"/>
      <c r="B42"/>
      <c r="C42"/>
      <c r="D42"/>
      <c r="E42"/>
      <c r="F42"/>
      <c r="G42" s="5"/>
      <c r="H42" s="5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 s="1" customFormat="1" x14ac:dyDescent="0.15">
      <c r="A43" s="3"/>
      <c r="B43"/>
      <c r="C43"/>
      <c r="D43"/>
      <c r="E43"/>
      <c r="F43"/>
      <c r="G43" s="5"/>
      <c r="H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 s="1" customFormat="1" x14ac:dyDescent="0.15">
      <c r="A44" s="3"/>
      <c r="B44"/>
      <c r="C44"/>
      <c r="D44"/>
      <c r="E44"/>
      <c r="F44"/>
      <c r="G44" s="5"/>
      <c r="H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 s="1" customFormat="1" x14ac:dyDescent="0.15">
      <c r="A45" s="3"/>
      <c r="B45"/>
      <c r="C45"/>
      <c r="D45"/>
      <c r="E45"/>
      <c r="F45"/>
      <c r="G45" s="5"/>
      <c r="H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 x14ac:dyDescent="0.15">
      <c r="A46" s="3"/>
    </row>
    <row r="47" spans="1:23" x14ac:dyDescent="0.15">
      <c r="A47" s="3"/>
    </row>
    <row r="48" spans="1:23" x14ac:dyDescent="0.15">
      <c r="A48" s="3"/>
    </row>
    <row r="49" spans="1:23" ht="14.25" thickBot="1" x14ac:dyDescent="0.2">
      <c r="A49" s="3"/>
    </row>
    <row r="50" spans="1:23" ht="14.25" thickBot="1" x14ac:dyDescent="0.2">
      <c r="A50" s="6">
        <f>SUM(A40:A49)</f>
        <v>0</v>
      </c>
      <c r="P50" s="7">
        <v>0</v>
      </c>
      <c r="Q50" s="8">
        <v>1</v>
      </c>
      <c r="R50" s="8">
        <v>2</v>
      </c>
      <c r="S50" s="8">
        <v>3</v>
      </c>
      <c r="T50" s="8">
        <v>4</v>
      </c>
      <c r="U50" s="8">
        <v>5</v>
      </c>
      <c r="V50" s="8">
        <v>6</v>
      </c>
      <c r="W50" s="9">
        <v>7</v>
      </c>
    </row>
    <row r="51" spans="1:23" ht="14.25" thickBot="1" x14ac:dyDescent="0.2">
      <c r="P51" s="10">
        <f>SUMIF($J5:$J28,P50,$A5:$A28)</f>
        <v>0</v>
      </c>
      <c r="Q51" s="11">
        <f>SUMIF($J5:$J28,Q50,$A5:$A28)</f>
        <v>8</v>
      </c>
      <c r="R51" s="11">
        <f>SUMIF($J5:$J28,R50,$A5:$A28)</f>
        <v>10</v>
      </c>
      <c r="S51" s="11">
        <f>SUMIF($J5:$J28,S50,$A5:$A28)</f>
        <v>11</v>
      </c>
      <c r="T51" s="11">
        <f>SUMIF($J5:$J28,T50,$A5:$A28)</f>
        <v>4</v>
      </c>
      <c r="U51" s="11">
        <f>SUMIF($J5:$J28,U50,$A5:$A28)</f>
        <v>0</v>
      </c>
      <c r="V51" s="11">
        <f>SUMIF($J5:$J28,V50,$A5:$A28)</f>
        <v>0</v>
      </c>
      <c r="W51" s="12">
        <f>SUMIF($J5:$J28,"&gt;6",$A5:$A28)</f>
        <v>0</v>
      </c>
    </row>
    <row r="53" spans="1:23" ht="14.25" thickBot="1" x14ac:dyDescent="0.2"/>
    <row r="54" spans="1:23" x14ac:dyDescent="0.15">
      <c r="P54" s="7" t="s">
        <v>3</v>
      </c>
      <c r="Q54" s="8" t="s">
        <v>6</v>
      </c>
      <c r="R54" s="8" t="s">
        <v>5</v>
      </c>
      <c r="S54" s="8" t="s">
        <v>7</v>
      </c>
      <c r="T54" s="8" t="s">
        <v>8</v>
      </c>
      <c r="U54" s="8" t="s">
        <v>10</v>
      </c>
      <c r="V54" s="9" t="s">
        <v>9</v>
      </c>
    </row>
    <row r="55" spans="1:23" ht="14.25" thickBot="1" x14ac:dyDescent="0.2">
      <c r="P55" s="10">
        <f>SUMIF($F5:$F28,P54,$A5:$A28)</f>
        <v>22</v>
      </c>
      <c r="Q55" s="11">
        <f>SUMIF($F5:$F28,Q54,$A5:$A28)</f>
        <v>8</v>
      </c>
      <c r="R55" s="11">
        <f>SUMIF($F5:$F28,R54,$A5:$A28)</f>
        <v>0</v>
      </c>
      <c r="S55" s="11">
        <f>SUMIF($F5:$F28,S54,$A5:$A28)</f>
        <v>3</v>
      </c>
      <c r="T55" s="11">
        <f>SUMIF($F5:$F28,T54,$A5:$A28)</f>
        <v>0</v>
      </c>
      <c r="U55" s="11">
        <f>SUMIF($F5:$F28,U54,$A5:$A28)</f>
        <v>0</v>
      </c>
      <c r="V55" s="12">
        <f>A37</f>
        <v>23</v>
      </c>
    </row>
  </sheetData>
  <phoneticPr fontId="1"/>
  <dataValidations count="1">
    <dataValidation type="list" allowBlank="1" showInputMessage="1" showErrorMessage="1" sqref="C5:C28">
      <formula1>$P$1:$W$1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1"/>
  <sheetViews>
    <sheetView workbookViewId="0">
      <selection activeCell="A3" sqref="A3:H3"/>
    </sheetView>
  </sheetViews>
  <sheetFormatPr defaultRowHeight="13.5" x14ac:dyDescent="0.15"/>
  <cols>
    <col min="1" max="1" width="24.25" bestFit="1" customWidth="1"/>
    <col min="2" max="2" width="6.125" customWidth="1"/>
    <col min="3" max="3" width="2.5" bestFit="1" customWidth="1"/>
    <col min="4" max="4" width="4.125" customWidth="1"/>
    <col min="5" max="5" width="2.625" bestFit="1" customWidth="1"/>
    <col min="6" max="6" width="5.875" bestFit="1" customWidth="1"/>
    <col min="8" max="8" width="17.125" bestFit="1" customWidth="1"/>
  </cols>
  <sheetData>
    <row r="1" spans="1:8" x14ac:dyDescent="0.15">
      <c r="A1" t="s">
        <v>14</v>
      </c>
      <c r="C1">
        <v>4</v>
      </c>
      <c r="E1" t="s">
        <v>28</v>
      </c>
      <c r="F1" t="s">
        <v>47</v>
      </c>
      <c r="G1" t="s">
        <v>22</v>
      </c>
      <c r="H1" t="s">
        <v>48</v>
      </c>
    </row>
    <row r="2" spans="1:8" x14ac:dyDescent="0.15">
      <c r="A2" t="s">
        <v>20</v>
      </c>
      <c r="C2">
        <v>2</v>
      </c>
      <c r="E2" t="s">
        <v>28</v>
      </c>
      <c r="F2" t="s">
        <v>29</v>
      </c>
      <c r="G2" t="s">
        <v>22</v>
      </c>
      <c r="H2" t="s">
        <v>23</v>
      </c>
    </row>
    <row r="3" spans="1:8" x14ac:dyDescent="0.15">
      <c r="A3" t="s">
        <v>18</v>
      </c>
      <c r="C3">
        <v>3</v>
      </c>
      <c r="E3" t="s">
        <v>28</v>
      </c>
      <c r="F3" t="s">
        <v>30</v>
      </c>
      <c r="G3" t="s">
        <v>21</v>
      </c>
      <c r="H3" t="s">
        <v>31</v>
      </c>
    </row>
    <row r="4" spans="1:8" x14ac:dyDescent="0.15">
      <c r="A4" t="s">
        <v>15</v>
      </c>
      <c r="C4">
        <v>4</v>
      </c>
      <c r="E4" t="s">
        <v>28</v>
      </c>
      <c r="F4" t="s">
        <v>41</v>
      </c>
      <c r="G4" t="s">
        <v>24</v>
      </c>
      <c r="H4" t="s">
        <v>42</v>
      </c>
    </row>
    <row r="5" spans="1:8" x14ac:dyDescent="0.15">
      <c r="A5" t="s">
        <v>17</v>
      </c>
      <c r="C5">
        <v>5</v>
      </c>
      <c r="E5" t="s">
        <v>28</v>
      </c>
      <c r="F5" t="s">
        <v>43</v>
      </c>
      <c r="G5" t="s">
        <v>25</v>
      </c>
      <c r="H5" t="s">
        <v>11</v>
      </c>
    </row>
    <row r="6" spans="1:8" x14ac:dyDescent="0.15">
      <c r="A6" t="s">
        <v>16</v>
      </c>
      <c r="C6">
        <v>5</v>
      </c>
      <c r="E6" t="s">
        <v>28</v>
      </c>
      <c r="F6" t="s">
        <v>44</v>
      </c>
      <c r="G6" t="s">
        <v>21</v>
      </c>
      <c r="H6" t="s">
        <v>26</v>
      </c>
    </row>
    <row r="7" spans="1:8" x14ac:dyDescent="0.15">
      <c r="A7" t="s">
        <v>19</v>
      </c>
      <c r="C7">
        <v>6</v>
      </c>
      <c r="E7" t="s">
        <v>28</v>
      </c>
      <c r="F7" t="s">
        <v>45</v>
      </c>
      <c r="G7" t="s">
        <v>27</v>
      </c>
      <c r="H7" t="s">
        <v>46</v>
      </c>
    </row>
    <row r="8" spans="1:8" x14ac:dyDescent="0.15">
      <c r="A8" t="s">
        <v>61</v>
      </c>
      <c r="C8">
        <v>5</v>
      </c>
      <c r="E8" t="s">
        <v>28</v>
      </c>
      <c r="F8" t="s">
        <v>62</v>
      </c>
      <c r="G8" t="s">
        <v>21</v>
      </c>
      <c r="H8" t="s">
        <v>63</v>
      </c>
    </row>
    <row r="9" spans="1:8" x14ac:dyDescent="0.15">
      <c r="A9" t="s">
        <v>64</v>
      </c>
      <c r="C9">
        <v>4</v>
      </c>
      <c r="E9" t="s">
        <v>28</v>
      </c>
      <c r="F9" t="s">
        <v>65</v>
      </c>
      <c r="G9" t="s">
        <v>21</v>
      </c>
      <c r="H9" t="s">
        <v>66</v>
      </c>
    </row>
    <row r="10" spans="1:8" x14ac:dyDescent="0.15">
      <c r="A10" t="s">
        <v>67</v>
      </c>
      <c r="C10">
        <v>3</v>
      </c>
      <c r="E10" t="s">
        <v>28</v>
      </c>
      <c r="F10" t="s">
        <v>68</v>
      </c>
      <c r="G10" t="s">
        <v>24</v>
      </c>
      <c r="H10" t="s">
        <v>69</v>
      </c>
    </row>
    <row r="11" spans="1:8" x14ac:dyDescent="0.15">
      <c r="A11" t="s">
        <v>70</v>
      </c>
      <c r="C11">
        <v>2</v>
      </c>
      <c r="E11" t="s">
        <v>28</v>
      </c>
      <c r="F11" t="s">
        <v>71</v>
      </c>
      <c r="G11" t="s">
        <v>22</v>
      </c>
      <c r="H11" t="s">
        <v>0</v>
      </c>
    </row>
    <row r="14" spans="1:8" x14ac:dyDescent="0.15">
      <c r="A14" t="s">
        <v>32</v>
      </c>
      <c r="C14">
        <v>1</v>
      </c>
      <c r="E14" t="s">
        <v>28</v>
      </c>
      <c r="F14" t="s">
        <v>49</v>
      </c>
      <c r="G14" t="s">
        <v>33</v>
      </c>
    </row>
    <row r="15" spans="1:8" x14ac:dyDescent="0.15">
      <c r="A15" t="s">
        <v>34</v>
      </c>
      <c r="C15">
        <v>3</v>
      </c>
      <c r="E15" t="s">
        <v>28</v>
      </c>
      <c r="F15" t="s">
        <v>50</v>
      </c>
      <c r="G15" t="s">
        <v>25</v>
      </c>
      <c r="H15" t="s">
        <v>35</v>
      </c>
    </row>
    <row r="16" spans="1:8" x14ac:dyDescent="0.15">
      <c r="A16" t="s">
        <v>36</v>
      </c>
      <c r="C16">
        <v>4</v>
      </c>
      <c r="E16" t="s">
        <v>28</v>
      </c>
      <c r="F16" t="s">
        <v>51</v>
      </c>
      <c r="G16" t="s">
        <v>22</v>
      </c>
      <c r="H16" t="s">
        <v>37</v>
      </c>
    </row>
    <row r="17" spans="1:8" x14ac:dyDescent="0.15">
      <c r="A17" t="s">
        <v>38</v>
      </c>
      <c r="C17">
        <v>2</v>
      </c>
      <c r="E17" t="s">
        <v>28</v>
      </c>
      <c r="F17" t="s">
        <v>51</v>
      </c>
      <c r="G17" t="s">
        <v>21</v>
      </c>
      <c r="H17" t="s">
        <v>39</v>
      </c>
    </row>
    <row r="18" spans="1:8" x14ac:dyDescent="0.15">
      <c r="A18" t="s">
        <v>40</v>
      </c>
      <c r="C18">
        <v>3</v>
      </c>
      <c r="E18" t="s">
        <v>28</v>
      </c>
      <c r="F18" t="s">
        <v>52</v>
      </c>
      <c r="G18" t="s">
        <v>22</v>
      </c>
      <c r="H18" t="s">
        <v>413</v>
      </c>
    </row>
    <row r="19" spans="1:8" x14ac:dyDescent="0.15">
      <c r="A19" t="s">
        <v>53</v>
      </c>
      <c r="C19">
        <v>3</v>
      </c>
      <c r="E19" t="s">
        <v>54</v>
      </c>
      <c r="F19" t="s">
        <v>55</v>
      </c>
      <c r="G19" t="s">
        <v>24</v>
      </c>
      <c r="H19" t="s">
        <v>56</v>
      </c>
    </row>
    <row r="20" spans="1:8" x14ac:dyDescent="0.15">
      <c r="A20" t="s">
        <v>57</v>
      </c>
      <c r="C20">
        <v>4</v>
      </c>
      <c r="E20" t="s">
        <v>54</v>
      </c>
      <c r="F20" t="s">
        <v>50</v>
      </c>
      <c r="G20" t="s">
        <v>21</v>
      </c>
    </row>
    <row r="21" spans="1:8" x14ac:dyDescent="0.15">
      <c r="A21" t="s">
        <v>58</v>
      </c>
      <c r="C21">
        <v>3</v>
      </c>
      <c r="E21" t="s">
        <v>54</v>
      </c>
      <c r="F21" t="s">
        <v>59</v>
      </c>
      <c r="G21" t="s">
        <v>24</v>
      </c>
      <c r="H21" t="s">
        <v>60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1:W58"/>
  <sheetViews>
    <sheetView workbookViewId="0">
      <selection activeCell="C5" sqref="C5"/>
    </sheetView>
  </sheetViews>
  <sheetFormatPr defaultRowHeight="13.5" x14ac:dyDescent="0.15"/>
  <cols>
    <col min="1" max="1" width="3.5" bestFit="1" customWidth="1"/>
    <col min="2" max="2" width="18.75" customWidth="1"/>
    <col min="3" max="3" width="4.75" bestFit="1" customWidth="1"/>
    <col min="4" max="4" width="3.5" bestFit="1" customWidth="1"/>
    <col min="5" max="5" width="4" bestFit="1" customWidth="1"/>
    <col min="6" max="6" width="2" bestFit="1" customWidth="1"/>
    <col min="7" max="7" width="4.875" bestFit="1" customWidth="1"/>
    <col min="8" max="8" width="12.625" customWidth="1"/>
    <col min="9" max="9" width="20.75" style="1" customWidth="1"/>
    <col min="10" max="10" width="3.5" bestFit="1" customWidth="1"/>
    <col min="11" max="11" width="2.5" bestFit="1" customWidth="1"/>
    <col min="12" max="12" width="3.5" bestFit="1" customWidth="1"/>
    <col min="13" max="13" width="2.5" bestFit="1" customWidth="1"/>
    <col min="14" max="14" width="3.5" bestFit="1" customWidth="1"/>
    <col min="15" max="17" width="3.75" customWidth="1"/>
    <col min="18" max="18" width="3.625" customWidth="1"/>
    <col min="19" max="22" width="3.75" customWidth="1"/>
    <col min="23" max="23" width="3.625" customWidth="1"/>
  </cols>
  <sheetData>
    <row r="1" spans="1:21" x14ac:dyDescent="0.15">
      <c r="P1" t="s">
        <v>80</v>
      </c>
      <c r="Q1" t="s">
        <v>145</v>
      </c>
      <c r="R1" t="s">
        <v>255</v>
      </c>
      <c r="S1" t="s">
        <v>97</v>
      </c>
      <c r="T1" t="s">
        <v>99</v>
      </c>
      <c r="U1" t="s">
        <v>83</v>
      </c>
    </row>
    <row r="4" spans="1:21" ht="14.25" thickBot="1" x14ac:dyDescent="0.2">
      <c r="A4">
        <f>SUM(A5:A39)</f>
        <v>0</v>
      </c>
    </row>
    <row r="5" spans="1:21" x14ac:dyDescent="0.15">
      <c r="A5" s="2"/>
      <c r="G5" s="5"/>
      <c r="H5" s="5"/>
      <c r="J5" t="str">
        <f t="shared" ref="J5" si="0">IF(AND(ISBLANK(D5),ISBLANK(E5)),"",D5+LEN(E5))</f>
        <v/>
      </c>
      <c r="K5">
        <f>A5</f>
        <v>0</v>
      </c>
    </row>
    <row r="6" spans="1:21" x14ac:dyDescent="0.15">
      <c r="A6" s="3"/>
      <c r="G6" s="5"/>
      <c r="J6" t="str">
        <f>IF(AND(ISBLANK(D6),ISBLANK(E6)),"",D6+LEN(E6))</f>
        <v/>
      </c>
      <c r="K6">
        <f>A6</f>
        <v>0</v>
      </c>
    </row>
    <row r="7" spans="1:21" x14ac:dyDescent="0.15">
      <c r="A7" s="3"/>
      <c r="G7" s="5"/>
      <c r="J7" t="str">
        <f t="shared" ref="J7:J31" si="1">IF(AND(ISBLANK(D7),ISBLANK(E7)),"",D7+LEN(E7))</f>
        <v/>
      </c>
      <c r="K7">
        <f t="shared" ref="K7:K31" si="2">A7</f>
        <v>0</v>
      </c>
    </row>
    <row r="8" spans="1:21" x14ac:dyDescent="0.15">
      <c r="A8" s="3"/>
      <c r="G8" s="5"/>
      <c r="H8" s="5"/>
      <c r="J8" t="str">
        <f t="shared" si="1"/>
        <v/>
      </c>
      <c r="K8">
        <f t="shared" si="2"/>
        <v>0</v>
      </c>
    </row>
    <row r="9" spans="1:21" x14ac:dyDescent="0.15">
      <c r="A9" s="3"/>
      <c r="G9" s="5"/>
      <c r="H9" s="5"/>
      <c r="J9" t="str">
        <f t="shared" si="1"/>
        <v/>
      </c>
      <c r="K9">
        <f t="shared" si="2"/>
        <v>0</v>
      </c>
    </row>
    <row r="10" spans="1:21" x14ac:dyDescent="0.15">
      <c r="A10" s="3"/>
      <c r="G10" s="5"/>
      <c r="H10" s="5"/>
      <c r="J10" t="str">
        <f t="shared" si="1"/>
        <v/>
      </c>
      <c r="K10">
        <f t="shared" si="2"/>
        <v>0</v>
      </c>
    </row>
    <row r="11" spans="1:21" x14ac:dyDescent="0.15">
      <c r="A11" s="3"/>
      <c r="G11" s="5"/>
      <c r="H11" s="5"/>
      <c r="J11" t="str">
        <f t="shared" si="1"/>
        <v/>
      </c>
      <c r="K11">
        <f t="shared" si="2"/>
        <v>0</v>
      </c>
    </row>
    <row r="12" spans="1:21" x14ac:dyDescent="0.15">
      <c r="A12" s="3"/>
      <c r="G12" s="5"/>
      <c r="H12" s="5"/>
      <c r="J12" t="str">
        <f t="shared" si="1"/>
        <v/>
      </c>
      <c r="K12">
        <f t="shared" si="2"/>
        <v>0</v>
      </c>
    </row>
    <row r="13" spans="1:21" x14ac:dyDescent="0.15">
      <c r="A13" s="3"/>
      <c r="G13" s="5"/>
      <c r="H13" s="5"/>
      <c r="J13" t="str">
        <f t="shared" si="1"/>
        <v/>
      </c>
      <c r="K13">
        <f t="shared" si="2"/>
        <v>0</v>
      </c>
    </row>
    <row r="14" spans="1:21" x14ac:dyDescent="0.15">
      <c r="A14" s="3"/>
      <c r="G14" s="5"/>
      <c r="H14" s="5"/>
      <c r="J14" t="str">
        <f t="shared" si="1"/>
        <v/>
      </c>
      <c r="K14">
        <f t="shared" si="2"/>
        <v>0</v>
      </c>
    </row>
    <row r="15" spans="1:21" x14ac:dyDescent="0.15">
      <c r="A15" s="3"/>
      <c r="G15" s="5"/>
      <c r="H15" s="5"/>
      <c r="J15" t="str">
        <f t="shared" si="1"/>
        <v/>
      </c>
      <c r="K15">
        <f t="shared" si="2"/>
        <v>0</v>
      </c>
    </row>
    <row r="16" spans="1:21" x14ac:dyDescent="0.15">
      <c r="A16" s="3"/>
      <c r="G16" s="5"/>
      <c r="H16" s="5"/>
      <c r="J16" t="str">
        <f t="shared" si="1"/>
        <v/>
      </c>
      <c r="K16">
        <f t="shared" si="2"/>
        <v>0</v>
      </c>
    </row>
    <row r="17" spans="1:11" x14ac:dyDescent="0.15">
      <c r="A17" s="3"/>
      <c r="G17" s="5"/>
      <c r="H17" s="5"/>
      <c r="J17" t="str">
        <f t="shared" si="1"/>
        <v/>
      </c>
      <c r="K17">
        <f t="shared" si="2"/>
        <v>0</v>
      </c>
    </row>
    <row r="18" spans="1:11" x14ac:dyDescent="0.15">
      <c r="A18" s="3"/>
      <c r="G18" s="5"/>
      <c r="H18" s="5"/>
      <c r="J18" t="str">
        <f t="shared" si="1"/>
        <v/>
      </c>
      <c r="K18">
        <f t="shared" si="2"/>
        <v>0</v>
      </c>
    </row>
    <row r="19" spans="1:11" x14ac:dyDescent="0.15">
      <c r="A19" s="3"/>
      <c r="G19" s="5"/>
      <c r="H19" s="5"/>
      <c r="J19" t="str">
        <f t="shared" si="1"/>
        <v/>
      </c>
      <c r="K19">
        <f t="shared" si="2"/>
        <v>0</v>
      </c>
    </row>
    <row r="20" spans="1:11" x14ac:dyDescent="0.15">
      <c r="A20" s="3"/>
      <c r="G20" s="5"/>
      <c r="H20" s="5"/>
      <c r="J20" t="str">
        <f t="shared" si="1"/>
        <v/>
      </c>
      <c r="K20">
        <f t="shared" si="2"/>
        <v>0</v>
      </c>
    </row>
    <row r="21" spans="1:11" x14ac:dyDescent="0.15">
      <c r="A21" s="3"/>
      <c r="G21" s="5"/>
      <c r="H21" s="5"/>
      <c r="J21" t="str">
        <f t="shared" si="1"/>
        <v/>
      </c>
      <c r="K21">
        <f t="shared" si="2"/>
        <v>0</v>
      </c>
    </row>
    <row r="22" spans="1:11" x14ac:dyDescent="0.15">
      <c r="A22" s="3"/>
      <c r="G22" s="5"/>
      <c r="J22" t="str">
        <f>IF(AND(ISBLANK(D22),ISBLANK(E22)),"",D22+LEN(E22))</f>
        <v/>
      </c>
      <c r="K22">
        <f>A22</f>
        <v>0</v>
      </c>
    </row>
    <row r="23" spans="1:11" x14ac:dyDescent="0.15">
      <c r="A23" s="3"/>
      <c r="G23" s="5"/>
      <c r="J23" t="str">
        <f>IF(AND(ISBLANK(D23),ISBLANK(E23)),"",D23+LEN(E23))</f>
        <v/>
      </c>
      <c r="K23">
        <f>A23</f>
        <v>0</v>
      </c>
    </row>
    <row r="24" spans="1:11" x14ac:dyDescent="0.15">
      <c r="A24" s="3"/>
      <c r="G24" s="5"/>
      <c r="H24" s="5"/>
      <c r="J24" t="str">
        <f t="shared" si="1"/>
        <v/>
      </c>
      <c r="K24">
        <f t="shared" si="2"/>
        <v>0</v>
      </c>
    </row>
    <row r="25" spans="1:11" x14ac:dyDescent="0.15">
      <c r="A25" s="3"/>
      <c r="G25" s="5"/>
      <c r="H25" s="5"/>
      <c r="J25" t="str">
        <f t="shared" si="1"/>
        <v/>
      </c>
      <c r="K25">
        <f t="shared" si="2"/>
        <v>0</v>
      </c>
    </row>
    <row r="26" spans="1:11" x14ac:dyDescent="0.15">
      <c r="A26" s="3"/>
      <c r="G26" s="5"/>
      <c r="H26" s="5"/>
      <c r="J26" t="str">
        <f t="shared" si="1"/>
        <v/>
      </c>
      <c r="K26">
        <f t="shared" si="2"/>
        <v>0</v>
      </c>
    </row>
    <row r="27" spans="1:11" x14ac:dyDescent="0.15">
      <c r="A27" s="3"/>
      <c r="G27" s="5"/>
      <c r="H27" s="5"/>
      <c r="J27" t="str">
        <f t="shared" si="1"/>
        <v/>
      </c>
      <c r="K27">
        <f t="shared" si="2"/>
        <v>0</v>
      </c>
    </row>
    <row r="28" spans="1:11" x14ac:dyDescent="0.15">
      <c r="A28" s="3"/>
      <c r="G28" s="5"/>
      <c r="H28" s="5"/>
      <c r="J28" t="str">
        <f t="shared" si="1"/>
        <v/>
      </c>
      <c r="K28">
        <f t="shared" si="2"/>
        <v>0</v>
      </c>
    </row>
    <row r="29" spans="1:11" x14ac:dyDescent="0.15">
      <c r="A29" s="3"/>
      <c r="G29" s="5"/>
      <c r="J29" t="str">
        <f t="shared" si="1"/>
        <v/>
      </c>
      <c r="K29">
        <f t="shared" si="2"/>
        <v>0</v>
      </c>
    </row>
    <row r="30" spans="1:11" x14ac:dyDescent="0.15">
      <c r="A30" s="3"/>
      <c r="G30" s="5"/>
      <c r="J30" t="str">
        <f t="shared" si="1"/>
        <v/>
      </c>
      <c r="K30">
        <f t="shared" si="2"/>
        <v>0</v>
      </c>
    </row>
    <row r="31" spans="1:11" ht="14.25" thickBot="1" x14ac:dyDescent="0.2">
      <c r="A31" s="3"/>
      <c r="J31" t="str">
        <f t="shared" si="1"/>
        <v/>
      </c>
      <c r="K31">
        <f t="shared" si="2"/>
        <v>0</v>
      </c>
    </row>
    <row r="32" spans="1:11" x14ac:dyDescent="0.15">
      <c r="A32" s="2"/>
    </row>
    <row r="33" spans="1:8" x14ac:dyDescent="0.15">
      <c r="A33" s="3"/>
    </row>
    <row r="34" spans="1:8" x14ac:dyDescent="0.15">
      <c r="A34" s="3"/>
    </row>
    <row r="35" spans="1:8" x14ac:dyDescent="0.15">
      <c r="A35" s="3"/>
    </row>
    <row r="36" spans="1:8" x14ac:dyDescent="0.15">
      <c r="A36" s="3"/>
    </row>
    <row r="37" spans="1:8" x14ac:dyDescent="0.15">
      <c r="A37" s="3"/>
    </row>
    <row r="38" spans="1:8" x14ac:dyDescent="0.15">
      <c r="A38" s="3"/>
    </row>
    <row r="39" spans="1:8" ht="14.25" thickBot="1" x14ac:dyDescent="0.2">
      <c r="A39" s="4"/>
    </row>
    <row r="40" spans="1:8" x14ac:dyDescent="0.15">
      <c r="A40">
        <f>SUM(A32:A39)</f>
        <v>0</v>
      </c>
    </row>
    <row r="42" spans="1:8" ht="14.25" thickBot="1" x14ac:dyDescent="0.2"/>
    <row r="43" spans="1:8" x14ac:dyDescent="0.15">
      <c r="A43" s="2"/>
    </row>
    <row r="44" spans="1:8" x14ac:dyDescent="0.15">
      <c r="A44" s="3"/>
      <c r="G44" s="5"/>
    </row>
    <row r="45" spans="1:8" x14ac:dyDescent="0.15">
      <c r="A45" s="3"/>
      <c r="G45" s="5"/>
      <c r="H45" s="5"/>
    </row>
    <row r="46" spans="1:8" x14ac:dyDescent="0.15">
      <c r="A46" s="3"/>
      <c r="G46" s="5"/>
    </row>
    <row r="47" spans="1:8" x14ac:dyDescent="0.15">
      <c r="A47" s="3"/>
      <c r="G47" s="5"/>
    </row>
    <row r="48" spans="1:8" x14ac:dyDescent="0.15">
      <c r="A48" s="3"/>
      <c r="G48" s="5"/>
    </row>
    <row r="49" spans="1:23" x14ac:dyDescent="0.15">
      <c r="A49" s="3"/>
    </row>
    <row r="50" spans="1:23" x14ac:dyDescent="0.15">
      <c r="A50" s="3"/>
    </row>
    <row r="51" spans="1:23" x14ac:dyDescent="0.15">
      <c r="A51" s="3"/>
    </row>
    <row r="52" spans="1:23" ht="14.25" thickBot="1" x14ac:dyDescent="0.2">
      <c r="A52" s="3"/>
    </row>
    <row r="53" spans="1:23" ht="14.25" thickBot="1" x14ac:dyDescent="0.2">
      <c r="A53" s="6">
        <f>SUM(A43:A52)</f>
        <v>0</v>
      </c>
      <c r="P53" s="7">
        <v>0</v>
      </c>
      <c r="Q53" s="8">
        <v>1</v>
      </c>
      <c r="R53" s="8">
        <v>2</v>
      </c>
      <c r="S53" s="8">
        <v>3</v>
      </c>
      <c r="T53" s="8">
        <v>4</v>
      </c>
      <c r="U53" s="8">
        <v>5</v>
      </c>
      <c r="V53" s="8">
        <v>6</v>
      </c>
      <c r="W53" s="9">
        <v>7</v>
      </c>
    </row>
    <row r="54" spans="1:23" ht="14.25" thickBot="1" x14ac:dyDescent="0.2">
      <c r="P54" s="10">
        <f t="shared" ref="P54:V54" si="3">SUMIF($J5:$J31,P53,$A5:$A31)</f>
        <v>0</v>
      </c>
      <c r="Q54" s="11">
        <f t="shared" si="3"/>
        <v>0</v>
      </c>
      <c r="R54" s="11">
        <f t="shared" si="3"/>
        <v>0</v>
      </c>
      <c r="S54" s="11">
        <f t="shared" si="3"/>
        <v>0</v>
      </c>
      <c r="T54" s="11">
        <f t="shared" si="3"/>
        <v>0</v>
      </c>
      <c r="U54" s="11">
        <f t="shared" si="3"/>
        <v>0</v>
      </c>
      <c r="V54" s="11">
        <f t="shared" si="3"/>
        <v>0</v>
      </c>
      <c r="W54" s="12">
        <f>SUMIF($J5:$J31,"&gt;6",$A5:$A31)</f>
        <v>0</v>
      </c>
    </row>
    <row r="56" spans="1:23" ht="14.25" thickBot="1" x14ac:dyDescent="0.2"/>
    <row r="57" spans="1:23" x14ac:dyDescent="0.15">
      <c r="P57" s="7" t="s">
        <v>3</v>
      </c>
      <c r="Q57" s="8" t="s">
        <v>6</v>
      </c>
      <c r="R57" s="8" t="s">
        <v>5</v>
      </c>
      <c r="S57" s="8" t="s">
        <v>7</v>
      </c>
      <c r="T57" s="8" t="s">
        <v>8</v>
      </c>
      <c r="U57" s="8" t="s">
        <v>10</v>
      </c>
      <c r="V57" s="9" t="s">
        <v>9</v>
      </c>
    </row>
    <row r="58" spans="1:23" ht="14.25" thickBot="1" x14ac:dyDescent="0.2">
      <c r="P58" s="10">
        <f t="shared" ref="P58:U58" si="4">SUMIF($F5:$F31,P57,$A5:$A31)</f>
        <v>0</v>
      </c>
      <c r="Q58" s="11">
        <f t="shared" si="4"/>
        <v>0</v>
      </c>
      <c r="R58" s="11">
        <f t="shared" si="4"/>
        <v>0</v>
      </c>
      <c r="S58" s="11">
        <f t="shared" si="4"/>
        <v>0</v>
      </c>
      <c r="T58" s="11">
        <f t="shared" si="4"/>
        <v>0</v>
      </c>
      <c r="U58" s="11">
        <f t="shared" si="4"/>
        <v>0</v>
      </c>
      <c r="V58" s="12">
        <f>A40</f>
        <v>0</v>
      </c>
    </row>
  </sheetData>
  <phoneticPr fontId="1"/>
  <dataValidations count="1">
    <dataValidation type="list" allowBlank="1" showInputMessage="1" showErrorMessage="1" sqref="C5:C31">
      <formula1>$P$1:$U$1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22</vt:i4>
      </vt:variant>
    </vt:vector>
  </HeadingPairs>
  <TitlesOfParts>
    <vt:vector size="22" baseType="lpstr">
      <vt:lpstr>BR_act</vt:lpstr>
      <vt:lpstr>Revolt</vt:lpstr>
      <vt:lpstr>WB_Revolt</vt:lpstr>
      <vt:lpstr>WB_Revolt (2)</vt:lpstr>
      <vt:lpstr>UB</vt:lpstr>
      <vt:lpstr>UB (2)</vt:lpstr>
      <vt:lpstr>UBdelber</vt:lpstr>
      <vt:lpstr>WB_LL</vt:lpstr>
      <vt:lpstr>banthuman</vt:lpstr>
      <vt:lpstr>Dog&amp;Boats</vt:lpstr>
      <vt:lpstr>UBG即席</vt:lpstr>
      <vt:lpstr>FePanha</vt:lpstr>
      <vt:lpstr>BRmadness2</vt:lpstr>
      <vt:lpstr>UG即席</vt:lpstr>
      <vt:lpstr>URdelber</vt:lpstr>
      <vt:lpstr>RGEld</vt:lpstr>
      <vt:lpstr>GWUPW</vt:lpstr>
      <vt:lpstr>BRMad</vt:lpstr>
      <vt:lpstr>BR_act (2)</vt:lpstr>
      <vt:lpstr>magmaros</vt:lpstr>
      <vt:lpstr>Sheet2</vt:lpstr>
      <vt:lpstr>tenpl</vt:lpstr>
    </vt:vector>
  </TitlesOfParts>
  <Company>*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*</dc:creator>
  <cp:lastModifiedBy>*</cp:lastModifiedBy>
  <cp:lastPrinted>2017-02-28T07:40:41Z</cp:lastPrinted>
  <dcterms:created xsi:type="dcterms:W3CDTF">2015-10-06T01:53:56Z</dcterms:created>
  <dcterms:modified xsi:type="dcterms:W3CDTF">2017-08-22T07:56:36Z</dcterms:modified>
</cp:coreProperties>
</file>