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mamura\Documents\MTGPQ\OMA\OMA\"/>
    </mc:Choice>
  </mc:AlternateContent>
  <bookViews>
    <workbookView xWindow="480" yWindow="30" windowWidth="19260" windowHeight="6300" activeTab="3"/>
  </bookViews>
  <sheets>
    <sheet name="Sheet3" sheetId="3" r:id="rId1"/>
    <sheet name="Sheet4" sheetId="4" r:id="rId2"/>
    <sheet name="Sheet1" sheetId="5" r:id="rId3"/>
    <sheet name="テスト" sheetId="6" r:id="rId4"/>
    <sheet name="Sheet5" sheetId="7" r:id="rId5"/>
    <sheet name="Sheet6" sheetId="8" r:id="rId6"/>
    <sheet name="Sheet7" sheetId="11" r:id="rId7"/>
    <sheet name="Sheet8" sheetId="12" r:id="rId8"/>
  </sheets>
  <definedNames>
    <definedName name="_xlnm._FilterDatabase" localSheetId="7" hidden="1">Sheet8!$A$3:$B$362</definedName>
  </definedNames>
  <calcPr calcId="162913" refMode="R1C1"/>
</workbook>
</file>

<file path=xl/calcChain.xml><?xml version="1.0" encoding="utf-8"?>
<calcChain xmlns="http://schemas.openxmlformats.org/spreadsheetml/2006/main">
  <c r="G42" i="6" l="1"/>
  <c r="N2" i="12" l="1"/>
  <c r="K2" i="12"/>
  <c r="D2" i="12"/>
  <c r="E2" i="12"/>
  <c r="F2" i="12"/>
  <c r="G2" i="12"/>
  <c r="H2" i="12"/>
  <c r="I2" i="12"/>
  <c r="J2" i="12"/>
  <c r="L2" i="12"/>
  <c r="M2" i="12"/>
  <c r="O2" i="12"/>
  <c r="P2" i="12"/>
  <c r="Q2" i="12"/>
  <c r="R2" i="12"/>
  <c r="S2" i="12"/>
  <c r="T2" i="12"/>
  <c r="U2" i="12"/>
  <c r="V2" i="12"/>
  <c r="W2" i="12"/>
  <c r="X2" i="12"/>
  <c r="Y2" i="12"/>
  <c r="C2" i="12"/>
  <c r="AC149" i="6" l="1"/>
  <c r="AC132" i="6"/>
  <c r="AC119" i="6"/>
  <c r="AC102" i="6"/>
  <c r="AC86" i="6"/>
  <c r="AC69" i="6" l="1"/>
  <c r="AC51" i="6"/>
  <c r="AC34" i="6"/>
  <c r="D28" i="6" l="1"/>
  <c r="D44" i="6"/>
  <c r="D60" i="6"/>
  <c r="D76" i="6"/>
  <c r="D92" i="6"/>
  <c r="D108" i="6"/>
  <c r="D124" i="6"/>
  <c r="D140" i="6"/>
  <c r="D156" i="6"/>
  <c r="D172" i="6"/>
  <c r="D188" i="6"/>
  <c r="D204" i="6"/>
  <c r="D220" i="6"/>
  <c r="D236" i="6"/>
  <c r="D252" i="6"/>
  <c r="D268" i="6"/>
  <c r="D284" i="6"/>
  <c r="D300" i="6"/>
  <c r="D316" i="6"/>
  <c r="D332" i="6"/>
  <c r="D348" i="6"/>
  <c r="D364" i="6"/>
  <c r="D380" i="6"/>
  <c r="D396" i="6"/>
  <c r="D412" i="6"/>
  <c r="D428" i="6"/>
  <c r="D444" i="6"/>
  <c r="D460" i="6"/>
  <c r="D476" i="6"/>
  <c r="D492" i="6"/>
  <c r="D508" i="6"/>
  <c r="D524" i="6"/>
  <c r="D540" i="6"/>
  <c r="D556" i="6"/>
  <c r="D572" i="6"/>
  <c r="D12" i="6"/>
  <c r="G5" i="6"/>
  <c r="V10" i="5"/>
  <c r="D219" i="6" s="1"/>
  <c r="AH4" i="5" l="1"/>
  <c r="AI4" i="5"/>
  <c r="AI13" i="5" s="1"/>
  <c r="AJ4" i="5"/>
  <c r="AJ13" i="5" s="1"/>
  <c r="D112" i="6" s="1"/>
  <c r="AK4" i="5"/>
  <c r="AK13" i="5" s="1"/>
  <c r="AL4" i="5"/>
  <c r="AM4" i="5"/>
  <c r="AM13" i="5" s="1"/>
  <c r="AN4" i="5"/>
  <c r="AN13" i="5" s="1"/>
  <c r="D144" i="6" s="1"/>
  <c r="AO4" i="5"/>
  <c r="AP4" i="5"/>
  <c r="AP13" i="5" s="1"/>
  <c r="AQ4" i="5"/>
  <c r="AQ13" i="5" s="1"/>
  <c r="D320" i="6" s="1"/>
  <c r="AH5" i="5"/>
  <c r="AH14" i="5" s="1"/>
  <c r="AI5" i="5"/>
  <c r="AI14" i="5" s="1"/>
  <c r="AJ5" i="5"/>
  <c r="AK5" i="5"/>
  <c r="AK14" i="5" s="1"/>
  <c r="AL5" i="5"/>
  <c r="AL14" i="5" s="1"/>
  <c r="AM5" i="5"/>
  <c r="AM14" i="5" s="1"/>
  <c r="AN5" i="5"/>
  <c r="AN14" i="5" s="1"/>
  <c r="D288" i="6" s="1"/>
  <c r="AO5" i="5"/>
  <c r="AO14" i="5" s="1"/>
  <c r="D576" i="6" s="1"/>
  <c r="AP5" i="5"/>
  <c r="AQ5" i="5"/>
  <c r="AQ14" i="5" s="1"/>
  <c r="AH6" i="5"/>
  <c r="AH15" i="5" s="1"/>
  <c r="AI6" i="5"/>
  <c r="AJ6" i="5"/>
  <c r="AK6" i="5"/>
  <c r="AK15" i="5" s="1"/>
  <c r="AL6" i="5"/>
  <c r="AL15" i="5" s="1"/>
  <c r="AM6" i="5"/>
  <c r="AM15" i="5" s="1"/>
  <c r="AN6" i="5"/>
  <c r="AN15" i="5" s="1"/>
  <c r="D256" i="6" s="1"/>
  <c r="AO6" i="5"/>
  <c r="AO15" i="5" s="1"/>
  <c r="D464" i="6" s="1"/>
  <c r="AP6" i="5"/>
  <c r="AP15" i="5" s="1"/>
  <c r="AQ6" i="5"/>
  <c r="AH7" i="5"/>
  <c r="AH16" i="5" s="1"/>
  <c r="AI7" i="5"/>
  <c r="AI16" i="5" s="1"/>
  <c r="AJ7" i="5"/>
  <c r="AJ16" i="5" s="1"/>
  <c r="D176" i="6" s="1"/>
  <c r="AK7" i="5"/>
  <c r="AK16" i="5" s="1"/>
  <c r="AL7" i="5"/>
  <c r="AL16" i="5" s="1"/>
  <c r="AM7" i="5"/>
  <c r="AM16" i="5" s="1"/>
  <c r="AN7" i="5"/>
  <c r="AN16" i="5" s="1"/>
  <c r="AO7" i="5"/>
  <c r="AO16" i="5" s="1"/>
  <c r="AP7" i="5"/>
  <c r="AP16" i="5" s="1"/>
  <c r="AQ7" i="5"/>
  <c r="AH8" i="5"/>
  <c r="AH17" i="5" s="1"/>
  <c r="AI8" i="5"/>
  <c r="AI17" i="5" s="1"/>
  <c r="AJ8" i="5"/>
  <c r="AJ17" i="5" s="1"/>
  <c r="AK8" i="5"/>
  <c r="AK17" i="5" s="1"/>
  <c r="D416" i="6" s="1"/>
  <c r="AL8" i="5"/>
  <c r="AL17" i="5" s="1"/>
  <c r="AM8" i="5"/>
  <c r="AN8" i="5"/>
  <c r="AN17" i="5" s="1"/>
  <c r="AO8" i="5"/>
  <c r="AO17" i="5" s="1"/>
  <c r="AP8" i="5"/>
  <c r="AP17" i="5" s="1"/>
  <c r="AQ8" i="5"/>
  <c r="AH9" i="5"/>
  <c r="AH18" i="5" s="1"/>
  <c r="AI9" i="5"/>
  <c r="AI18" i="5" s="1"/>
  <c r="AJ9" i="5"/>
  <c r="AJ18" i="5" s="1"/>
  <c r="AK9" i="5"/>
  <c r="AK18" i="5" s="1"/>
  <c r="D96" i="6" s="1"/>
  <c r="AL9" i="5"/>
  <c r="AL18" i="5" s="1"/>
  <c r="AM9" i="5"/>
  <c r="AM18" i="5" s="1"/>
  <c r="D496" i="6" s="1"/>
  <c r="AN9" i="5"/>
  <c r="AN18" i="5" s="1"/>
  <c r="AO9" i="5"/>
  <c r="AP9" i="5"/>
  <c r="AP18" i="5" s="1"/>
  <c r="AQ9" i="5"/>
  <c r="AQ18" i="5" s="1"/>
  <c r="AH10" i="5"/>
  <c r="D272" i="6" s="1"/>
  <c r="AI10" i="5"/>
  <c r="AJ10" i="5"/>
  <c r="D400" i="6" s="1"/>
  <c r="AK10" i="5"/>
  <c r="AL10" i="5"/>
  <c r="D432" i="6" s="1"/>
  <c r="AM10" i="5"/>
  <c r="D192" i="6" s="1"/>
  <c r="AN10" i="5"/>
  <c r="AO10" i="5"/>
  <c r="AP10" i="5"/>
  <c r="AQ10" i="5"/>
  <c r="AH11" i="5"/>
  <c r="AI11" i="5"/>
  <c r="D160" i="6" s="1"/>
  <c r="AJ11" i="5"/>
  <c r="D208" i="6" s="1"/>
  <c r="AK11" i="5"/>
  <c r="AL11" i="5"/>
  <c r="AM11" i="5"/>
  <c r="AN11" i="5"/>
  <c r="AO11" i="5"/>
  <c r="AP11" i="5"/>
  <c r="AQ11" i="5"/>
  <c r="AI3" i="5"/>
  <c r="AI12" i="5" s="1"/>
  <c r="AJ3" i="5"/>
  <c r="AJ12" i="5" s="1"/>
  <c r="AK3" i="5"/>
  <c r="AK12" i="5" s="1"/>
  <c r="AL3" i="5"/>
  <c r="AM3" i="5"/>
  <c r="AN3" i="5"/>
  <c r="AN12" i="5" s="1"/>
  <c r="AO3" i="5"/>
  <c r="AO12" i="5" s="1"/>
  <c r="AP3" i="5"/>
  <c r="AP12" i="5" s="1"/>
  <c r="AQ3" i="5"/>
  <c r="AH3" i="5"/>
  <c r="X4" i="5"/>
  <c r="X13" i="5" s="1"/>
  <c r="X22" i="5" s="1"/>
  <c r="X31" i="5" s="1"/>
  <c r="D189" i="6" s="1"/>
  <c r="Y4" i="5"/>
  <c r="Z4" i="5"/>
  <c r="AA4" i="5"/>
  <c r="AB4" i="5"/>
  <c r="AB13" i="5" s="1"/>
  <c r="AC4" i="5"/>
  <c r="AD4" i="5"/>
  <c r="AE4" i="5"/>
  <c r="AE13" i="5" s="1"/>
  <c r="AE22" i="5" s="1"/>
  <c r="AE31" i="5" s="1"/>
  <c r="AF4" i="5"/>
  <c r="AG4" i="5"/>
  <c r="X5" i="5"/>
  <c r="X14" i="5" s="1"/>
  <c r="X23" i="5" s="1"/>
  <c r="X32" i="5" s="1"/>
  <c r="Y5" i="5"/>
  <c r="Z5" i="5"/>
  <c r="Z14" i="5" s="1"/>
  <c r="Z23" i="5" s="1"/>
  <c r="Z32" i="5" s="1"/>
  <c r="AA5" i="5"/>
  <c r="AB5" i="5"/>
  <c r="AC5" i="5"/>
  <c r="AD5" i="5"/>
  <c r="AE5" i="5"/>
  <c r="AF5" i="5"/>
  <c r="AG5" i="5"/>
  <c r="X6" i="5"/>
  <c r="D573" i="6" s="1"/>
  <c r="Y6" i="5"/>
  <c r="Z6" i="5"/>
  <c r="AA6" i="5"/>
  <c r="AA15" i="5" s="1"/>
  <c r="AA24" i="5" s="1"/>
  <c r="AA33" i="5" s="1"/>
  <c r="AB6" i="5"/>
  <c r="AC6" i="5"/>
  <c r="D317" i="6" s="1"/>
  <c r="AD6" i="5"/>
  <c r="AE6" i="5"/>
  <c r="AE15" i="5" s="1"/>
  <c r="AE24" i="5" s="1"/>
  <c r="AE33" i="5" s="1"/>
  <c r="AF6" i="5"/>
  <c r="AG6" i="5"/>
  <c r="X7" i="5"/>
  <c r="Y7" i="5"/>
  <c r="Z7" i="5"/>
  <c r="AA7" i="5"/>
  <c r="AB7" i="5"/>
  <c r="AB16" i="5" s="1"/>
  <c r="AB25" i="5" s="1"/>
  <c r="AC7" i="5"/>
  <c r="AD7" i="5"/>
  <c r="AE7" i="5"/>
  <c r="D557" i="6" s="1"/>
  <c r="AF7" i="5"/>
  <c r="AG7" i="5"/>
  <c r="D109" i="6" s="1"/>
  <c r="X8" i="5"/>
  <c r="Y8" i="5"/>
  <c r="Z8" i="5"/>
  <c r="AA8" i="5"/>
  <c r="AB8" i="5"/>
  <c r="AC8" i="5"/>
  <c r="AD8" i="5"/>
  <c r="AE8" i="5"/>
  <c r="AF8" i="5"/>
  <c r="AG8" i="5"/>
  <c r="X9" i="5"/>
  <c r="Y9" i="5"/>
  <c r="Z9" i="5"/>
  <c r="AA9" i="5"/>
  <c r="AB9" i="5"/>
  <c r="AC9" i="5"/>
  <c r="AD9" i="5"/>
  <c r="AE9" i="5"/>
  <c r="AF9" i="5"/>
  <c r="AG9" i="5"/>
  <c r="X10" i="5"/>
  <c r="Y10" i="5"/>
  <c r="Z10" i="5"/>
  <c r="D13" i="6" s="1"/>
  <c r="AA10" i="5"/>
  <c r="AB10" i="5"/>
  <c r="D541" i="6" s="1"/>
  <c r="AC10" i="5"/>
  <c r="AD10" i="5"/>
  <c r="AE10" i="5"/>
  <c r="AF10" i="5"/>
  <c r="AG10" i="5"/>
  <c r="X11" i="5"/>
  <c r="X20" i="5" s="1"/>
  <c r="X29" i="5" s="1"/>
  <c r="X38" i="5" s="1"/>
  <c r="Y11" i="5"/>
  <c r="Y20" i="5" s="1"/>
  <c r="Y29" i="5" s="1"/>
  <c r="Z11" i="5"/>
  <c r="Z20" i="5" s="1"/>
  <c r="Z29" i="5" s="1"/>
  <c r="Z38" i="5" s="1"/>
  <c r="AA11" i="5"/>
  <c r="AA20" i="5" s="1"/>
  <c r="AA29" i="5" s="1"/>
  <c r="AA38" i="5" s="1"/>
  <c r="AB11" i="5"/>
  <c r="AB20" i="5" s="1"/>
  <c r="AB29" i="5" s="1"/>
  <c r="AC11" i="5"/>
  <c r="AC20" i="5" s="1"/>
  <c r="AC29" i="5" s="1"/>
  <c r="AC38" i="5" s="1"/>
  <c r="AD11" i="5"/>
  <c r="AD20" i="5" s="1"/>
  <c r="AD29" i="5" s="1"/>
  <c r="AD38" i="5" s="1"/>
  <c r="AE11" i="5"/>
  <c r="AE20" i="5" s="1"/>
  <c r="AE29" i="5" s="1"/>
  <c r="AE38" i="5" s="1"/>
  <c r="AF11" i="5"/>
  <c r="AF20" i="5" s="1"/>
  <c r="AF29" i="5" s="1"/>
  <c r="AF38" i="5" s="1"/>
  <c r="AG11" i="5"/>
  <c r="AG20" i="5" s="1"/>
  <c r="AG29" i="5" s="1"/>
  <c r="AG38" i="5" s="1"/>
  <c r="Y3" i="5"/>
  <c r="Y12" i="5" s="1"/>
  <c r="Y21" i="5" s="1"/>
  <c r="Y30" i="5" s="1"/>
  <c r="Z3" i="5"/>
  <c r="D61" i="6" s="1"/>
  <c r="AA3" i="5"/>
  <c r="AB3" i="5"/>
  <c r="AC3" i="5"/>
  <c r="AC12" i="5" s="1"/>
  <c r="AC21" i="5" s="1"/>
  <c r="AC30" i="5" s="1"/>
  <c r="AD3" i="5"/>
  <c r="AE3" i="5"/>
  <c r="AF3" i="5"/>
  <c r="AF12" i="5" s="1"/>
  <c r="AF21" i="5" s="1"/>
  <c r="AG3" i="5"/>
  <c r="AG12" i="5" s="1"/>
  <c r="AG21" i="5" s="1"/>
  <c r="AG30" i="5" s="1"/>
  <c r="X3" i="5"/>
  <c r="V4" i="5"/>
  <c r="D299" i="6" s="1"/>
  <c r="V5" i="5"/>
  <c r="D395" i="6" s="1"/>
  <c r="V6" i="5"/>
  <c r="D187" i="6" s="1"/>
  <c r="V7" i="5"/>
  <c r="D491" i="6" s="1"/>
  <c r="V8" i="5"/>
  <c r="D363" i="6" s="1"/>
  <c r="V9" i="5"/>
  <c r="D139" i="6" s="1"/>
  <c r="V18" i="5"/>
  <c r="V3" i="5"/>
  <c r="L4" i="5"/>
  <c r="Q28" i="5" s="1"/>
  <c r="M4" i="5"/>
  <c r="N4" i="5"/>
  <c r="S28" i="5" s="1"/>
  <c r="O4" i="5"/>
  <c r="T28" i="5" s="1"/>
  <c r="P4" i="5"/>
  <c r="Q4" i="5"/>
  <c r="Q10" i="5" s="1"/>
  <c r="Q16" i="5" s="1"/>
  <c r="Q22" i="5" s="1"/>
  <c r="R4" i="5"/>
  <c r="S4" i="5"/>
  <c r="N28" i="5" s="1"/>
  <c r="D135" i="6" s="1"/>
  <c r="T4" i="5"/>
  <c r="U4" i="5"/>
  <c r="P28" i="5" s="1"/>
  <c r="L5" i="5"/>
  <c r="L11" i="5" s="1"/>
  <c r="L17" i="5" s="1"/>
  <c r="L23" i="5" s="1"/>
  <c r="M5" i="5"/>
  <c r="R29" i="5" s="1"/>
  <c r="N5" i="5"/>
  <c r="S29" i="5" s="1"/>
  <c r="O5" i="5"/>
  <c r="T29" i="5" s="1"/>
  <c r="P5" i="5"/>
  <c r="P11" i="5" s="1"/>
  <c r="Q5" i="5"/>
  <c r="Q11" i="5" s="1"/>
  <c r="R5" i="5"/>
  <c r="R11" i="5" s="1"/>
  <c r="R17" i="5" s="1"/>
  <c r="R23" i="5" s="1"/>
  <c r="S5" i="5"/>
  <c r="N29" i="5" s="1"/>
  <c r="T5" i="5"/>
  <c r="O29" i="5" s="1"/>
  <c r="U5" i="5"/>
  <c r="U11" i="5" s="1"/>
  <c r="U17" i="5" s="1"/>
  <c r="U23" i="5" s="1"/>
  <c r="L6" i="5"/>
  <c r="M6" i="5"/>
  <c r="R30" i="5" s="1"/>
  <c r="D343" i="6" s="1"/>
  <c r="N6" i="5"/>
  <c r="S30" i="5" s="1"/>
  <c r="O6" i="5"/>
  <c r="T30" i="5" s="1"/>
  <c r="D23" i="6" s="1"/>
  <c r="P6" i="5"/>
  <c r="Q6" i="5"/>
  <c r="L30" i="5" s="1"/>
  <c r="R6" i="5"/>
  <c r="R12" i="5" s="1"/>
  <c r="R18" i="5" s="1"/>
  <c r="R24" i="5" s="1"/>
  <c r="S6" i="5"/>
  <c r="N30" i="5" s="1"/>
  <c r="T6" i="5"/>
  <c r="T12" i="5" s="1"/>
  <c r="T18" i="5" s="1"/>
  <c r="T24" i="5" s="1"/>
  <c r="U6" i="5"/>
  <c r="P30" i="5" s="1"/>
  <c r="L7" i="5"/>
  <c r="M7" i="5"/>
  <c r="N7" i="5"/>
  <c r="O7" i="5"/>
  <c r="O13" i="5" s="1"/>
  <c r="O19" i="5" s="1"/>
  <c r="O25" i="5" s="1"/>
  <c r="P7" i="5"/>
  <c r="D551" i="6" s="1"/>
  <c r="Q7" i="5"/>
  <c r="L31" i="5" s="1"/>
  <c r="R7" i="5"/>
  <c r="S7" i="5"/>
  <c r="N31" i="5" s="1"/>
  <c r="T7" i="5"/>
  <c r="O31" i="5" s="1"/>
  <c r="U7" i="5"/>
  <c r="P31" i="5" s="1"/>
  <c r="L8" i="5"/>
  <c r="Q32" i="5" s="1"/>
  <c r="M8" i="5"/>
  <c r="R32" i="5" s="1"/>
  <c r="N8" i="5"/>
  <c r="N14" i="5" s="1"/>
  <c r="N20" i="5" s="1"/>
  <c r="O8" i="5"/>
  <c r="O14" i="5" s="1"/>
  <c r="O20" i="5" s="1"/>
  <c r="O26" i="5" s="1"/>
  <c r="P8" i="5"/>
  <c r="Q8" i="5"/>
  <c r="L32" i="5" s="1"/>
  <c r="R8" i="5"/>
  <c r="S8" i="5"/>
  <c r="N32" i="5" s="1"/>
  <c r="T8" i="5"/>
  <c r="U8" i="5"/>
  <c r="M3" i="5"/>
  <c r="R27" i="5" s="1"/>
  <c r="N3" i="5"/>
  <c r="N9" i="5" s="1"/>
  <c r="N15" i="5" s="1"/>
  <c r="N21" i="5" s="1"/>
  <c r="O3" i="5"/>
  <c r="T27" i="5" s="1"/>
  <c r="D487" i="6" s="1"/>
  <c r="P3" i="5"/>
  <c r="U27" i="5" s="1"/>
  <c r="Q3" i="5"/>
  <c r="L27" i="5" s="1"/>
  <c r="R3" i="5"/>
  <c r="M27" i="5" s="1"/>
  <c r="S3" i="5"/>
  <c r="S9" i="5" s="1"/>
  <c r="S15" i="5" s="1"/>
  <c r="S21" i="5" s="1"/>
  <c r="T3" i="5"/>
  <c r="O27" i="5" s="1"/>
  <c r="U3" i="5"/>
  <c r="P27" i="5" s="1"/>
  <c r="D567" i="6" s="1"/>
  <c r="L3" i="5"/>
  <c r="B4" i="5"/>
  <c r="B11" i="5" s="1"/>
  <c r="B18" i="5" s="1"/>
  <c r="B25" i="5" s="1"/>
  <c r="C4" i="5"/>
  <c r="C11" i="5" s="1"/>
  <c r="C18" i="5" s="1"/>
  <c r="C25" i="5" s="1"/>
  <c r="D4" i="5"/>
  <c r="E4" i="5"/>
  <c r="J32" i="5" s="1"/>
  <c r="F4" i="5"/>
  <c r="F11" i="5" s="1"/>
  <c r="F18" i="5" s="1"/>
  <c r="F25" i="5" s="1"/>
  <c r="G4" i="5"/>
  <c r="B32" i="5" s="1"/>
  <c r="H4" i="5"/>
  <c r="I4" i="5"/>
  <c r="I11" i="5" s="1"/>
  <c r="I18" i="5" s="1"/>
  <c r="I25" i="5" s="1"/>
  <c r="J4" i="5"/>
  <c r="K4" i="5"/>
  <c r="B5" i="5"/>
  <c r="C5" i="5"/>
  <c r="H33" i="5" s="1"/>
  <c r="D5" i="5"/>
  <c r="E5" i="5"/>
  <c r="J33" i="5" s="1"/>
  <c r="F5" i="5"/>
  <c r="G5" i="5"/>
  <c r="G12" i="5" s="1"/>
  <c r="G19" i="5" s="1"/>
  <c r="G26" i="5" s="1"/>
  <c r="H5" i="5"/>
  <c r="D226" i="6" s="1"/>
  <c r="I5" i="5"/>
  <c r="J5" i="5"/>
  <c r="K5" i="5"/>
  <c r="K12" i="5" s="1"/>
  <c r="K19" i="5" s="1"/>
  <c r="K26" i="5" s="1"/>
  <c r="B6" i="5"/>
  <c r="B13" i="5" s="1"/>
  <c r="B20" i="5" s="1"/>
  <c r="B27" i="5" s="1"/>
  <c r="C6" i="5"/>
  <c r="H34" i="5" s="1"/>
  <c r="D6" i="5"/>
  <c r="D13" i="5" s="1"/>
  <c r="D20" i="5" s="1"/>
  <c r="D27" i="5" s="1"/>
  <c r="E6" i="5"/>
  <c r="F6" i="5"/>
  <c r="F13" i="5" s="1"/>
  <c r="F20" i="5" s="1"/>
  <c r="F27" i="5" s="1"/>
  <c r="G6" i="5"/>
  <c r="B34" i="5" s="1"/>
  <c r="H6" i="5"/>
  <c r="I6" i="5"/>
  <c r="D34" i="5" s="1"/>
  <c r="J6" i="5"/>
  <c r="K6" i="5"/>
  <c r="B7" i="5"/>
  <c r="B14" i="5" s="1"/>
  <c r="B21" i="5" s="1"/>
  <c r="B28" i="5" s="1"/>
  <c r="C7" i="5"/>
  <c r="H35" i="5" s="1"/>
  <c r="D7" i="5"/>
  <c r="D450" i="6" s="1"/>
  <c r="E7" i="5"/>
  <c r="E14" i="5" s="1"/>
  <c r="E21" i="5" s="1"/>
  <c r="E28" i="5" s="1"/>
  <c r="F7" i="5"/>
  <c r="F14" i="5" s="1"/>
  <c r="F21" i="5" s="1"/>
  <c r="F28" i="5" s="1"/>
  <c r="G7" i="5"/>
  <c r="B35" i="5" s="1"/>
  <c r="D306" i="6" s="1"/>
  <c r="H7" i="5"/>
  <c r="I7" i="5"/>
  <c r="I14" i="5" s="1"/>
  <c r="I21" i="5" s="1"/>
  <c r="I28" i="5" s="1"/>
  <c r="J7" i="5"/>
  <c r="J14" i="5" s="1"/>
  <c r="J21" i="5" s="1"/>
  <c r="J28" i="5" s="1"/>
  <c r="K7" i="5"/>
  <c r="F35" i="5" s="1"/>
  <c r="B8" i="5"/>
  <c r="G36" i="5" s="1"/>
  <c r="C8" i="5"/>
  <c r="C15" i="5" s="1"/>
  <c r="C22" i="5" s="1"/>
  <c r="C29" i="5" s="1"/>
  <c r="D8" i="5"/>
  <c r="I36" i="5" s="1"/>
  <c r="E8" i="5"/>
  <c r="J36" i="5" s="1"/>
  <c r="F8" i="5"/>
  <c r="K36" i="5" s="1"/>
  <c r="G8" i="5"/>
  <c r="B36" i="5" s="1"/>
  <c r="H8" i="5"/>
  <c r="H15" i="5" s="1"/>
  <c r="H22" i="5" s="1"/>
  <c r="H29" i="5" s="1"/>
  <c r="I8" i="5"/>
  <c r="I15" i="5" s="1"/>
  <c r="I22" i="5" s="1"/>
  <c r="I29" i="5" s="1"/>
  <c r="J8" i="5"/>
  <c r="J15" i="5" s="1"/>
  <c r="J22" i="5" s="1"/>
  <c r="J29" i="5" s="1"/>
  <c r="K8" i="5"/>
  <c r="B9" i="5"/>
  <c r="B16" i="5" s="1"/>
  <c r="B23" i="5" s="1"/>
  <c r="B30" i="5" s="1"/>
  <c r="C9" i="5"/>
  <c r="H37" i="5" s="1"/>
  <c r="D178" i="6" s="1"/>
  <c r="D9" i="5"/>
  <c r="E9" i="5"/>
  <c r="J37" i="5" s="1"/>
  <c r="F9" i="5"/>
  <c r="F16" i="5" s="1"/>
  <c r="G9" i="5"/>
  <c r="B37" i="5" s="1"/>
  <c r="H9" i="5"/>
  <c r="H16" i="5" s="1"/>
  <c r="H23" i="5" s="1"/>
  <c r="H30" i="5" s="1"/>
  <c r="I9" i="5"/>
  <c r="D37" i="5" s="1"/>
  <c r="J9" i="5"/>
  <c r="J16" i="5" s="1"/>
  <c r="J23" i="5" s="1"/>
  <c r="J30" i="5" s="1"/>
  <c r="K9" i="5"/>
  <c r="F37" i="5" s="1"/>
  <c r="C3" i="5"/>
  <c r="D3" i="5"/>
  <c r="D10" i="5" s="1"/>
  <c r="D17" i="5" s="1"/>
  <c r="D24" i="5" s="1"/>
  <c r="E3" i="5"/>
  <c r="J31" i="5" s="1"/>
  <c r="F3" i="5"/>
  <c r="K31" i="5" s="1"/>
  <c r="G3" i="5"/>
  <c r="G10" i="5" s="1"/>
  <c r="G17" i="5" s="1"/>
  <c r="G24" i="5" s="1"/>
  <c r="H3" i="5"/>
  <c r="C31" i="5" s="1"/>
  <c r="I3" i="5"/>
  <c r="D31" i="5" s="1"/>
  <c r="J3" i="5"/>
  <c r="E31" i="5" s="1"/>
  <c r="K3" i="5"/>
  <c r="F31" i="5" s="1"/>
  <c r="B3" i="5"/>
  <c r="Q27" i="5" l="1"/>
  <c r="R31" i="5"/>
  <c r="D471" i="6"/>
  <c r="Q17" i="5"/>
  <c r="Q23" i="5" s="1"/>
  <c r="D439" i="6"/>
  <c r="D331" i="6"/>
  <c r="AL12" i="5"/>
  <c r="D352" i="6"/>
  <c r="AQ16" i="5"/>
  <c r="D512" i="6"/>
  <c r="F23" i="5"/>
  <c r="F30" i="5" s="1"/>
  <c r="D434" i="6"/>
  <c r="C34" i="5"/>
  <c r="D322" i="6"/>
  <c r="J12" i="5"/>
  <c r="D2" i="6"/>
  <c r="I32" i="5"/>
  <c r="D34" i="6"/>
  <c r="N26" i="5"/>
  <c r="D167" i="6"/>
  <c r="P17" i="5"/>
  <c r="P23" i="5" s="1"/>
  <c r="D39" i="6"/>
  <c r="D235" i="6"/>
  <c r="V26" i="5"/>
  <c r="AF13" i="5"/>
  <c r="AF22" i="5" s="1"/>
  <c r="AF31" i="5" s="1"/>
  <c r="D429" i="6"/>
  <c r="AB22" i="5"/>
  <c r="AB31" i="5" s="1"/>
  <c r="D333" i="6"/>
  <c r="AJ15" i="5"/>
  <c r="D128" i="6"/>
  <c r="K15" i="5"/>
  <c r="K22" i="5" s="1"/>
  <c r="K29" i="5" s="1"/>
  <c r="D290" i="6" s="1"/>
  <c r="D530" i="6"/>
  <c r="F34" i="5"/>
  <c r="D82" i="6"/>
  <c r="I12" i="5"/>
  <c r="I19" i="5" s="1"/>
  <c r="I26" i="5" s="1"/>
  <c r="D402" i="6"/>
  <c r="F32" i="5"/>
  <c r="D242" i="6"/>
  <c r="U14" i="5"/>
  <c r="U20" i="5" s="1"/>
  <c r="U26" i="5" s="1"/>
  <c r="D199" i="6"/>
  <c r="R28" i="5"/>
  <c r="D295" i="6"/>
  <c r="AF30" i="5"/>
  <c r="D493" i="6"/>
  <c r="D93" i="6"/>
  <c r="Y38" i="5"/>
  <c r="AH12" i="5"/>
  <c r="AO18" i="5"/>
  <c r="D80" i="6"/>
  <c r="AQ17" i="5"/>
  <c r="D336" i="6" s="1"/>
  <c r="D384" i="6"/>
  <c r="AM17" i="5"/>
  <c r="D48" i="6"/>
  <c r="AQ15" i="5"/>
  <c r="D544" i="6"/>
  <c r="AI15" i="5"/>
  <c r="D368" i="6"/>
  <c r="E13" i="5"/>
  <c r="E20" i="5" s="1"/>
  <c r="E27" i="5" s="1"/>
  <c r="D210" i="6"/>
  <c r="AO13" i="5"/>
  <c r="D528" i="6" s="1"/>
  <c r="D448" i="6"/>
  <c r="AP14" i="5"/>
  <c r="D224" i="6"/>
  <c r="G31" i="5"/>
  <c r="I37" i="5"/>
  <c r="D514" i="6"/>
  <c r="J13" i="5"/>
  <c r="J20" i="5" s="1"/>
  <c r="J27" i="5" s="1"/>
  <c r="D338" i="6"/>
  <c r="P12" i="5"/>
  <c r="P18" i="5" s="1"/>
  <c r="P24" i="5" s="1"/>
  <c r="D71" i="6"/>
  <c r="AB38" i="5"/>
  <c r="D125" i="6"/>
  <c r="AB34" i="5"/>
  <c r="D301" i="6"/>
  <c r="AQ12" i="5"/>
  <c r="D480" i="6"/>
  <c r="AM12" i="5"/>
  <c r="D32" i="6" s="1"/>
  <c r="D304" i="6"/>
  <c r="AJ14" i="5"/>
  <c r="D240" i="6"/>
  <c r="AL13" i="5"/>
  <c r="D560" i="6"/>
  <c r="AH13" i="5"/>
  <c r="D16" i="6" s="1"/>
  <c r="D64" i="6"/>
  <c r="V16" i="5"/>
  <c r="V12" i="5"/>
  <c r="V20" i="5" s="1"/>
  <c r="V15" i="5"/>
  <c r="V11" i="5"/>
  <c r="V14" i="5"/>
  <c r="V17" i="5"/>
  <c r="V13" i="5"/>
  <c r="I31" i="5"/>
  <c r="B10" i="5"/>
  <c r="G13" i="5"/>
  <c r="G20" i="5" s="1"/>
  <c r="G27" i="5" s="1"/>
  <c r="F36" i="5"/>
  <c r="I16" i="5"/>
  <c r="I23" i="5" s="1"/>
  <c r="I30" i="5" s="1"/>
  <c r="D274" i="6" s="1"/>
  <c r="J35" i="5"/>
  <c r="AD14" i="5"/>
  <c r="AD23" i="5" s="1"/>
  <c r="AD32" i="5" s="1"/>
  <c r="D509" i="6" s="1"/>
  <c r="C13" i="5"/>
  <c r="C20" i="5" s="1"/>
  <c r="C27" i="5" s="1"/>
  <c r="D66" i="6" s="1"/>
  <c r="H36" i="5"/>
  <c r="G15" i="5"/>
  <c r="G22" i="5" s="1"/>
  <c r="K11" i="5"/>
  <c r="K18" i="5" s="1"/>
  <c r="K25" i="5" s="1"/>
  <c r="D33" i="5"/>
  <c r="G11" i="5"/>
  <c r="G18" i="5" s="1"/>
  <c r="G25" i="5" s="1"/>
  <c r="H32" i="5"/>
  <c r="C36" i="5"/>
  <c r="E16" i="5"/>
  <c r="E23" i="5" s="1"/>
  <c r="E30" i="5" s="1"/>
  <c r="K37" i="5"/>
  <c r="K13" i="5"/>
  <c r="K20" i="5" s="1"/>
  <c r="K27" i="5" s="1"/>
  <c r="E12" i="5"/>
  <c r="E19" i="5" s="1"/>
  <c r="E26" i="5" s="1"/>
  <c r="L28" i="5"/>
  <c r="E34" i="5"/>
  <c r="S10" i="5"/>
  <c r="S16" i="5" s="1"/>
  <c r="S22" i="5" s="1"/>
  <c r="D32" i="5"/>
  <c r="J34" i="5"/>
  <c r="I34" i="5"/>
  <c r="S14" i="5"/>
  <c r="S20" i="5" s="1"/>
  <c r="S26" i="5" s="1"/>
  <c r="T31" i="5"/>
  <c r="X17" i="5"/>
  <c r="I10" i="5"/>
  <c r="I17" i="5" s="1"/>
  <c r="E35" i="5"/>
  <c r="D130" i="6" s="1"/>
  <c r="Q14" i="5"/>
  <c r="Q20" i="5" s="1"/>
  <c r="Q26" i="5" s="1"/>
  <c r="P32" i="5"/>
  <c r="U29" i="5"/>
  <c r="D535" i="6" s="1"/>
  <c r="Z16" i="5"/>
  <c r="Z25" i="5" s="1"/>
  <c r="Z34" i="5" s="1"/>
  <c r="U9" i="5"/>
  <c r="U15" i="5" s="1"/>
  <c r="M30" i="5"/>
  <c r="AB15" i="5"/>
  <c r="AB24" i="5" s="1"/>
  <c r="AB33" i="5" s="1"/>
  <c r="C37" i="5"/>
  <c r="M13" i="5"/>
  <c r="M19" i="5" s="1"/>
  <c r="M25" i="5" s="1"/>
  <c r="D151" i="6" s="1"/>
  <c r="AB19" i="5"/>
  <c r="AB28" i="5" s="1"/>
  <c r="AB37" i="5" s="1"/>
  <c r="AD18" i="5"/>
  <c r="AD27" i="5" s="1"/>
  <c r="AD36" i="5" s="1"/>
  <c r="AF17" i="5"/>
  <c r="AF26" i="5" s="1"/>
  <c r="AF35" i="5" s="1"/>
  <c r="F10" i="5"/>
  <c r="F17" i="5" s="1"/>
  <c r="F24" i="5" s="1"/>
  <c r="T13" i="5"/>
  <c r="T19" i="5" s="1"/>
  <c r="T25" i="5" s="1"/>
  <c r="O10" i="5"/>
  <c r="O16" i="5" s="1"/>
  <c r="O22" i="5" s="1"/>
  <c r="Z19" i="5"/>
  <c r="Z28" i="5" s="1"/>
  <c r="Z37" i="5" s="1"/>
  <c r="AB18" i="5"/>
  <c r="AB27" i="5" s="1"/>
  <c r="AB36" i="5" s="1"/>
  <c r="AD17" i="5"/>
  <c r="AD26" i="5" s="1"/>
  <c r="AD35" i="5" s="1"/>
  <c r="AF16" i="5"/>
  <c r="AF25" i="5" s="1"/>
  <c r="AF34" i="5" s="1"/>
  <c r="X16" i="5"/>
  <c r="X25" i="5" s="1"/>
  <c r="X34" i="5" s="1"/>
  <c r="Z15" i="5"/>
  <c r="Z24" i="5" s="1"/>
  <c r="Z33" i="5" s="1"/>
  <c r="AB14" i="5"/>
  <c r="AB23" i="5" s="1"/>
  <c r="AB32" i="5" s="1"/>
  <c r="D445" i="6" s="1"/>
  <c r="K32" i="5"/>
  <c r="D50" i="6" s="1"/>
  <c r="E10" i="5"/>
  <c r="E17" i="5" s="1"/>
  <c r="E24" i="5" s="1"/>
  <c r="D36" i="5"/>
  <c r="Q13" i="5"/>
  <c r="Q19" i="5" s="1"/>
  <c r="Q25" i="5" s="1"/>
  <c r="U10" i="5"/>
  <c r="U16" i="5" s="1"/>
  <c r="U22" i="5" s="1"/>
  <c r="S27" i="5"/>
  <c r="AF19" i="5"/>
  <c r="AF28" i="5" s="1"/>
  <c r="AF37" i="5" s="1"/>
  <c r="X19" i="5"/>
  <c r="X28" i="5" s="1"/>
  <c r="X37" i="5" s="1"/>
  <c r="Z18" i="5"/>
  <c r="Z27" i="5" s="1"/>
  <c r="AB17" i="5"/>
  <c r="AB26" i="5" s="1"/>
  <c r="AB35" i="5" s="1"/>
  <c r="AD16" i="5"/>
  <c r="AD25" i="5" s="1"/>
  <c r="AD34" i="5" s="1"/>
  <c r="AF15" i="5"/>
  <c r="AF24" i="5" s="1"/>
  <c r="AF33" i="5" s="1"/>
  <c r="X15" i="5"/>
  <c r="X24" i="5" s="1"/>
  <c r="AD19" i="5"/>
  <c r="AD28" i="5" s="1"/>
  <c r="AD37" i="5" s="1"/>
  <c r="D29" i="6" s="1"/>
  <c r="AF18" i="5"/>
  <c r="AF27" i="5" s="1"/>
  <c r="X18" i="5"/>
  <c r="X27" i="5" s="1"/>
  <c r="X36" i="5" s="1"/>
  <c r="Z17" i="5"/>
  <c r="AD15" i="5"/>
  <c r="AD24" i="5" s="1"/>
  <c r="AD33" i="5" s="1"/>
  <c r="AF14" i="5"/>
  <c r="AF23" i="5" s="1"/>
  <c r="C35" i="5"/>
  <c r="H14" i="5"/>
  <c r="H21" i="5" s="1"/>
  <c r="H28" i="5" s="1"/>
  <c r="I35" i="5"/>
  <c r="D14" i="5"/>
  <c r="D21" i="5" s="1"/>
  <c r="D28" i="5" s="1"/>
  <c r="C33" i="5"/>
  <c r="D258" i="6" s="1"/>
  <c r="H12" i="5"/>
  <c r="H19" i="5" s="1"/>
  <c r="H26" i="5" s="1"/>
  <c r="E32" i="5"/>
  <c r="J11" i="5"/>
  <c r="J18" i="5" s="1"/>
  <c r="J25" i="5" s="1"/>
  <c r="O32" i="5"/>
  <c r="T14" i="5"/>
  <c r="T20" i="5" s="1"/>
  <c r="T26" i="5" s="1"/>
  <c r="U32" i="5"/>
  <c r="P14" i="5"/>
  <c r="P20" i="5" s="1"/>
  <c r="P26" i="5" s="1"/>
  <c r="M31" i="5"/>
  <c r="R13" i="5"/>
  <c r="Q30" i="5"/>
  <c r="D263" i="6" s="1"/>
  <c r="L12" i="5"/>
  <c r="O30" i="5"/>
  <c r="U30" i="5"/>
  <c r="AG19" i="5"/>
  <c r="Y19" i="5"/>
  <c r="Y28" i="5" s="1"/>
  <c r="Y37" i="5" s="1"/>
  <c r="D173" i="6" s="1"/>
  <c r="AA18" i="5"/>
  <c r="AA27" i="5" s="1"/>
  <c r="AA36" i="5" s="1"/>
  <c r="AG17" i="5"/>
  <c r="AG26" i="5" s="1"/>
  <c r="AG35" i="5" s="1"/>
  <c r="Y17" i="5"/>
  <c r="AA16" i="5"/>
  <c r="AA25" i="5" s="1"/>
  <c r="AA34" i="5" s="1"/>
  <c r="AC15" i="5"/>
  <c r="AC24" i="5" s="1"/>
  <c r="AC33" i="5" s="1"/>
  <c r="AE14" i="5"/>
  <c r="AG13" i="5"/>
  <c r="AG22" i="5" s="1"/>
  <c r="AG31" i="5" s="1"/>
  <c r="Y13" i="5"/>
  <c r="Y22" i="5" s="1"/>
  <c r="Y31" i="5" s="1"/>
  <c r="D16" i="5"/>
  <c r="D23" i="5" s="1"/>
  <c r="AC13" i="5"/>
  <c r="AC22" i="5" s="1"/>
  <c r="AC31" i="5" s="1"/>
  <c r="E36" i="5"/>
  <c r="K34" i="5"/>
  <c r="G32" i="5"/>
  <c r="F12" i="5"/>
  <c r="F19" i="5" s="1"/>
  <c r="F26" i="5" s="1"/>
  <c r="K33" i="5"/>
  <c r="M32" i="5"/>
  <c r="R14" i="5"/>
  <c r="R20" i="5" s="1"/>
  <c r="R26" i="5" s="1"/>
  <c r="L13" i="5"/>
  <c r="L19" i="5" s="1"/>
  <c r="L25" i="5" s="1"/>
  <c r="Q31" i="5"/>
  <c r="N27" i="5"/>
  <c r="S32" i="5"/>
  <c r="D247" i="6" s="1"/>
  <c r="B15" i="5"/>
  <c r="B22" i="5" s="1"/>
  <c r="B29" i="5" s="1"/>
  <c r="G37" i="5"/>
  <c r="Q9" i="5"/>
  <c r="Q15" i="5" s="1"/>
  <c r="L14" i="5"/>
  <c r="L20" i="5" s="1"/>
  <c r="L26" i="5" s="1"/>
  <c r="D359" i="6" s="1"/>
  <c r="N12" i="5"/>
  <c r="N18" i="5" s="1"/>
  <c r="C10" i="5"/>
  <c r="H31" i="5"/>
  <c r="I33" i="5"/>
  <c r="D12" i="5"/>
  <c r="D19" i="5" s="1"/>
  <c r="D26" i="5" s="1"/>
  <c r="S31" i="5"/>
  <c r="N13" i="5"/>
  <c r="N19" i="5" s="1"/>
  <c r="N25" i="5" s="1"/>
  <c r="O28" i="5"/>
  <c r="T10" i="5"/>
  <c r="T16" i="5" s="1"/>
  <c r="T22" i="5" s="1"/>
  <c r="D519" i="6" s="1"/>
  <c r="U28" i="5"/>
  <c r="D119" i="6" s="1"/>
  <c r="P10" i="5"/>
  <c r="P16" i="5" s="1"/>
  <c r="P22" i="5" s="1"/>
  <c r="O9" i="5"/>
  <c r="O15" i="5" s="1"/>
  <c r="O21" i="5" s="1"/>
  <c r="D7" i="6" s="1"/>
  <c r="L10" i="5"/>
  <c r="L16" i="5" s="1"/>
  <c r="L22" i="5" s="1"/>
  <c r="X12" i="5"/>
  <c r="Z12" i="5"/>
  <c r="Z21" i="5" s="1"/>
  <c r="Z30" i="5" s="1"/>
  <c r="AC19" i="5"/>
  <c r="AC28" i="5" s="1"/>
  <c r="AC37" i="5" s="1"/>
  <c r="AE18" i="5"/>
  <c r="AC17" i="5"/>
  <c r="AC26" i="5" s="1"/>
  <c r="AC35" i="5" s="1"/>
  <c r="AE16" i="5"/>
  <c r="AE25" i="5" s="1"/>
  <c r="AE34" i="5" s="1"/>
  <c r="AG15" i="5"/>
  <c r="AG24" i="5" s="1"/>
  <c r="AG33" i="5" s="1"/>
  <c r="Y15" i="5"/>
  <c r="Y24" i="5" s="1"/>
  <c r="Y33" i="5" s="1"/>
  <c r="AA14" i="5"/>
  <c r="AA23" i="5" s="1"/>
  <c r="AA32" i="5" s="1"/>
  <c r="F15" i="5"/>
  <c r="F22" i="5" s="1"/>
  <c r="F29" i="5" s="1"/>
  <c r="B31" i="5"/>
  <c r="G34" i="5"/>
  <c r="B12" i="5"/>
  <c r="B19" i="5" s="1"/>
  <c r="B26" i="5" s="1"/>
  <c r="G33" i="5"/>
  <c r="H11" i="5"/>
  <c r="H18" i="5" s="1"/>
  <c r="H25" i="5" s="1"/>
  <c r="C32" i="5"/>
  <c r="U31" i="5"/>
  <c r="P13" i="5"/>
  <c r="P19" i="5" s="1"/>
  <c r="P25" i="5" s="1"/>
  <c r="M28" i="5"/>
  <c r="R10" i="5"/>
  <c r="R16" i="5" s="1"/>
  <c r="R22" i="5" s="1"/>
  <c r="M29" i="5"/>
  <c r="AB12" i="5"/>
  <c r="AB21" i="5" s="1"/>
  <c r="AB30" i="5" s="1"/>
  <c r="AE19" i="5"/>
  <c r="AE28" i="5" s="1"/>
  <c r="AE37" i="5" s="1"/>
  <c r="AA19" i="5"/>
  <c r="AA28" i="5" s="1"/>
  <c r="AA37" i="5" s="1"/>
  <c r="AG18" i="5"/>
  <c r="AG27" i="5" s="1"/>
  <c r="AG36" i="5" s="1"/>
  <c r="D45" i="6" s="1"/>
  <c r="AC18" i="5"/>
  <c r="AC27" i="5" s="1"/>
  <c r="AC36" i="5" s="1"/>
  <c r="Y18" i="5"/>
  <c r="Y27" i="5" s="1"/>
  <c r="Y36" i="5" s="1"/>
  <c r="AE17" i="5"/>
  <c r="AA17" i="5"/>
  <c r="AA26" i="5" s="1"/>
  <c r="AA35" i="5" s="1"/>
  <c r="D237" i="6" s="1"/>
  <c r="AG16" i="5"/>
  <c r="AG25" i="5" s="1"/>
  <c r="AG34" i="5" s="1"/>
  <c r="AC16" i="5"/>
  <c r="AD12" i="5"/>
  <c r="AD21" i="5" s="1"/>
  <c r="AD30" i="5" s="1"/>
  <c r="L9" i="5"/>
  <c r="L15" i="5" s="1"/>
  <c r="L21" i="5" s="1"/>
  <c r="R9" i="5"/>
  <c r="R15" i="5" s="1"/>
  <c r="R21" i="5" s="1"/>
  <c r="M14" i="5"/>
  <c r="S12" i="5"/>
  <c r="S18" i="5" s="1"/>
  <c r="S24" i="5" s="1"/>
  <c r="O12" i="5"/>
  <c r="O18" i="5" s="1"/>
  <c r="O24" i="5" s="1"/>
  <c r="AA13" i="5"/>
  <c r="AA22" i="5" s="1"/>
  <c r="AA31" i="5" s="1"/>
  <c r="Y16" i="5"/>
  <c r="Y25" i="5" s="1"/>
  <c r="Y34" i="5" s="1"/>
  <c r="AG14" i="5"/>
  <c r="AG23" i="5" s="1"/>
  <c r="AG32" i="5" s="1"/>
  <c r="AC14" i="5"/>
  <c r="AC23" i="5" s="1"/>
  <c r="AC32" i="5" s="1"/>
  <c r="Y14" i="5"/>
  <c r="Y23" i="5" s="1"/>
  <c r="Y32" i="5" s="1"/>
  <c r="J10" i="5"/>
  <c r="J17" i="5" s="1"/>
  <c r="T9" i="5"/>
  <c r="T15" i="5" s="1"/>
  <c r="T21" i="5" s="1"/>
  <c r="P9" i="5"/>
  <c r="P15" i="5" s="1"/>
  <c r="P21" i="5" s="1"/>
  <c r="U13" i="5"/>
  <c r="U19" i="5" s="1"/>
  <c r="U25" i="5" s="1"/>
  <c r="D87" i="6" s="1"/>
  <c r="U12" i="5"/>
  <c r="U18" i="5" s="1"/>
  <c r="U24" i="5" s="1"/>
  <c r="Q12" i="5"/>
  <c r="M10" i="5"/>
  <c r="M16" i="5" s="1"/>
  <c r="AE12" i="5"/>
  <c r="AE21" i="5" s="1"/>
  <c r="AE30" i="5" s="1"/>
  <c r="AA12" i="5"/>
  <c r="AA21" i="5" s="1"/>
  <c r="AA30" i="5" s="1"/>
  <c r="AD13" i="5"/>
  <c r="AD22" i="5" s="1"/>
  <c r="AD31" i="5" s="1"/>
  <c r="D269" i="6" s="1"/>
  <c r="Z13" i="5"/>
  <c r="Z22" i="5" s="1"/>
  <c r="Z31" i="5" s="1"/>
  <c r="T11" i="5"/>
  <c r="T17" i="5" s="1"/>
  <c r="T23" i="5" s="1"/>
  <c r="L29" i="5"/>
  <c r="P29" i="5"/>
  <c r="N10" i="5"/>
  <c r="N16" i="5" s="1"/>
  <c r="N22" i="5" s="1"/>
  <c r="O11" i="5"/>
  <c r="O17" i="5" s="1"/>
  <c r="O23" i="5" s="1"/>
  <c r="N11" i="5"/>
  <c r="S11" i="5"/>
  <c r="S17" i="5" s="1"/>
  <c r="S23" i="5" s="1"/>
  <c r="M11" i="5"/>
  <c r="Q29" i="5"/>
  <c r="T32" i="5"/>
  <c r="S13" i="5"/>
  <c r="S19" i="5" s="1"/>
  <c r="S25" i="5" s="1"/>
  <c r="D311" i="6" s="1"/>
  <c r="M12" i="5"/>
  <c r="D35" i="5"/>
  <c r="M9" i="5"/>
  <c r="F33" i="5"/>
  <c r="B33" i="5"/>
  <c r="K16" i="5"/>
  <c r="G16" i="5"/>
  <c r="G23" i="5" s="1"/>
  <c r="G30" i="5" s="1"/>
  <c r="C16" i="5"/>
  <c r="C23" i="5" s="1"/>
  <c r="C30" i="5" s="1"/>
  <c r="E15" i="5"/>
  <c r="E22" i="5" s="1"/>
  <c r="E29" i="5" s="1"/>
  <c r="K14" i="5"/>
  <c r="K21" i="5" s="1"/>
  <c r="K28" i="5" s="1"/>
  <c r="G14" i="5"/>
  <c r="G21" i="5" s="1"/>
  <c r="G28" i="5" s="1"/>
  <c r="C14" i="5"/>
  <c r="C21" i="5" s="1"/>
  <c r="C28" i="5" s="1"/>
  <c r="I13" i="5"/>
  <c r="I20" i="5" s="1"/>
  <c r="I27" i="5" s="1"/>
  <c r="C12" i="5"/>
  <c r="C19" i="5" s="1"/>
  <c r="C26" i="5" s="1"/>
  <c r="E11" i="5"/>
  <c r="E18" i="5" s="1"/>
  <c r="E25" i="5" s="1"/>
  <c r="E37" i="5"/>
  <c r="E33" i="5"/>
  <c r="K35" i="5"/>
  <c r="D194" i="6" s="1"/>
  <c r="G35" i="5"/>
  <c r="D162" i="6" s="1"/>
  <c r="D15" i="5"/>
  <c r="D22" i="5" s="1"/>
  <c r="D29" i="5" s="1"/>
  <c r="D466" i="6" s="1"/>
  <c r="H13" i="5"/>
  <c r="H20" i="5" s="1"/>
  <c r="D11" i="5"/>
  <c r="D18" i="5" s="1"/>
  <c r="D25" i="5" s="1"/>
  <c r="H10" i="5"/>
  <c r="H17" i="5" s="1"/>
  <c r="H24" i="5" s="1"/>
  <c r="D386" i="6" s="1"/>
  <c r="K10" i="5"/>
  <c r="K17" i="5" s="1"/>
  <c r="K24" i="5" s="1"/>
  <c r="D370" i="6" s="1"/>
  <c r="M15" i="5" l="1"/>
  <c r="M21" i="5" s="1"/>
  <c r="D183" i="6"/>
  <c r="N17" i="5"/>
  <c r="N23" i="5" s="1"/>
  <c r="D103" i="6"/>
  <c r="J24" i="5"/>
  <c r="D418" i="6"/>
  <c r="M20" i="5"/>
  <c r="M26" i="5" s="1"/>
  <c r="D327" i="6"/>
  <c r="D365" i="6"/>
  <c r="AC25" i="5"/>
  <c r="AC34" i="5" s="1"/>
  <c r="D30" i="5"/>
  <c r="D482" i="6"/>
  <c r="X26" i="5"/>
  <c r="X35" i="5" s="1"/>
  <c r="D525" i="6"/>
  <c r="D251" i="6"/>
  <c r="V21" i="5"/>
  <c r="V29" i="5" s="1"/>
  <c r="V37" i="5" s="1"/>
  <c r="D155" i="6" s="1"/>
  <c r="D123" i="6"/>
  <c r="V23" i="5"/>
  <c r="K23" i="5"/>
  <c r="K30" i="5" s="1"/>
  <c r="D498" i="6"/>
  <c r="Q21" i="5"/>
  <c r="D391" i="6"/>
  <c r="L18" i="5"/>
  <c r="L24" i="5" s="1"/>
  <c r="D279" i="6"/>
  <c r="AF32" i="5"/>
  <c r="D253" i="6"/>
  <c r="AF36" i="5"/>
  <c r="D141" i="6"/>
  <c r="U21" i="5"/>
  <c r="D423" i="6"/>
  <c r="D443" i="6"/>
  <c r="V25" i="5"/>
  <c r="D427" i="6"/>
  <c r="V28" i="5"/>
  <c r="G7" i="6"/>
  <c r="D283" i="6"/>
  <c r="V34" i="5"/>
  <c r="H27" i="5"/>
  <c r="D114" i="6"/>
  <c r="M18" i="5"/>
  <c r="M24" i="5" s="1"/>
  <c r="D455" i="6"/>
  <c r="M17" i="5"/>
  <c r="M23" i="5" s="1"/>
  <c r="D215" i="6"/>
  <c r="M22" i="5"/>
  <c r="D503" i="6"/>
  <c r="D77" i="6"/>
  <c r="X21" i="5"/>
  <c r="C17" i="5"/>
  <c r="C24" i="5" s="1"/>
  <c r="D18" i="6"/>
  <c r="Y26" i="5"/>
  <c r="Y35" i="5" s="1"/>
  <c r="D221" i="6"/>
  <c r="AG28" i="5"/>
  <c r="AG37" i="5" s="1"/>
  <c r="D381" i="6"/>
  <c r="G29" i="5"/>
  <c r="D146" i="6" s="1"/>
  <c r="D354" i="6"/>
  <c r="B17" i="5"/>
  <c r="B24" i="5" s="1"/>
  <c r="D98" i="6"/>
  <c r="D27" i="6"/>
  <c r="V22" i="5"/>
  <c r="D523" i="6"/>
  <c r="V24" i="5"/>
  <c r="J19" i="5"/>
  <c r="J26" i="5" s="1"/>
  <c r="D546" i="6"/>
  <c r="Q18" i="5"/>
  <c r="D55" i="6"/>
  <c r="AE26" i="5"/>
  <c r="D285" i="6"/>
  <c r="AE27" i="5"/>
  <c r="AE36" i="5" s="1"/>
  <c r="D477" i="6"/>
  <c r="N24" i="5"/>
  <c r="D375" i="6"/>
  <c r="AE23" i="5"/>
  <c r="AE32" i="5" s="1"/>
  <c r="D397" i="6"/>
  <c r="R19" i="5"/>
  <c r="R25" i="5" s="1"/>
  <c r="D231" i="6"/>
  <c r="D349" i="6"/>
  <c r="Z26" i="5"/>
  <c r="Z35" i="5" s="1"/>
  <c r="X33" i="5"/>
  <c r="D205" i="6"/>
  <c r="Z36" i="5"/>
  <c r="D157" i="6"/>
  <c r="I24" i="5"/>
  <c r="D562" i="6"/>
  <c r="V19" i="5"/>
  <c r="D459" i="6"/>
  <c r="B2" i="7"/>
  <c r="B574" i="6"/>
  <c r="D574" i="6" s="1"/>
  <c r="B568" i="6"/>
  <c r="D568" i="6" s="1"/>
  <c r="B563" i="6"/>
  <c r="D563" i="6" s="1"/>
  <c r="B558" i="6"/>
  <c r="D558" i="6" s="1"/>
  <c r="B552" i="6"/>
  <c r="D552" i="6" s="1"/>
  <c r="B547" i="6"/>
  <c r="B542" i="6"/>
  <c r="D542" i="6" s="1"/>
  <c r="B536" i="6"/>
  <c r="D536" i="6" s="1"/>
  <c r="B531" i="6"/>
  <c r="D531" i="6" s="1"/>
  <c r="B526" i="6"/>
  <c r="B520" i="6"/>
  <c r="B515" i="6"/>
  <c r="D515" i="6" s="1"/>
  <c r="B510" i="6"/>
  <c r="B504" i="6"/>
  <c r="B499" i="6"/>
  <c r="B494" i="6"/>
  <c r="B488" i="6"/>
  <c r="D488" i="6" s="1"/>
  <c r="B483" i="6"/>
  <c r="B478" i="6"/>
  <c r="B472" i="6"/>
  <c r="D472" i="6" s="1"/>
  <c r="B467" i="6"/>
  <c r="D467" i="6" s="1"/>
  <c r="B462" i="6"/>
  <c r="D462" i="6" s="1"/>
  <c r="B456" i="6"/>
  <c r="B451" i="6"/>
  <c r="B446" i="6"/>
  <c r="B440" i="6"/>
  <c r="B435" i="6"/>
  <c r="D435" i="6" s="1"/>
  <c r="B430" i="6"/>
  <c r="B424" i="6"/>
  <c r="B419" i="6"/>
  <c r="B414" i="6"/>
  <c r="B408" i="6"/>
  <c r="B403" i="6"/>
  <c r="D403" i="6" s="1"/>
  <c r="B398" i="6"/>
  <c r="B392" i="6"/>
  <c r="D392" i="6" s="1"/>
  <c r="B387" i="6"/>
  <c r="G2" i="6" l="1"/>
  <c r="AE35" i="5"/>
  <c r="D413" i="6"/>
  <c r="D171" i="6"/>
  <c r="V30" i="5"/>
  <c r="X30" i="5"/>
  <c r="G6" i="6" s="1"/>
  <c r="D461" i="6"/>
  <c r="D59" i="6"/>
  <c r="V36" i="5"/>
  <c r="D43" i="6" s="1"/>
  <c r="V27" i="5"/>
  <c r="D539" i="6"/>
  <c r="Q24" i="5"/>
  <c r="D407" i="6"/>
  <c r="V32" i="5"/>
  <c r="D507" i="6"/>
  <c r="D411" i="6"/>
  <c r="V42" i="5"/>
  <c r="D315" i="6" s="1"/>
  <c r="D91" i="6"/>
  <c r="V31" i="5"/>
  <c r="G3" i="6"/>
  <c r="D75" i="6"/>
  <c r="V33" i="5"/>
  <c r="B527" i="6"/>
  <c r="D527" i="6" s="1"/>
  <c r="D526" i="6"/>
  <c r="B511" i="6"/>
  <c r="D511" i="6" s="1"/>
  <c r="D510" i="6"/>
  <c r="B495" i="6"/>
  <c r="D495" i="6" s="1"/>
  <c r="D494" i="6"/>
  <c r="B479" i="6"/>
  <c r="D479" i="6" s="1"/>
  <c r="D478" i="6"/>
  <c r="B447" i="6"/>
  <c r="D447" i="6" s="1"/>
  <c r="D446" i="6"/>
  <c r="B431" i="6"/>
  <c r="D431" i="6" s="1"/>
  <c r="D430" i="6"/>
  <c r="B415" i="6"/>
  <c r="D415" i="6" s="1"/>
  <c r="D414" i="6"/>
  <c r="B399" i="6"/>
  <c r="D399" i="6" s="1"/>
  <c r="D398" i="6"/>
  <c r="B521" i="6"/>
  <c r="D521" i="6" s="1"/>
  <c r="D520" i="6"/>
  <c r="B505" i="6"/>
  <c r="D505" i="6" s="1"/>
  <c r="D504" i="6"/>
  <c r="B457" i="6"/>
  <c r="D457" i="6" s="1"/>
  <c r="D456" i="6"/>
  <c r="B441" i="6"/>
  <c r="D440" i="6"/>
  <c r="B425" i="6"/>
  <c r="D425" i="6" s="1"/>
  <c r="D424" i="6"/>
  <c r="B409" i="6"/>
  <c r="D408" i="6"/>
  <c r="B548" i="6"/>
  <c r="D548" i="6" s="1"/>
  <c r="D547" i="6"/>
  <c r="B500" i="6"/>
  <c r="D500" i="6" s="1"/>
  <c r="D499" i="6"/>
  <c r="B484" i="6"/>
  <c r="D484" i="6" s="1"/>
  <c r="D483" i="6"/>
  <c r="B452" i="6"/>
  <c r="D452" i="6" s="1"/>
  <c r="D451" i="6"/>
  <c r="B420" i="6"/>
  <c r="D420" i="6" s="1"/>
  <c r="D419" i="6"/>
  <c r="B388" i="6"/>
  <c r="D388" i="6" s="1"/>
  <c r="D387" i="6"/>
  <c r="B489" i="6"/>
  <c r="D489" i="6" s="1"/>
  <c r="B473" i="6"/>
  <c r="B559" i="6"/>
  <c r="D559" i="6" s="1"/>
  <c r="B516" i="6"/>
  <c r="B404" i="6"/>
  <c r="B575" i="6"/>
  <c r="D575" i="6" s="1"/>
  <c r="B543" i="6"/>
  <c r="D543" i="6" s="1"/>
  <c r="B463" i="6"/>
  <c r="D463" i="6" s="1"/>
  <c r="B553" i="6"/>
  <c r="B393" i="6"/>
  <c r="D393" i="6" s="1"/>
  <c r="B468" i="6"/>
  <c r="D468" i="6" s="1"/>
  <c r="B436" i="6"/>
  <c r="D436" i="6" s="1"/>
  <c r="B564" i="6"/>
  <c r="D564" i="6" s="1"/>
  <c r="B569" i="6"/>
  <c r="D569" i="6" s="1"/>
  <c r="B532" i="6"/>
  <c r="D532" i="6" s="1"/>
  <c r="B537" i="6"/>
  <c r="D537" i="6" s="1"/>
  <c r="B458" i="6" l="1"/>
  <c r="D458" i="6" s="1"/>
  <c r="D203" i="6"/>
  <c r="V38" i="5"/>
  <c r="D347" i="6" s="1"/>
  <c r="D267" i="6"/>
  <c r="V41" i="5"/>
  <c r="V39" i="5"/>
  <c r="D11" i="6" s="1"/>
  <c r="D107" i="6"/>
  <c r="D555" i="6"/>
  <c r="V40" i="5"/>
  <c r="D379" i="6" s="1"/>
  <c r="D475" i="6"/>
  <c r="V35" i="5"/>
  <c r="D571" i="6" s="1"/>
  <c r="B549" i="6"/>
  <c r="D549" i="6" s="1"/>
  <c r="B522" i="6"/>
  <c r="D522" i="6" s="1"/>
  <c r="B426" i="6"/>
  <c r="D426" i="6" s="1"/>
  <c r="B421" i="6"/>
  <c r="D421" i="6" s="1"/>
  <c r="B453" i="6"/>
  <c r="D453" i="6" s="1"/>
  <c r="B506" i="6"/>
  <c r="D506" i="6" s="1"/>
  <c r="B501" i="6"/>
  <c r="D501" i="6" s="1"/>
  <c r="B485" i="6"/>
  <c r="D485" i="6" s="1"/>
  <c r="B389" i="6"/>
  <c r="D389" i="6" s="1"/>
  <c r="B554" i="6"/>
  <c r="D554" i="6" s="1"/>
  <c r="D553" i="6"/>
  <c r="B474" i="6"/>
  <c r="D474" i="6" s="1"/>
  <c r="D473" i="6"/>
  <c r="B442" i="6"/>
  <c r="D442" i="6" s="1"/>
  <c r="D441" i="6"/>
  <c r="B410" i="6"/>
  <c r="D410" i="6" s="1"/>
  <c r="D409" i="6"/>
  <c r="B517" i="6"/>
  <c r="D517" i="6" s="1"/>
  <c r="D516" i="6"/>
  <c r="B405" i="6"/>
  <c r="D405" i="6" s="1"/>
  <c r="D404" i="6"/>
  <c r="B490" i="6"/>
  <c r="D490" i="6" s="1"/>
  <c r="B394" i="6"/>
  <c r="D394" i="6" s="1"/>
  <c r="B469" i="6"/>
  <c r="D469" i="6" s="1"/>
  <c r="B437" i="6"/>
  <c r="D437" i="6" s="1"/>
  <c r="B570" i="6"/>
  <c r="D570" i="6" s="1"/>
  <c r="B565" i="6"/>
  <c r="D565" i="6" s="1"/>
  <c r="B538" i="6"/>
  <c r="D538" i="6" s="1"/>
  <c r="B533" i="6"/>
  <c r="D533" i="6" s="1"/>
  <c r="G4" i="6" l="1"/>
  <c r="G1" i="6" s="1"/>
  <c r="B550" i="6"/>
  <c r="D550" i="6" s="1"/>
  <c r="B422" i="6"/>
  <c r="D422" i="6" s="1"/>
  <c r="B454" i="6"/>
  <c r="D454" i="6" s="1"/>
  <c r="B502" i="6"/>
  <c r="D502" i="6" s="1"/>
  <c r="B486" i="6"/>
  <c r="D486" i="6" s="1"/>
  <c r="B390" i="6"/>
  <c r="D390" i="6" s="1"/>
  <c r="B518" i="6"/>
  <c r="D518" i="6" s="1"/>
  <c r="B406" i="6"/>
  <c r="D406" i="6" s="1"/>
  <c r="B470" i="6"/>
  <c r="D470" i="6" s="1"/>
  <c r="B438" i="6"/>
  <c r="D438" i="6" s="1"/>
  <c r="B566" i="6"/>
  <c r="D566" i="6" s="1"/>
  <c r="B534" i="6"/>
  <c r="D534" i="6" s="1"/>
  <c r="AQ58" i="5" l="1"/>
  <c r="AQ59" i="5"/>
  <c r="AQ60" i="5"/>
  <c r="AQ61" i="5"/>
  <c r="AQ62" i="5"/>
  <c r="AQ63" i="5"/>
  <c r="AQ64" i="5"/>
  <c r="AQ65" i="5"/>
  <c r="AQ66" i="5"/>
  <c r="AQ67" i="5"/>
  <c r="AQ68" i="5"/>
  <c r="AQ69" i="5"/>
  <c r="AQ70" i="5"/>
  <c r="AQ71" i="5"/>
  <c r="AQ72" i="5"/>
  <c r="AQ73" i="5"/>
  <c r="AQ74" i="5"/>
  <c r="AQ75" i="5"/>
  <c r="AQ76" i="5"/>
  <c r="AQ77" i="5"/>
  <c r="AK58" i="5"/>
  <c r="AL58" i="5"/>
  <c r="AM58" i="5"/>
  <c r="AN58" i="5"/>
  <c r="AO58" i="5"/>
  <c r="AP58" i="5"/>
  <c r="AK59" i="5"/>
  <c r="AL59" i="5"/>
  <c r="AM59" i="5"/>
  <c r="AN59" i="5"/>
  <c r="AO59" i="5"/>
  <c r="AP59" i="5"/>
  <c r="AK60" i="5"/>
  <c r="AL60" i="5"/>
  <c r="AM60" i="5"/>
  <c r="AN60" i="5"/>
  <c r="AO60" i="5"/>
  <c r="AP60" i="5"/>
  <c r="AK61" i="5"/>
  <c r="AL61" i="5"/>
  <c r="AM61" i="5"/>
  <c r="AN61" i="5"/>
  <c r="AO61" i="5"/>
  <c r="AP61" i="5"/>
  <c r="AK62" i="5"/>
  <c r="AL62" i="5"/>
  <c r="AM62" i="5"/>
  <c r="AN62" i="5"/>
  <c r="AO62" i="5"/>
  <c r="AP62" i="5"/>
  <c r="AK63" i="5"/>
  <c r="AL63" i="5"/>
  <c r="AM63" i="5"/>
  <c r="AN63" i="5"/>
  <c r="AO63" i="5"/>
  <c r="AP63" i="5"/>
  <c r="AI64" i="5"/>
  <c r="AJ64" i="5"/>
  <c r="AK64" i="5"/>
  <c r="AL64" i="5"/>
  <c r="AM64" i="5"/>
  <c r="AN64" i="5"/>
  <c r="AO64" i="5"/>
  <c r="AP64" i="5"/>
  <c r="AI65" i="5"/>
  <c r="AJ65" i="5"/>
  <c r="AK65" i="5"/>
  <c r="AL65" i="5"/>
  <c r="AM65" i="5"/>
  <c r="AN65" i="5"/>
  <c r="AO65" i="5"/>
  <c r="AP65" i="5"/>
  <c r="AI66" i="5"/>
  <c r="AJ66" i="5"/>
  <c r="AK66" i="5"/>
  <c r="AL66" i="5"/>
  <c r="AM66" i="5"/>
  <c r="AN66" i="5"/>
  <c r="AO66" i="5"/>
  <c r="AP66" i="5"/>
  <c r="AI67" i="5"/>
  <c r="AJ67" i="5"/>
  <c r="AK67" i="5"/>
  <c r="AL67" i="5"/>
  <c r="AM67" i="5"/>
  <c r="AN67" i="5"/>
  <c r="AO67" i="5"/>
  <c r="AP67" i="5"/>
  <c r="AI68" i="5"/>
  <c r="AJ68" i="5"/>
  <c r="AK68" i="5"/>
  <c r="AL68" i="5"/>
  <c r="AM68" i="5"/>
  <c r="AN68" i="5"/>
  <c r="AO68" i="5"/>
  <c r="AP68" i="5"/>
  <c r="AI69" i="5"/>
  <c r="AJ69" i="5"/>
  <c r="AK69" i="5"/>
  <c r="AL69" i="5"/>
  <c r="AM69" i="5"/>
  <c r="AN69" i="5"/>
  <c r="AO69" i="5"/>
  <c r="AP69" i="5"/>
  <c r="AI70" i="5"/>
  <c r="AJ70" i="5"/>
  <c r="AK70" i="5"/>
  <c r="AL70" i="5"/>
  <c r="AM70" i="5"/>
  <c r="AN70" i="5"/>
  <c r="AO70" i="5"/>
  <c r="AP70" i="5"/>
  <c r="AI71" i="5"/>
  <c r="AJ71" i="5"/>
  <c r="AK71" i="5"/>
  <c r="AL71" i="5"/>
  <c r="AM71" i="5"/>
  <c r="AN71" i="5"/>
  <c r="AO71" i="5"/>
  <c r="AP71" i="5"/>
  <c r="AI72" i="5"/>
  <c r="AJ72" i="5"/>
  <c r="AK72" i="5"/>
  <c r="AL72" i="5"/>
  <c r="AM72" i="5"/>
  <c r="AN72" i="5"/>
  <c r="AO72" i="5"/>
  <c r="AP72" i="5"/>
  <c r="AI73" i="5"/>
  <c r="AJ73" i="5"/>
  <c r="AK73" i="5"/>
  <c r="AL73" i="5"/>
  <c r="AM73" i="5"/>
  <c r="AN73" i="5"/>
  <c r="AO73" i="5"/>
  <c r="AP73" i="5"/>
  <c r="AI74" i="5"/>
  <c r="AJ74" i="5"/>
  <c r="AK74" i="5"/>
  <c r="AL74" i="5"/>
  <c r="AM74" i="5"/>
  <c r="AN74" i="5"/>
  <c r="AO74" i="5"/>
  <c r="AP74" i="5"/>
  <c r="AI75" i="5"/>
  <c r="AJ75" i="5"/>
  <c r="AK75" i="5"/>
  <c r="AL75" i="5"/>
  <c r="AM75" i="5"/>
  <c r="AN75" i="5"/>
  <c r="AO75" i="5"/>
  <c r="AP75" i="5"/>
  <c r="AI76" i="5"/>
  <c r="AJ76" i="5"/>
  <c r="AK76" i="5"/>
  <c r="AL76" i="5"/>
  <c r="AM76" i="5"/>
  <c r="AN76" i="5"/>
  <c r="AO76" i="5"/>
  <c r="AP76" i="5"/>
  <c r="AI77" i="5"/>
  <c r="AJ77" i="5"/>
  <c r="AK77" i="5"/>
  <c r="AL77" i="5"/>
  <c r="AM77" i="5"/>
  <c r="AN77" i="5"/>
  <c r="AO77" i="5"/>
  <c r="AP77" i="5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A18" i="7"/>
  <c r="A7" i="7"/>
  <c r="A11" i="7"/>
  <c r="A12" i="7"/>
  <c r="A16" i="7"/>
  <c r="A23" i="7"/>
  <c r="A27" i="7"/>
  <c r="A28" i="7"/>
  <c r="A32" i="7"/>
  <c r="A34" i="7"/>
  <c r="A39" i="7"/>
  <c r="A43" i="7"/>
  <c r="A44" i="7"/>
  <c r="A48" i="7"/>
  <c r="A50" i="7"/>
  <c r="A55" i="7"/>
  <c r="A59" i="7"/>
  <c r="A60" i="7"/>
  <c r="A64" i="7"/>
  <c r="A66" i="7"/>
  <c r="A71" i="7"/>
  <c r="A75" i="7"/>
  <c r="A76" i="7"/>
  <c r="A80" i="7"/>
  <c r="A82" i="7"/>
  <c r="A87" i="7"/>
  <c r="A91" i="7"/>
  <c r="A92" i="7"/>
  <c r="A96" i="7"/>
  <c r="A98" i="7"/>
  <c r="A103" i="7"/>
  <c r="A107" i="7"/>
  <c r="A108" i="7"/>
  <c r="A112" i="7"/>
  <c r="A114" i="7"/>
  <c r="A119" i="7"/>
  <c r="A123" i="7"/>
  <c r="A124" i="7"/>
  <c r="A128" i="7"/>
  <c r="A130" i="7"/>
  <c r="A135" i="7"/>
  <c r="A139" i="7"/>
  <c r="A140" i="7"/>
  <c r="A144" i="7"/>
  <c r="A146" i="7"/>
  <c r="A151" i="7"/>
  <c r="A155" i="7"/>
  <c r="A156" i="7"/>
  <c r="A160" i="7"/>
  <c r="A162" i="7"/>
  <c r="A167" i="7"/>
  <c r="A171" i="7"/>
  <c r="A172" i="7"/>
  <c r="A176" i="7"/>
  <c r="A178" i="7"/>
  <c r="A183" i="7"/>
  <c r="A187" i="7"/>
  <c r="A188" i="7"/>
  <c r="A192" i="7"/>
  <c r="A194" i="7"/>
  <c r="A199" i="7"/>
  <c r="A203" i="7"/>
  <c r="A204" i="7"/>
  <c r="A208" i="7"/>
  <c r="A210" i="7"/>
  <c r="A215" i="7"/>
  <c r="A219" i="7"/>
  <c r="A220" i="7"/>
  <c r="A224" i="7"/>
  <c r="A226" i="7"/>
  <c r="A231" i="7"/>
  <c r="A235" i="7"/>
  <c r="A236" i="7"/>
  <c r="A240" i="7"/>
  <c r="A242" i="7"/>
  <c r="A247" i="7"/>
  <c r="A251" i="7"/>
  <c r="A252" i="7"/>
  <c r="A256" i="7"/>
  <c r="A258" i="7"/>
  <c r="A263" i="7"/>
  <c r="A267" i="7"/>
  <c r="A268" i="7"/>
  <c r="A272" i="7"/>
  <c r="A274" i="7"/>
  <c r="A279" i="7"/>
  <c r="A283" i="7"/>
  <c r="A284" i="7"/>
  <c r="A288" i="7"/>
  <c r="A290" i="7"/>
  <c r="A295" i="7"/>
  <c r="A299" i="7"/>
  <c r="A300" i="7"/>
  <c r="A304" i="7"/>
  <c r="A306" i="7"/>
  <c r="A311" i="7"/>
  <c r="A315" i="7"/>
  <c r="A316" i="7"/>
  <c r="A320" i="7"/>
  <c r="A322" i="7"/>
  <c r="A327" i="7"/>
  <c r="A331" i="7"/>
  <c r="A332" i="7"/>
  <c r="A336" i="7"/>
  <c r="A338" i="7"/>
  <c r="A343" i="7"/>
  <c r="A347" i="7"/>
  <c r="A348" i="7"/>
  <c r="A352" i="7"/>
  <c r="A354" i="7"/>
  <c r="A359" i="7"/>
  <c r="A363" i="7"/>
  <c r="A364" i="7"/>
  <c r="A368" i="7"/>
  <c r="A370" i="7"/>
  <c r="A375" i="7"/>
  <c r="A379" i="7"/>
  <c r="A380" i="7"/>
  <c r="A384" i="7"/>
  <c r="A2" i="7"/>
  <c r="C18" i="7" l="1"/>
  <c r="D18" i="7"/>
  <c r="D19" i="7"/>
  <c r="D20" i="7"/>
  <c r="D21" i="7"/>
  <c r="D22" i="7"/>
  <c r="C23" i="7"/>
  <c r="D23" i="7"/>
  <c r="D24" i="7"/>
  <c r="D25" i="7"/>
  <c r="D26" i="7"/>
  <c r="C27" i="7"/>
  <c r="D27" i="7"/>
  <c r="C28" i="7"/>
  <c r="D28" i="7"/>
  <c r="D29" i="7"/>
  <c r="D30" i="7"/>
  <c r="D31" i="7"/>
  <c r="C32" i="7"/>
  <c r="D32" i="7"/>
  <c r="E33" i="7"/>
  <c r="C34" i="7"/>
  <c r="D34" i="7"/>
  <c r="D35" i="7"/>
  <c r="D36" i="7"/>
  <c r="D37" i="7"/>
  <c r="D38" i="7"/>
  <c r="C39" i="7"/>
  <c r="D39" i="7"/>
  <c r="D40" i="7"/>
  <c r="D41" i="7"/>
  <c r="D42" i="7"/>
  <c r="C43" i="7"/>
  <c r="D43" i="7"/>
  <c r="C44" i="7"/>
  <c r="D44" i="7"/>
  <c r="D45" i="7"/>
  <c r="D46" i="7"/>
  <c r="D47" i="7"/>
  <c r="C48" i="7"/>
  <c r="D48" i="7"/>
  <c r="E49" i="7"/>
  <c r="C50" i="7"/>
  <c r="D50" i="7"/>
  <c r="D51" i="7"/>
  <c r="D52" i="7"/>
  <c r="D53" i="7"/>
  <c r="D54" i="7"/>
  <c r="C55" i="7"/>
  <c r="D55" i="7"/>
  <c r="D56" i="7"/>
  <c r="D57" i="7"/>
  <c r="D58" i="7"/>
  <c r="C59" i="7"/>
  <c r="D59" i="7"/>
  <c r="C60" i="7"/>
  <c r="D60" i="7"/>
  <c r="D61" i="7"/>
  <c r="D62" i="7"/>
  <c r="D63" i="7"/>
  <c r="C64" i="7"/>
  <c r="D64" i="7"/>
  <c r="E65" i="7"/>
  <c r="C66" i="7"/>
  <c r="D66" i="7"/>
  <c r="D67" i="7"/>
  <c r="D68" i="7"/>
  <c r="D69" i="7"/>
  <c r="D70" i="7"/>
  <c r="C71" i="7"/>
  <c r="D71" i="7"/>
  <c r="D72" i="7"/>
  <c r="D73" i="7"/>
  <c r="D74" i="7"/>
  <c r="C75" i="7"/>
  <c r="D75" i="7"/>
  <c r="C76" i="7"/>
  <c r="D76" i="7"/>
  <c r="D77" i="7"/>
  <c r="D78" i="7"/>
  <c r="D79" i="7"/>
  <c r="C80" i="7"/>
  <c r="D80" i="7"/>
  <c r="E81" i="7"/>
  <c r="C82" i="7"/>
  <c r="D82" i="7"/>
  <c r="D83" i="7"/>
  <c r="D84" i="7"/>
  <c r="D85" i="7"/>
  <c r="D86" i="7"/>
  <c r="C87" i="7"/>
  <c r="D87" i="7"/>
  <c r="D88" i="7"/>
  <c r="D89" i="7"/>
  <c r="D90" i="7"/>
  <c r="C91" i="7"/>
  <c r="D91" i="7"/>
  <c r="C92" i="7"/>
  <c r="D92" i="7"/>
  <c r="D93" i="7"/>
  <c r="D94" i="7"/>
  <c r="D95" i="7"/>
  <c r="C96" i="7"/>
  <c r="D96" i="7"/>
  <c r="E97" i="7"/>
  <c r="C98" i="7"/>
  <c r="D98" i="7"/>
  <c r="D99" i="7"/>
  <c r="D100" i="7"/>
  <c r="D101" i="7"/>
  <c r="D102" i="7"/>
  <c r="C103" i="7"/>
  <c r="D103" i="7"/>
  <c r="D104" i="7"/>
  <c r="D105" i="7"/>
  <c r="D106" i="7"/>
  <c r="C107" i="7"/>
  <c r="D107" i="7"/>
  <c r="C108" i="7"/>
  <c r="D108" i="7"/>
  <c r="D109" i="7"/>
  <c r="D110" i="7"/>
  <c r="D111" i="7"/>
  <c r="C112" i="7"/>
  <c r="D112" i="7"/>
  <c r="E113" i="7"/>
  <c r="C114" i="7"/>
  <c r="D114" i="7"/>
  <c r="D115" i="7"/>
  <c r="D116" i="7"/>
  <c r="D117" i="7"/>
  <c r="D118" i="7"/>
  <c r="C119" i="7"/>
  <c r="D119" i="7"/>
  <c r="D120" i="7"/>
  <c r="D121" i="7"/>
  <c r="D122" i="7"/>
  <c r="C123" i="7"/>
  <c r="D123" i="7"/>
  <c r="C124" i="7"/>
  <c r="D124" i="7"/>
  <c r="D125" i="7"/>
  <c r="D126" i="7"/>
  <c r="D127" i="7"/>
  <c r="C128" i="7"/>
  <c r="D128" i="7"/>
  <c r="E129" i="7"/>
  <c r="C130" i="7"/>
  <c r="D130" i="7"/>
  <c r="D131" i="7"/>
  <c r="D132" i="7"/>
  <c r="D133" i="7"/>
  <c r="D134" i="7"/>
  <c r="C135" i="7"/>
  <c r="D135" i="7"/>
  <c r="D136" i="7"/>
  <c r="D137" i="7"/>
  <c r="D138" i="7"/>
  <c r="C139" i="7"/>
  <c r="D139" i="7"/>
  <c r="C140" i="7"/>
  <c r="D140" i="7"/>
  <c r="D141" i="7"/>
  <c r="D142" i="7"/>
  <c r="D143" i="7"/>
  <c r="C144" i="7"/>
  <c r="D144" i="7"/>
  <c r="E145" i="7"/>
  <c r="C146" i="7"/>
  <c r="D146" i="7"/>
  <c r="D147" i="7"/>
  <c r="D148" i="7"/>
  <c r="D149" i="7"/>
  <c r="D150" i="7"/>
  <c r="C151" i="7"/>
  <c r="D151" i="7"/>
  <c r="D152" i="7"/>
  <c r="D153" i="7"/>
  <c r="D154" i="7"/>
  <c r="C155" i="7"/>
  <c r="D155" i="7"/>
  <c r="C156" i="7"/>
  <c r="D156" i="7"/>
  <c r="D157" i="7"/>
  <c r="D158" i="7"/>
  <c r="D159" i="7"/>
  <c r="C160" i="7"/>
  <c r="D160" i="7"/>
  <c r="E161" i="7"/>
  <c r="C162" i="7"/>
  <c r="D162" i="7"/>
  <c r="D163" i="7"/>
  <c r="D164" i="7"/>
  <c r="D165" i="7"/>
  <c r="D166" i="7"/>
  <c r="C167" i="7"/>
  <c r="D167" i="7"/>
  <c r="D168" i="7"/>
  <c r="D169" i="7"/>
  <c r="D170" i="7"/>
  <c r="C171" i="7"/>
  <c r="D171" i="7"/>
  <c r="C172" i="7"/>
  <c r="D172" i="7"/>
  <c r="D173" i="7"/>
  <c r="D174" i="7"/>
  <c r="D175" i="7"/>
  <c r="C176" i="7"/>
  <c r="D176" i="7"/>
  <c r="E177" i="7"/>
  <c r="C178" i="7"/>
  <c r="D178" i="7"/>
  <c r="D179" i="7"/>
  <c r="D180" i="7"/>
  <c r="D181" i="7"/>
  <c r="D182" i="7"/>
  <c r="C183" i="7"/>
  <c r="D183" i="7"/>
  <c r="D184" i="7"/>
  <c r="D185" i="7"/>
  <c r="D186" i="7"/>
  <c r="C187" i="7"/>
  <c r="D187" i="7"/>
  <c r="C188" i="7"/>
  <c r="D188" i="7"/>
  <c r="D189" i="7"/>
  <c r="D190" i="7"/>
  <c r="D191" i="7"/>
  <c r="C192" i="7"/>
  <c r="D192" i="7"/>
  <c r="E193" i="7"/>
  <c r="C194" i="7"/>
  <c r="D194" i="7"/>
  <c r="D195" i="7"/>
  <c r="D196" i="7"/>
  <c r="D197" i="7"/>
  <c r="D198" i="7"/>
  <c r="C199" i="7"/>
  <c r="D199" i="7"/>
  <c r="D200" i="7"/>
  <c r="D201" i="7"/>
  <c r="D202" i="7"/>
  <c r="C203" i="7"/>
  <c r="D203" i="7"/>
  <c r="C204" i="7"/>
  <c r="D204" i="7"/>
  <c r="D205" i="7"/>
  <c r="D206" i="7"/>
  <c r="D207" i="7"/>
  <c r="C208" i="7"/>
  <c r="D208" i="7"/>
  <c r="E209" i="7"/>
  <c r="C210" i="7"/>
  <c r="D210" i="7"/>
  <c r="D211" i="7"/>
  <c r="D212" i="7"/>
  <c r="D213" i="7"/>
  <c r="D214" i="7"/>
  <c r="C215" i="7"/>
  <c r="D215" i="7"/>
  <c r="D216" i="7"/>
  <c r="D217" i="7"/>
  <c r="D218" i="7"/>
  <c r="C219" i="7"/>
  <c r="D219" i="7"/>
  <c r="C220" i="7"/>
  <c r="D220" i="7"/>
  <c r="D221" i="7"/>
  <c r="D222" i="7"/>
  <c r="D223" i="7"/>
  <c r="C224" i="7"/>
  <c r="D224" i="7"/>
  <c r="E225" i="7"/>
  <c r="C226" i="7"/>
  <c r="D226" i="7"/>
  <c r="D227" i="7"/>
  <c r="D228" i="7"/>
  <c r="D229" i="7"/>
  <c r="D230" i="7"/>
  <c r="C231" i="7"/>
  <c r="D231" i="7"/>
  <c r="D232" i="7"/>
  <c r="D233" i="7"/>
  <c r="D234" i="7"/>
  <c r="C235" i="7"/>
  <c r="D235" i="7"/>
  <c r="C236" i="7"/>
  <c r="D236" i="7"/>
  <c r="D237" i="7"/>
  <c r="D238" i="7"/>
  <c r="D239" i="7"/>
  <c r="C240" i="7"/>
  <c r="D240" i="7"/>
  <c r="E241" i="7"/>
  <c r="C242" i="7"/>
  <c r="D242" i="7"/>
  <c r="D243" i="7"/>
  <c r="D244" i="7"/>
  <c r="D245" i="7"/>
  <c r="D246" i="7"/>
  <c r="C247" i="7"/>
  <c r="D247" i="7"/>
  <c r="D248" i="7"/>
  <c r="D249" i="7"/>
  <c r="D250" i="7"/>
  <c r="C251" i="7"/>
  <c r="D251" i="7"/>
  <c r="C252" i="7"/>
  <c r="D252" i="7"/>
  <c r="D253" i="7"/>
  <c r="D254" i="7"/>
  <c r="D255" i="7"/>
  <c r="C256" i="7"/>
  <c r="D256" i="7"/>
  <c r="E257" i="7"/>
  <c r="C258" i="7"/>
  <c r="D258" i="7"/>
  <c r="D259" i="7"/>
  <c r="D260" i="7"/>
  <c r="D261" i="7"/>
  <c r="D262" i="7"/>
  <c r="C263" i="7"/>
  <c r="D263" i="7"/>
  <c r="D264" i="7"/>
  <c r="D265" i="7"/>
  <c r="D266" i="7"/>
  <c r="C267" i="7"/>
  <c r="D267" i="7"/>
  <c r="C268" i="7"/>
  <c r="D268" i="7"/>
  <c r="D269" i="7"/>
  <c r="D270" i="7"/>
  <c r="D271" i="7"/>
  <c r="C272" i="7"/>
  <c r="D272" i="7"/>
  <c r="E273" i="7"/>
  <c r="C274" i="7"/>
  <c r="D274" i="7"/>
  <c r="D275" i="7"/>
  <c r="D276" i="7"/>
  <c r="D277" i="7"/>
  <c r="D278" i="7"/>
  <c r="C279" i="7"/>
  <c r="D279" i="7"/>
  <c r="D280" i="7"/>
  <c r="D281" i="7"/>
  <c r="D282" i="7"/>
  <c r="C283" i="7"/>
  <c r="D283" i="7"/>
  <c r="C284" i="7"/>
  <c r="D284" i="7"/>
  <c r="D285" i="7"/>
  <c r="D286" i="7"/>
  <c r="D287" i="7"/>
  <c r="C288" i="7"/>
  <c r="D288" i="7"/>
  <c r="E289" i="7"/>
  <c r="C290" i="7"/>
  <c r="D290" i="7"/>
  <c r="D291" i="7"/>
  <c r="D292" i="7"/>
  <c r="D293" i="7"/>
  <c r="D294" i="7"/>
  <c r="C295" i="7"/>
  <c r="D295" i="7"/>
  <c r="D296" i="7"/>
  <c r="D297" i="7"/>
  <c r="D298" i="7"/>
  <c r="C299" i="7"/>
  <c r="D299" i="7"/>
  <c r="C300" i="7"/>
  <c r="D300" i="7"/>
  <c r="D301" i="7"/>
  <c r="D302" i="7"/>
  <c r="D303" i="7"/>
  <c r="C304" i="7"/>
  <c r="D304" i="7"/>
  <c r="E305" i="7"/>
  <c r="C306" i="7"/>
  <c r="D306" i="7"/>
  <c r="D307" i="7"/>
  <c r="D308" i="7"/>
  <c r="D309" i="7"/>
  <c r="D310" i="7"/>
  <c r="C311" i="7"/>
  <c r="D311" i="7"/>
  <c r="D312" i="7"/>
  <c r="D313" i="7"/>
  <c r="D314" i="7"/>
  <c r="C315" i="7"/>
  <c r="D315" i="7"/>
  <c r="C316" i="7"/>
  <c r="D316" i="7"/>
  <c r="D317" i="7"/>
  <c r="D318" i="7"/>
  <c r="D319" i="7"/>
  <c r="C320" i="7"/>
  <c r="D320" i="7"/>
  <c r="E321" i="7"/>
  <c r="C322" i="7"/>
  <c r="D322" i="7"/>
  <c r="D323" i="7"/>
  <c r="D324" i="7"/>
  <c r="D325" i="7"/>
  <c r="D326" i="7"/>
  <c r="C327" i="7"/>
  <c r="D327" i="7"/>
  <c r="D328" i="7"/>
  <c r="D329" i="7"/>
  <c r="D330" i="7"/>
  <c r="C331" i="7"/>
  <c r="D331" i="7"/>
  <c r="C332" i="7"/>
  <c r="D332" i="7"/>
  <c r="D333" i="7"/>
  <c r="D334" i="7"/>
  <c r="D335" i="7"/>
  <c r="C336" i="7"/>
  <c r="D336" i="7"/>
  <c r="E337" i="7"/>
  <c r="C338" i="7"/>
  <c r="D338" i="7"/>
  <c r="D339" i="7"/>
  <c r="D340" i="7"/>
  <c r="D341" i="7"/>
  <c r="D342" i="7"/>
  <c r="C343" i="7"/>
  <c r="D343" i="7"/>
  <c r="D344" i="7"/>
  <c r="D345" i="7"/>
  <c r="D346" i="7"/>
  <c r="C347" i="7"/>
  <c r="D347" i="7"/>
  <c r="C348" i="7"/>
  <c r="D348" i="7"/>
  <c r="D349" i="7"/>
  <c r="D350" i="7"/>
  <c r="D351" i="7"/>
  <c r="C352" i="7"/>
  <c r="D352" i="7"/>
  <c r="E353" i="7"/>
  <c r="C354" i="7"/>
  <c r="D354" i="7"/>
  <c r="D355" i="7"/>
  <c r="D356" i="7"/>
  <c r="D357" i="7"/>
  <c r="D358" i="7"/>
  <c r="C359" i="7"/>
  <c r="D359" i="7"/>
  <c r="D360" i="7"/>
  <c r="D361" i="7"/>
  <c r="D362" i="7"/>
  <c r="C363" i="7"/>
  <c r="D363" i="7"/>
  <c r="C364" i="7"/>
  <c r="D364" i="7"/>
  <c r="D365" i="7"/>
  <c r="D366" i="7"/>
  <c r="D367" i="7"/>
  <c r="C368" i="7"/>
  <c r="D368" i="7"/>
  <c r="E369" i="7"/>
  <c r="C370" i="7"/>
  <c r="D370" i="7"/>
  <c r="D371" i="7"/>
  <c r="D372" i="7"/>
  <c r="D373" i="7"/>
  <c r="D374" i="7"/>
  <c r="C375" i="7"/>
  <c r="D375" i="7"/>
  <c r="D376" i="7"/>
  <c r="D377" i="7"/>
  <c r="D378" i="7"/>
  <c r="C379" i="7"/>
  <c r="D379" i="7"/>
  <c r="C380" i="7"/>
  <c r="D380" i="7"/>
  <c r="D381" i="7"/>
  <c r="D382" i="7"/>
  <c r="D383" i="7"/>
  <c r="C384" i="7"/>
  <c r="D384" i="7"/>
  <c r="B376" i="6"/>
  <c r="D376" i="6" s="1"/>
  <c r="B371" i="6"/>
  <c r="D371" i="6" s="1"/>
  <c r="B360" i="6"/>
  <c r="D360" i="6" s="1"/>
  <c r="B355" i="6"/>
  <c r="D355" i="6" s="1"/>
  <c r="B344" i="6"/>
  <c r="D344" i="6" s="1"/>
  <c r="B339" i="6"/>
  <c r="D339" i="6" s="1"/>
  <c r="B328" i="6"/>
  <c r="D328" i="6" s="1"/>
  <c r="B323" i="6"/>
  <c r="D323" i="6" s="1"/>
  <c r="B312" i="6"/>
  <c r="D312" i="6" s="1"/>
  <c r="B307" i="6"/>
  <c r="D307" i="6" s="1"/>
  <c r="B296" i="6"/>
  <c r="D296" i="6" s="1"/>
  <c r="B291" i="6"/>
  <c r="D291" i="6" s="1"/>
  <c r="B280" i="6"/>
  <c r="D280" i="6" s="1"/>
  <c r="B275" i="6"/>
  <c r="D275" i="6" s="1"/>
  <c r="B264" i="6"/>
  <c r="D264" i="6" s="1"/>
  <c r="B259" i="6"/>
  <c r="D259" i="6" s="1"/>
  <c r="B248" i="6"/>
  <c r="D248" i="6" s="1"/>
  <c r="B243" i="6"/>
  <c r="D243" i="6" s="1"/>
  <c r="B232" i="6"/>
  <c r="D232" i="6" s="1"/>
  <c r="B227" i="6"/>
  <c r="D227" i="6" s="1"/>
  <c r="B216" i="6"/>
  <c r="D216" i="6" s="1"/>
  <c r="B211" i="6"/>
  <c r="D211" i="6" s="1"/>
  <c r="B200" i="6"/>
  <c r="D200" i="6" s="1"/>
  <c r="B195" i="6"/>
  <c r="D195" i="6" s="1"/>
  <c r="B184" i="6"/>
  <c r="D184" i="6" s="1"/>
  <c r="B179" i="6"/>
  <c r="D179" i="6" s="1"/>
  <c r="B168" i="6"/>
  <c r="D168" i="6" s="1"/>
  <c r="B163" i="6"/>
  <c r="D163" i="6" s="1"/>
  <c r="B152" i="6"/>
  <c r="D152" i="6" s="1"/>
  <c r="B147" i="6"/>
  <c r="D147" i="6" s="1"/>
  <c r="B136" i="6"/>
  <c r="D136" i="6" s="1"/>
  <c r="B131" i="6"/>
  <c r="D131" i="6" s="1"/>
  <c r="B120" i="6"/>
  <c r="D120" i="6" s="1"/>
  <c r="B115" i="6"/>
  <c r="D115" i="6" s="1"/>
  <c r="B104" i="6"/>
  <c r="D104" i="6" s="1"/>
  <c r="B99" i="6"/>
  <c r="D99" i="6" s="1"/>
  <c r="E17" i="7"/>
  <c r="B88" i="6"/>
  <c r="D88" i="6" s="1"/>
  <c r="B83" i="6"/>
  <c r="D83" i="6" s="1"/>
  <c r="B72" i="6"/>
  <c r="D72" i="6" s="1"/>
  <c r="B67" i="6"/>
  <c r="D67" i="6" s="1"/>
  <c r="B56" i="6"/>
  <c r="D56" i="6" s="1"/>
  <c r="B51" i="6"/>
  <c r="D51" i="6" s="1"/>
  <c r="B40" i="6"/>
  <c r="D40" i="6" s="1"/>
  <c r="B35" i="6"/>
  <c r="D35" i="6" s="1"/>
  <c r="B24" i="6"/>
  <c r="D24" i="6" s="1"/>
  <c r="B19" i="6"/>
  <c r="D19" i="6" s="1"/>
  <c r="B8" i="6"/>
  <c r="D8" i="6" s="1"/>
  <c r="E384" i="7" l="1"/>
  <c r="E43" i="7"/>
  <c r="E144" i="7"/>
  <c r="E203" i="7"/>
  <c r="E352" i="7"/>
  <c r="E208" i="7"/>
  <c r="E112" i="7"/>
  <c r="E332" i="7"/>
  <c r="E236" i="7"/>
  <c r="E363" i="7"/>
  <c r="E299" i="7"/>
  <c r="E251" i="7"/>
  <c r="E219" i="7"/>
  <c r="E171" i="7"/>
  <c r="E123" i="7"/>
  <c r="E75" i="7"/>
  <c r="E279" i="7"/>
  <c r="E338" i="7"/>
  <c r="E210" i="7"/>
  <c r="E194" i="7"/>
  <c r="E114" i="7"/>
  <c r="E98" i="7"/>
  <c r="B382" i="6"/>
  <c r="A381" i="7"/>
  <c r="C381" i="7" s="1"/>
  <c r="E381" i="7" s="1"/>
  <c r="B366" i="6"/>
  <c r="A365" i="7"/>
  <c r="C365" i="7" s="1"/>
  <c r="E365" i="7" s="1"/>
  <c r="B350" i="6"/>
  <c r="A349" i="7"/>
  <c r="C349" i="7" s="1"/>
  <c r="E349" i="7" s="1"/>
  <c r="B334" i="6"/>
  <c r="A333" i="7"/>
  <c r="C333" i="7" s="1"/>
  <c r="E333" i="7" s="1"/>
  <c r="B318" i="6"/>
  <c r="A317" i="7"/>
  <c r="C317" i="7" s="1"/>
  <c r="E317" i="7" s="1"/>
  <c r="B302" i="6"/>
  <c r="A301" i="7"/>
  <c r="C301" i="7" s="1"/>
  <c r="E301" i="7" s="1"/>
  <c r="B286" i="6"/>
  <c r="A285" i="7"/>
  <c r="C285" i="7" s="1"/>
  <c r="E285" i="7" s="1"/>
  <c r="B270" i="6"/>
  <c r="A269" i="7"/>
  <c r="C269" i="7" s="1"/>
  <c r="E269" i="7" s="1"/>
  <c r="E268" i="7"/>
  <c r="B254" i="6"/>
  <c r="A253" i="7"/>
  <c r="C253" i="7" s="1"/>
  <c r="E253" i="7" s="1"/>
  <c r="B238" i="6"/>
  <c r="A237" i="7"/>
  <c r="C237" i="7" s="1"/>
  <c r="E237" i="7" s="1"/>
  <c r="B222" i="6"/>
  <c r="A221" i="7"/>
  <c r="C221" i="7" s="1"/>
  <c r="E221" i="7" s="1"/>
  <c r="A205" i="7"/>
  <c r="C205" i="7" s="1"/>
  <c r="E205" i="7" s="1"/>
  <c r="B190" i="6"/>
  <c r="A189" i="7"/>
  <c r="C189" i="7" s="1"/>
  <c r="E189" i="7" s="1"/>
  <c r="B174" i="6"/>
  <c r="A173" i="7"/>
  <c r="C173" i="7" s="1"/>
  <c r="E173" i="7" s="1"/>
  <c r="B158" i="6"/>
  <c r="A157" i="7"/>
  <c r="C157" i="7" s="1"/>
  <c r="E157" i="7" s="1"/>
  <c r="B142" i="6"/>
  <c r="A141" i="7"/>
  <c r="C141" i="7" s="1"/>
  <c r="E141" i="7" s="1"/>
  <c r="A125" i="7"/>
  <c r="C125" i="7" s="1"/>
  <c r="E125" i="7" s="1"/>
  <c r="B110" i="6"/>
  <c r="A109" i="7"/>
  <c r="C109" i="7" s="1"/>
  <c r="E109" i="7" s="1"/>
  <c r="B94" i="6"/>
  <c r="A93" i="7"/>
  <c r="C93" i="7" s="1"/>
  <c r="E93" i="7" s="1"/>
  <c r="A77" i="7"/>
  <c r="C77" i="7" s="1"/>
  <c r="E77" i="7" s="1"/>
  <c r="A61" i="7"/>
  <c r="C61" i="7" s="1"/>
  <c r="E61" i="7" s="1"/>
  <c r="A45" i="7"/>
  <c r="C45" i="7" s="1"/>
  <c r="E45" i="7" s="1"/>
  <c r="A29" i="7"/>
  <c r="C29" i="7" s="1"/>
  <c r="E29" i="7" s="1"/>
  <c r="B14" i="6"/>
  <c r="D14" i="6" s="1"/>
  <c r="A13" i="7"/>
  <c r="C13" i="7" s="1"/>
  <c r="B377" i="6"/>
  <c r="A376" i="7"/>
  <c r="C376" i="7" s="1"/>
  <c r="E376" i="7" s="1"/>
  <c r="B361" i="6"/>
  <c r="A360" i="7"/>
  <c r="C360" i="7" s="1"/>
  <c r="E360" i="7" s="1"/>
  <c r="A344" i="7"/>
  <c r="C344" i="7" s="1"/>
  <c r="E344" i="7" s="1"/>
  <c r="B329" i="6"/>
  <c r="A328" i="7"/>
  <c r="C328" i="7" s="1"/>
  <c r="E328" i="7" s="1"/>
  <c r="E327" i="7"/>
  <c r="B313" i="6"/>
  <c r="A312" i="7"/>
  <c r="C312" i="7" s="1"/>
  <c r="E312" i="7" s="1"/>
  <c r="B297" i="6"/>
  <c r="A296" i="7"/>
  <c r="C296" i="7" s="1"/>
  <c r="E296" i="7" s="1"/>
  <c r="A280" i="7"/>
  <c r="C280" i="7" s="1"/>
  <c r="E280" i="7" s="1"/>
  <c r="A264" i="7"/>
  <c r="C264" i="7" s="1"/>
  <c r="E264" i="7" s="1"/>
  <c r="B249" i="6"/>
  <c r="A248" i="7"/>
  <c r="C248" i="7" s="1"/>
  <c r="E248" i="7" s="1"/>
  <c r="B233" i="6"/>
  <c r="A232" i="7"/>
  <c r="C232" i="7" s="1"/>
  <c r="E232" i="7" s="1"/>
  <c r="A216" i="7"/>
  <c r="C216" i="7" s="1"/>
  <c r="E216" i="7" s="1"/>
  <c r="B201" i="6"/>
  <c r="A200" i="7"/>
  <c r="C200" i="7" s="1"/>
  <c r="E200" i="7" s="1"/>
  <c r="B185" i="6"/>
  <c r="A184" i="7"/>
  <c r="C184" i="7" s="1"/>
  <c r="E184" i="7" s="1"/>
  <c r="B169" i="6"/>
  <c r="A168" i="7"/>
  <c r="C168" i="7" s="1"/>
  <c r="E168" i="7" s="1"/>
  <c r="E167" i="7"/>
  <c r="A152" i="7"/>
  <c r="C152" i="7" s="1"/>
  <c r="E152" i="7" s="1"/>
  <c r="B137" i="6"/>
  <c r="A136" i="7"/>
  <c r="C136" i="7" s="1"/>
  <c r="E136" i="7" s="1"/>
  <c r="B121" i="6"/>
  <c r="A120" i="7"/>
  <c r="C120" i="7" s="1"/>
  <c r="E120" i="7" s="1"/>
  <c r="A104" i="7"/>
  <c r="C104" i="7" s="1"/>
  <c r="E104" i="7" s="1"/>
  <c r="A88" i="7"/>
  <c r="C88" i="7" s="1"/>
  <c r="E88" i="7" s="1"/>
  <c r="B73" i="6"/>
  <c r="A72" i="7"/>
  <c r="C72" i="7" s="1"/>
  <c r="E72" i="7" s="1"/>
  <c r="B57" i="6"/>
  <c r="A56" i="7"/>
  <c r="C56" i="7" s="1"/>
  <c r="E56" i="7" s="1"/>
  <c r="B41" i="6"/>
  <c r="A40" i="7"/>
  <c r="C40" i="7" s="1"/>
  <c r="E40" i="7" s="1"/>
  <c r="E39" i="7"/>
  <c r="B25" i="6"/>
  <c r="A24" i="7"/>
  <c r="C24" i="7" s="1"/>
  <c r="E24" i="7" s="1"/>
  <c r="B9" i="6"/>
  <c r="A8" i="7"/>
  <c r="C8" i="7" s="1"/>
  <c r="B372" i="6"/>
  <c r="A371" i="7"/>
  <c r="C371" i="7" s="1"/>
  <c r="E371" i="7" s="1"/>
  <c r="B356" i="6"/>
  <c r="A355" i="7"/>
  <c r="C355" i="7" s="1"/>
  <c r="E355" i="7" s="1"/>
  <c r="B340" i="6"/>
  <c r="A339" i="7"/>
  <c r="C339" i="7" s="1"/>
  <c r="E339" i="7" s="1"/>
  <c r="A323" i="7"/>
  <c r="C323" i="7" s="1"/>
  <c r="E323" i="7" s="1"/>
  <c r="B308" i="6"/>
  <c r="A307" i="7"/>
  <c r="C307" i="7" s="1"/>
  <c r="E307" i="7" s="1"/>
  <c r="B292" i="6"/>
  <c r="A291" i="7"/>
  <c r="C291" i="7" s="1"/>
  <c r="E291" i="7" s="1"/>
  <c r="B276" i="6"/>
  <c r="A275" i="7"/>
  <c r="C275" i="7" s="1"/>
  <c r="E275" i="7" s="1"/>
  <c r="B260" i="6"/>
  <c r="A259" i="7"/>
  <c r="C259" i="7" s="1"/>
  <c r="E259" i="7" s="1"/>
  <c r="B244" i="6"/>
  <c r="A243" i="7"/>
  <c r="C243" i="7" s="1"/>
  <c r="E243" i="7" s="1"/>
  <c r="B228" i="6"/>
  <c r="A227" i="7"/>
  <c r="C227" i="7" s="1"/>
  <c r="E227" i="7" s="1"/>
  <c r="B212" i="6"/>
  <c r="A211" i="7"/>
  <c r="C211" i="7" s="1"/>
  <c r="E211" i="7" s="1"/>
  <c r="A195" i="7"/>
  <c r="C195" i="7" s="1"/>
  <c r="E195" i="7" s="1"/>
  <c r="B180" i="6"/>
  <c r="A179" i="7"/>
  <c r="C179" i="7" s="1"/>
  <c r="E179" i="7" s="1"/>
  <c r="A163" i="7"/>
  <c r="C163" i="7" s="1"/>
  <c r="E163" i="7" s="1"/>
  <c r="B148" i="6"/>
  <c r="A147" i="7"/>
  <c r="C147" i="7" s="1"/>
  <c r="E147" i="7" s="1"/>
  <c r="A131" i="7"/>
  <c r="C131" i="7" s="1"/>
  <c r="E131" i="7" s="1"/>
  <c r="A115" i="7"/>
  <c r="C115" i="7" s="1"/>
  <c r="E115" i="7" s="1"/>
  <c r="B100" i="6"/>
  <c r="A99" i="7"/>
  <c r="C99" i="7" s="1"/>
  <c r="E99" i="7" s="1"/>
  <c r="A83" i="7"/>
  <c r="C83" i="7" s="1"/>
  <c r="E83" i="7" s="1"/>
  <c r="A67" i="7"/>
  <c r="C67" i="7" s="1"/>
  <c r="E67" i="7" s="1"/>
  <c r="A51" i="7"/>
  <c r="C51" i="7" s="1"/>
  <c r="E51" i="7" s="1"/>
  <c r="A35" i="7"/>
  <c r="C35" i="7" s="1"/>
  <c r="E35" i="7" s="1"/>
  <c r="A19" i="7"/>
  <c r="C19" i="7" s="1"/>
  <c r="E19" i="7" s="1"/>
  <c r="E368" i="7"/>
  <c r="E364" i="7"/>
  <c r="E304" i="7"/>
  <c r="E300" i="7"/>
  <c r="E272" i="7"/>
  <c r="E140" i="7"/>
  <c r="E119" i="7"/>
  <c r="E87" i="7"/>
  <c r="E55" i="7"/>
  <c r="E23" i="7"/>
  <c r="E379" i="7"/>
  <c r="E370" i="7"/>
  <c r="E347" i="7"/>
  <c r="E343" i="7"/>
  <c r="E306" i="7"/>
  <c r="E288" i="7"/>
  <c r="E274" i="7"/>
  <c r="E220" i="7"/>
  <c r="E187" i="7"/>
  <c r="E176" i="7"/>
  <c r="E124" i="7"/>
  <c r="E103" i="7"/>
  <c r="E80" i="7"/>
  <c r="E76" i="7"/>
  <c r="E48" i="7"/>
  <c r="E44" i="7"/>
  <c r="E231" i="7"/>
  <c r="E160" i="7"/>
  <c r="E27" i="7"/>
  <c r="E242" i="7"/>
  <c r="E204" i="7"/>
  <c r="E192" i="7"/>
  <c r="E183" i="7"/>
  <c r="E155" i="7"/>
  <c r="E135" i="7"/>
  <c r="E82" i="7"/>
  <c r="E66" i="7"/>
  <c r="E50" i="7"/>
  <c r="E32" i="7"/>
  <c r="E172" i="7"/>
  <c r="E146" i="7"/>
  <c r="E263" i="7"/>
  <c r="E235" i="7"/>
  <c r="E139" i="7"/>
  <c r="E315" i="7"/>
  <c r="E354" i="7"/>
  <c r="E331" i="7"/>
  <c r="E247" i="7"/>
  <c r="E178" i="7"/>
  <c r="E108" i="7"/>
  <c r="E380" i="7"/>
  <c r="E375" i="7"/>
  <c r="E359" i="7"/>
  <c r="E336" i="7"/>
  <c r="E320" i="7"/>
  <c r="E252" i="7"/>
  <c r="E240" i="7"/>
  <c r="E18" i="7"/>
  <c r="E322" i="7"/>
  <c r="E311" i="7"/>
  <c r="E283" i="7"/>
  <c r="E226" i="7"/>
  <c r="E215" i="7"/>
  <c r="E151" i="7"/>
  <c r="E107" i="7"/>
  <c r="E91" i="7"/>
  <c r="E295" i="7"/>
  <c r="E267" i="7"/>
  <c r="E199" i="7"/>
  <c r="E92" i="7"/>
  <c r="E71" i="7"/>
  <c r="E64" i="7"/>
  <c r="E59" i="7"/>
  <c r="B164" i="6"/>
  <c r="D164" i="6" s="1"/>
  <c r="B217" i="6"/>
  <c r="B265" i="6"/>
  <c r="B196" i="6"/>
  <c r="D196" i="6" s="1"/>
  <c r="B206" i="6"/>
  <c r="D206" i="6" s="1"/>
  <c r="B132" i="6"/>
  <c r="D132" i="6" s="1"/>
  <c r="B324" i="6"/>
  <c r="D324" i="6" s="1"/>
  <c r="B345" i="6"/>
  <c r="E256" i="7"/>
  <c r="E162" i="7"/>
  <c r="E60" i="7"/>
  <c r="E34" i="7"/>
  <c r="E348" i="7"/>
  <c r="E284" i="7"/>
  <c r="E258" i="7"/>
  <c r="E224" i="7"/>
  <c r="E156" i="7"/>
  <c r="E130" i="7"/>
  <c r="E96" i="7"/>
  <c r="E28" i="7"/>
  <c r="E316" i="7"/>
  <c r="E290" i="7"/>
  <c r="E188" i="7"/>
  <c r="E128" i="7"/>
  <c r="B126" i="6"/>
  <c r="B281" i="6"/>
  <c r="B153" i="6"/>
  <c r="B116" i="6"/>
  <c r="D116" i="6" s="1"/>
  <c r="B271" i="6"/>
  <c r="D271" i="6" s="1"/>
  <c r="B105" i="6"/>
  <c r="B78" i="6"/>
  <c r="D78" i="6" s="1"/>
  <c r="B62" i="6"/>
  <c r="D62" i="6" s="1"/>
  <c r="B46" i="6"/>
  <c r="D46" i="6" s="1"/>
  <c r="B30" i="6"/>
  <c r="D30" i="6" s="1"/>
  <c r="B20" i="6"/>
  <c r="D20" i="6" s="1"/>
  <c r="B52" i="6"/>
  <c r="D52" i="6" s="1"/>
  <c r="B68" i="6"/>
  <c r="D68" i="6" s="1"/>
  <c r="B36" i="6"/>
  <c r="D36" i="6" s="1"/>
  <c r="B84" i="6"/>
  <c r="B89" i="6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D2" i="7"/>
  <c r="C7" i="7"/>
  <c r="C11" i="7"/>
  <c r="C12" i="7"/>
  <c r="C16" i="7"/>
  <c r="C2" i="7"/>
  <c r="B3" i="6"/>
  <c r="D3" i="6" s="1"/>
  <c r="A382" i="7" l="1"/>
  <c r="C382" i="7" s="1"/>
  <c r="E382" i="7" s="1"/>
  <c r="D382" i="6"/>
  <c r="A366" i="7"/>
  <c r="C366" i="7" s="1"/>
  <c r="E366" i="7" s="1"/>
  <c r="D366" i="6"/>
  <c r="A350" i="7"/>
  <c r="C350" i="7" s="1"/>
  <c r="E350" i="7" s="1"/>
  <c r="D350" i="6"/>
  <c r="A334" i="7"/>
  <c r="C334" i="7" s="1"/>
  <c r="E334" i="7" s="1"/>
  <c r="D334" i="6"/>
  <c r="A318" i="7"/>
  <c r="C318" i="7" s="1"/>
  <c r="E318" i="7" s="1"/>
  <c r="D318" i="6"/>
  <c r="A302" i="7"/>
  <c r="C302" i="7" s="1"/>
  <c r="E302" i="7" s="1"/>
  <c r="D302" i="6"/>
  <c r="A286" i="7"/>
  <c r="C286" i="7" s="1"/>
  <c r="E286" i="7" s="1"/>
  <c r="D286" i="6"/>
  <c r="A270" i="7"/>
  <c r="C270" i="7" s="1"/>
  <c r="E270" i="7" s="1"/>
  <c r="D270" i="6"/>
  <c r="A254" i="7"/>
  <c r="C254" i="7" s="1"/>
  <c r="E254" i="7" s="1"/>
  <c r="D254" i="6"/>
  <c r="A238" i="7"/>
  <c r="C238" i="7" s="1"/>
  <c r="E238" i="7" s="1"/>
  <c r="D238" i="6"/>
  <c r="A222" i="7"/>
  <c r="C222" i="7" s="1"/>
  <c r="E222" i="7" s="1"/>
  <c r="D222" i="6"/>
  <c r="A190" i="7"/>
  <c r="C190" i="7" s="1"/>
  <c r="E190" i="7" s="1"/>
  <c r="D190" i="6"/>
  <c r="A174" i="7"/>
  <c r="C174" i="7" s="1"/>
  <c r="E174" i="7" s="1"/>
  <c r="D174" i="6"/>
  <c r="A158" i="7"/>
  <c r="C158" i="7" s="1"/>
  <c r="E158" i="7" s="1"/>
  <c r="D158" i="6"/>
  <c r="A142" i="7"/>
  <c r="C142" i="7" s="1"/>
  <c r="E142" i="7" s="1"/>
  <c r="D142" i="6"/>
  <c r="A126" i="7"/>
  <c r="C126" i="7" s="1"/>
  <c r="E126" i="7" s="1"/>
  <c r="D126" i="6"/>
  <c r="A110" i="7"/>
  <c r="C110" i="7" s="1"/>
  <c r="E110" i="7" s="1"/>
  <c r="D110" i="6"/>
  <c r="A94" i="7"/>
  <c r="C94" i="7" s="1"/>
  <c r="E94" i="7" s="1"/>
  <c r="D94" i="6"/>
  <c r="B378" i="6"/>
  <c r="D378" i="6" s="1"/>
  <c r="D377" i="6"/>
  <c r="B362" i="6"/>
  <c r="D362" i="6" s="1"/>
  <c r="D361" i="6"/>
  <c r="B346" i="6"/>
  <c r="D346" i="6" s="1"/>
  <c r="D345" i="6"/>
  <c r="B330" i="6"/>
  <c r="D330" i="6" s="1"/>
  <c r="D329" i="6"/>
  <c r="B314" i="6"/>
  <c r="D314" i="6" s="1"/>
  <c r="D313" i="6"/>
  <c r="B298" i="6"/>
  <c r="D298" i="6" s="1"/>
  <c r="D297" i="6"/>
  <c r="B282" i="6"/>
  <c r="D282" i="6" s="1"/>
  <c r="D281" i="6"/>
  <c r="B266" i="6"/>
  <c r="D266" i="6" s="1"/>
  <c r="D265" i="6"/>
  <c r="B250" i="6"/>
  <c r="D250" i="6" s="1"/>
  <c r="D249" i="6"/>
  <c r="B234" i="6"/>
  <c r="D234" i="6" s="1"/>
  <c r="D233" i="6"/>
  <c r="B218" i="6"/>
  <c r="D218" i="6" s="1"/>
  <c r="D217" i="6"/>
  <c r="B202" i="6"/>
  <c r="D202" i="6" s="1"/>
  <c r="D201" i="6"/>
  <c r="B186" i="6"/>
  <c r="D186" i="6" s="1"/>
  <c r="D185" i="6"/>
  <c r="B170" i="6"/>
  <c r="D170" i="6" s="1"/>
  <c r="D169" i="6"/>
  <c r="B154" i="6"/>
  <c r="D154" i="6" s="1"/>
  <c r="D153" i="6"/>
  <c r="B138" i="6"/>
  <c r="D138" i="6" s="1"/>
  <c r="D137" i="6"/>
  <c r="B122" i="6"/>
  <c r="D122" i="6" s="1"/>
  <c r="D121" i="6"/>
  <c r="B106" i="6"/>
  <c r="D106" i="6" s="1"/>
  <c r="D105" i="6"/>
  <c r="B90" i="6"/>
  <c r="D90" i="6" s="1"/>
  <c r="D89" i="6"/>
  <c r="B74" i="6"/>
  <c r="D74" i="6" s="1"/>
  <c r="D73" i="6"/>
  <c r="B58" i="6"/>
  <c r="D58" i="6" s="1"/>
  <c r="D57" i="6"/>
  <c r="B42" i="6"/>
  <c r="D42" i="6" s="1"/>
  <c r="D41" i="6"/>
  <c r="B26" i="6"/>
  <c r="D26" i="6" s="1"/>
  <c r="D25" i="6"/>
  <c r="B10" i="6"/>
  <c r="D10" i="6" s="1"/>
  <c r="D9" i="6"/>
  <c r="A372" i="7"/>
  <c r="C372" i="7" s="1"/>
  <c r="E372" i="7" s="1"/>
  <c r="D372" i="6"/>
  <c r="A356" i="7"/>
  <c r="C356" i="7" s="1"/>
  <c r="E356" i="7" s="1"/>
  <c r="D356" i="6"/>
  <c r="A340" i="7"/>
  <c r="C340" i="7" s="1"/>
  <c r="E340" i="7" s="1"/>
  <c r="D340" i="6"/>
  <c r="A308" i="7"/>
  <c r="C308" i="7" s="1"/>
  <c r="E308" i="7" s="1"/>
  <c r="D308" i="6"/>
  <c r="A292" i="7"/>
  <c r="C292" i="7" s="1"/>
  <c r="E292" i="7" s="1"/>
  <c r="D292" i="6"/>
  <c r="A276" i="7"/>
  <c r="C276" i="7" s="1"/>
  <c r="E276" i="7" s="1"/>
  <c r="D276" i="6"/>
  <c r="A260" i="7"/>
  <c r="C260" i="7" s="1"/>
  <c r="E260" i="7" s="1"/>
  <c r="D260" i="6"/>
  <c r="A244" i="7"/>
  <c r="C244" i="7" s="1"/>
  <c r="E244" i="7" s="1"/>
  <c r="D244" i="6"/>
  <c r="A228" i="7"/>
  <c r="C228" i="7" s="1"/>
  <c r="E228" i="7" s="1"/>
  <c r="D228" i="6"/>
  <c r="A212" i="7"/>
  <c r="C212" i="7" s="1"/>
  <c r="E212" i="7" s="1"/>
  <c r="D212" i="6"/>
  <c r="A180" i="7"/>
  <c r="C180" i="7" s="1"/>
  <c r="E180" i="7" s="1"/>
  <c r="D180" i="6"/>
  <c r="A148" i="7"/>
  <c r="C148" i="7" s="1"/>
  <c r="E148" i="7" s="1"/>
  <c r="D148" i="6"/>
  <c r="A100" i="7"/>
  <c r="C100" i="7" s="1"/>
  <c r="E100" i="7" s="1"/>
  <c r="D100" i="6"/>
  <c r="A84" i="7"/>
  <c r="C84" i="7" s="1"/>
  <c r="E84" i="7" s="1"/>
  <c r="D84" i="6"/>
  <c r="A3" i="7"/>
  <c r="C3" i="7" s="1"/>
  <c r="E3" i="7" s="1"/>
  <c r="B383" i="6"/>
  <c r="B175" i="6"/>
  <c r="D175" i="6" s="1"/>
  <c r="B229" i="6"/>
  <c r="B367" i="6"/>
  <c r="D367" i="6" s="1"/>
  <c r="B95" i="6"/>
  <c r="D95" i="6" s="1"/>
  <c r="B101" i="6"/>
  <c r="B261" i="6"/>
  <c r="B262" i="6" s="1"/>
  <c r="D262" i="6" s="1"/>
  <c r="B287" i="6"/>
  <c r="B303" i="6"/>
  <c r="B335" i="6"/>
  <c r="B357" i="6"/>
  <c r="B111" i="6"/>
  <c r="D111" i="6" s="1"/>
  <c r="B239" i="6"/>
  <c r="B143" i="6"/>
  <c r="D143" i="6" s="1"/>
  <c r="B181" i="6"/>
  <c r="B319" i="6"/>
  <c r="B341" i="6"/>
  <c r="B245" i="6"/>
  <c r="B149" i="6"/>
  <c r="B255" i="6"/>
  <c r="D255" i="6" s="1"/>
  <c r="B223" i="6"/>
  <c r="B351" i="6"/>
  <c r="D351" i="6" s="1"/>
  <c r="B213" i="6"/>
  <c r="B373" i="6"/>
  <c r="B277" i="6"/>
  <c r="B191" i="6"/>
  <c r="B309" i="6"/>
  <c r="A378" i="7"/>
  <c r="C378" i="7" s="1"/>
  <c r="E378" i="7" s="1"/>
  <c r="B293" i="6"/>
  <c r="E11" i="7"/>
  <c r="B159" i="6"/>
  <c r="E16" i="7"/>
  <c r="E12" i="7"/>
  <c r="E8" i="7"/>
  <c r="E7" i="7"/>
  <c r="A271" i="7"/>
  <c r="C271" i="7" s="1"/>
  <c r="E271" i="7" s="1"/>
  <c r="B207" i="6"/>
  <c r="D207" i="6" s="1"/>
  <c r="A206" i="7"/>
  <c r="C206" i="7" s="1"/>
  <c r="E206" i="7" s="1"/>
  <c r="B79" i="6"/>
  <c r="D79" i="6" s="1"/>
  <c r="A78" i="7"/>
  <c r="C78" i="7" s="1"/>
  <c r="E78" i="7" s="1"/>
  <c r="B63" i="6"/>
  <c r="D63" i="6" s="1"/>
  <c r="A62" i="7"/>
  <c r="C62" i="7" s="1"/>
  <c r="E62" i="7" s="1"/>
  <c r="B47" i="6"/>
  <c r="D47" i="6" s="1"/>
  <c r="A46" i="7"/>
  <c r="C46" i="7" s="1"/>
  <c r="E46" i="7" s="1"/>
  <c r="B31" i="6"/>
  <c r="D31" i="6" s="1"/>
  <c r="A30" i="7"/>
  <c r="C30" i="7" s="1"/>
  <c r="E30" i="7" s="1"/>
  <c r="B15" i="6"/>
  <c r="A14" i="7"/>
  <c r="C14" i="7" s="1"/>
  <c r="E14" i="7" s="1"/>
  <c r="A377" i="7"/>
  <c r="C377" i="7" s="1"/>
  <c r="E377" i="7" s="1"/>
  <c r="A361" i="7"/>
  <c r="C361" i="7" s="1"/>
  <c r="E361" i="7" s="1"/>
  <c r="A345" i="7"/>
  <c r="C345" i="7" s="1"/>
  <c r="E345" i="7" s="1"/>
  <c r="A329" i="7"/>
  <c r="C329" i="7" s="1"/>
  <c r="E329" i="7" s="1"/>
  <c r="A313" i="7"/>
  <c r="C313" i="7" s="1"/>
  <c r="E313" i="7" s="1"/>
  <c r="A297" i="7"/>
  <c r="C297" i="7" s="1"/>
  <c r="E297" i="7" s="1"/>
  <c r="A281" i="7"/>
  <c r="C281" i="7" s="1"/>
  <c r="E281" i="7" s="1"/>
  <c r="A265" i="7"/>
  <c r="C265" i="7" s="1"/>
  <c r="E265" i="7" s="1"/>
  <c r="A249" i="7"/>
  <c r="C249" i="7" s="1"/>
  <c r="E249" i="7" s="1"/>
  <c r="A233" i="7"/>
  <c r="C233" i="7" s="1"/>
  <c r="E233" i="7" s="1"/>
  <c r="A217" i="7"/>
  <c r="C217" i="7" s="1"/>
  <c r="E217" i="7" s="1"/>
  <c r="A201" i="7"/>
  <c r="C201" i="7" s="1"/>
  <c r="E201" i="7" s="1"/>
  <c r="A185" i="7"/>
  <c r="C185" i="7" s="1"/>
  <c r="E185" i="7" s="1"/>
  <c r="A169" i="7"/>
  <c r="C169" i="7" s="1"/>
  <c r="E169" i="7" s="1"/>
  <c r="A153" i="7"/>
  <c r="C153" i="7" s="1"/>
  <c r="E153" i="7" s="1"/>
  <c r="A137" i="7"/>
  <c r="C137" i="7" s="1"/>
  <c r="E137" i="7" s="1"/>
  <c r="A121" i="7"/>
  <c r="C121" i="7" s="1"/>
  <c r="E121" i="7" s="1"/>
  <c r="A105" i="7"/>
  <c r="C105" i="7" s="1"/>
  <c r="E105" i="7" s="1"/>
  <c r="A89" i="7"/>
  <c r="C89" i="7" s="1"/>
  <c r="E89" i="7" s="1"/>
  <c r="A73" i="7"/>
  <c r="C73" i="7" s="1"/>
  <c r="E73" i="7" s="1"/>
  <c r="A57" i="7"/>
  <c r="C57" i="7" s="1"/>
  <c r="E57" i="7" s="1"/>
  <c r="A41" i="7"/>
  <c r="C41" i="7" s="1"/>
  <c r="E41" i="7" s="1"/>
  <c r="A25" i="7"/>
  <c r="C25" i="7" s="1"/>
  <c r="E25" i="7" s="1"/>
  <c r="A9" i="7"/>
  <c r="C9" i="7" s="1"/>
  <c r="E9" i="7" s="1"/>
  <c r="B325" i="6"/>
  <c r="A324" i="7"/>
  <c r="C324" i="7" s="1"/>
  <c r="E324" i="7" s="1"/>
  <c r="B197" i="6"/>
  <c r="D197" i="6" s="1"/>
  <c r="A196" i="7"/>
  <c r="C196" i="7" s="1"/>
  <c r="E196" i="7" s="1"/>
  <c r="B165" i="6"/>
  <c r="D165" i="6" s="1"/>
  <c r="A164" i="7"/>
  <c r="C164" i="7" s="1"/>
  <c r="E164" i="7" s="1"/>
  <c r="B133" i="6"/>
  <c r="D133" i="6" s="1"/>
  <c r="A132" i="7"/>
  <c r="C132" i="7" s="1"/>
  <c r="E132" i="7" s="1"/>
  <c r="B117" i="6"/>
  <c r="D117" i="6" s="1"/>
  <c r="A116" i="7"/>
  <c r="C116" i="7" s="1"/>
  <c r="E116" i="7" s="1"/>
  <c r="B69" i="6"/>
  <c r="D69" i="6" s="1"/>
  <c r="A68" i="7"/>
  <c r="C68" i="7" s="1"/>
  <c r="E68" i="7" s="1"/>
  <c r="B53" i="6"/>
  <c r="A52" i="7"/>
  <c r="C52" i="7" s="1"/>
  <c r="E52" i="7" s="1"/>
  <c r="B37" i="6"/>
  <c r="D37" i="6" s="1"/>
  <c r="A36" i="7"/>
  <c r="C36" i="7" s="1"/>
  <c r="E36" i="7" s="1"/>
  <c r="B21" i="6"/>
  <c r="D21" i="6" s="1"/>
  <c r="A20" i="7"/>
  <c r="C20" i="7" s="1"/>
  <c r="E20" i="7" s="1"/>
  <c r="B127" i="6"/>
  <c r="D127" i="6" s="1"/>
  <c r="E2" i="7"/>
  <c r="E13" i="7"/>
  <c r="B85" i="6"/>
  <c r="B4" i="6"/>
  <c r="A330" i="7" l="1"/>
  <c r="C330" i="7" s="1"/>
  <c r="E330" i="7" s="1"/>
  <c r="A346" i="7"/>
  <c r="C346" i="7" s="1"/>
  <c r="E346" i="7" s="1"/>
  <c r="A250" i="7"/>
  <c r="C250" i="7" s="1"/>
  <c r="E250" i="7" s="1"/>
  <c r="A282" i="7"/>
  <c r="C282" i="7" s="1"/>
  <c r="E282" i="7" s="1"/>
  <c r="A58" i="7"/>
  <c r="C58" i="7" s="1"/>
  <c r="E58" i="7" s="1"/>
  <c r="A90" i="7"/>
  <c r="C90" i="7" s="1"/>
  <c r="E90" i="7" s="1"/>
  <c r="A154" i="7"/>
  <c r="C154" i="7" s="1"/>
  <c r="E154" i="7" s="1"/>
  <c r="A218" i="7"/>
  <c r="C218" i="7" s="1"/>
  <c r="E218" i="7" s="1"/>
  <c r="A26" i="7"/>
  <c r="C26" i="7" s="1"/>
  <c r="E26" i="7" s="1"/>
  <c r="A186" i="7"/>
  <c r="C186" i="7" s="1"/>
  <c r="E186" i="7" s="1"/>
  <c r="A314" i="7"/>
  <c r="C314" i="7" s="1"/>
  <c r="E314" i="7" s="1"/>
  <c r="A122" i="7"/>
  <c r="C122" i="7" s="1"/>
  <c r="E122" i="7" s="1"/>
  <c r="A138" i="7"/>
  <c r="C138" i="7" s="1"/>
  <c r="E138" i="7" s="1"/>
  <c r="A74" i="7"/>
  <c r="C74" i="7" s="1"/>
  <c r="E74" i="7" s="1"/>
  <c r="A266" i="7"/>
  <c r="C266" i="7" s="1"/>
  <c r="E266" i="7" s="1"/>
  <c r="A10" i="7"/>
  <c r="C10" i="7" s="1"/>
  <c r="E10" i="7" s="1"/>
  <c r="A298" i="7"/>
  <c r="C298" i="7" s="1"/>
  <c r="E298" i="7" s="1"/>
  <c r="A42" i="7"/>
  <c r="C42" i="7" s="1"/>
  <c r="E42" i="7" s="1"/>
  <c r="A362" i="7"/>
  <c r="C362" i="7" s="1"/>
  <c r="E362" i="7" s="1"/>
  <c r="A234" i="7"/>
  <c r="C234" i="7" s="1"/>
  <c r="E234" i="7" s="1"/>
  <c r="A202" i="7"/>
  <c r="C202" i="7" s="1"/>
  <c r="E202" i="7" s="1"/>
  <c r="A170" i="7"/>
  <c r="C170" i="7" s="1"/>
  <c r="E170" i="7" s="1"/>
  <c r="A106" i="7"/>
  <c r="C106" i="7" s="1"/>
  <c r="E106" i="7" s="1"/>
  <c r="A383" i="7"/>
  <c r="C383" i="7" s="1"/>
  <c r="E383" i="7" s="1"/>
  <c r="D383" i="6"/>
  <c r="A335" i="7"/>
  <c r="C335" i="7" s="1"/>
  <c r="E335" i="7" s="1"/>
  <c r="D335" i="6"/>
  <c r="A319" i="7"/>
  <c r="C319" i="7" s="1"/>
  <c r="E319" i="7" s="1"/>
  <c r="D319" i="6"/>
  <c r="A303" i="7"/>
  <c r="C303" i="7" s="1"/>
  <c r="E303" i="7" s="1"/>
  <c r="D303" i="6"/>
  <c r="A287" i="7"/>
  <c r="C287" i="7" s="1"/>
  <c r="E287" i="7" s="1"/>
  <c r="D287" i="6"/>
  <c r="A239" i="7"/>
  <c r="C239" i="7" s="1"/>
  <c r="E239" i="7" s="1"/>
  <c r="D239" i="6"/>
  <c r="A223" i="7"/>
  <c r="C223" i="7" s="1"/>
  <c r="E223" i="7" s="1"/>
  <c r="D223" i="6"/>
  <c r="A191" i="7"/>
  <c r="C191" i="7" s="1"/>
  <c r="E191" i="7" s="1"/>
  <c r="D191" i="6"/>
  <c r="A159" i="7"/>
  <c r="C159" i="7" s="1"/>
  <c r="E159" i="7" s="1"/>
  <c r="D159" i="6"/>
  <c r="A15" i="7"/>
  <c r="C15" i="7" s="1"/>
  <c r="E15" i="7" s="1"/>
  <c r="D15" i="6"/>
  <c r="A373" i="7"/>
  <c r="C373" i="7" s="1"/>
  <c r="E373" i="7" s="1"/>
  <c r="D373" i="6"/>
  <c r="A357" i="7"/>
  <c r="C357" i="7" s="1"/>
  <c r="E357" i="7" s="1"/>
  <c r="D357" i="6"/>
  <c r="A341" i="7"/>
  <c r="C341" i="7" s="1"/>
  <c r="E341" i="7" s="1"/>
  <c r="D341" i="6"/>
  <c r="B326" i="6"/>
  <c r="D326" i="6" s="1"/>
  <c r="D325" i="6"/>
  <c r="A309" i="7"/>
  <c r="C309" i="7" s="1"/>
  <c r="E309" i="7" s="1"/>
  <c r="D309" i="6"/>
  <c r="A293" i="7"/>
  <c r="C293" i="7" s="1"/>
  <c r="E293" i="7" s="1"/>
  <c r="D293" i="6"/>
  <c r="A277" i="7"/>
  <c r="C277" i="7" s="1"/>
  <c r="E277" i="7" s="1"/>
  <c r="D277" i="6"/>
  <c r="A261" i="7"/>
  <c r="C261" i="7" s="1"/>
  <c r="E261" i="7" s="1"/>
  <c r="D261" i="6"/>
  <c r="A245" i="7"/>
  <c r="C245" i="7" s="1"/>
  <c r="E245" i="7" s="1"/>
  <c r="D245" i="6"/>
  <c r="A229" i="7"/>
  <c r="C229" i="7" s="1"/>
  <c r="E229" i="7" s="1"/>
  <c r="D229" i="6"/>
  <c r="A213" i="7"/>
  <c r="C213" i="7" s="1"/>
  <c r="E213" i="7" s="1"/>
  <c r="D213" i="6"/>
  <c r="A181" i="7"/>
  <c r="C181" i="7" s="1"/>
  <c r="E181" i="7" s="1"/>
  <c r="D181" i="6"/>
  <c r="A149" i="7"/>
  <c r="C149" i="7" s="1"/>
  <c r="E149" i="7" s="1"/>
  <c r="D149" i="6"/>
  <c r="A101" i="7"/>
  <c r="C101" i="7" s="1"/>
  <c r="E101" i="7" s="1"/>
  <c r="D101" i="6"/>
  <c r="A85" i="7"/>
  <c r="C85" i="7" s="1"/>
  <c r="E85" i="7" s="1"/>
  <c r="D85" i="6"/>
  <c r="B54" i="6"/>
  <c r="D54" i="6" s="1"/>
  <c r="D53" i="6"/>
  <c r="A4" i="7"/>
  <c r="C4" i="7" s="1"/>
  <c r="E4" i="7" s="1"/>
  <c r="D4" i="6"/>
  <c r="B102" i="6"/>
  <c r="D102" i="6" s="1"/>
  <c r="B182" i="6"/>
  <c r="A175" i="7"/>
  <c r="C175" i="7" s="1"/>
  <c r="E175" i="7" s="1"/>
  <c r="A143" i="7"/>
  <c r="C143" i="7" s="1"/>
  <c r="E143" i="7" s="1"/>
  <c r="B230" i="6"/>
  <c r="A95" i="7"/>
  <c r="C95" i="7" s="1"/>
  <c r="E95" i="7" s="1"/>
  <c r="A367" i="7"/>
  <c r="C367" i="7" s="1"/>
  <c r="E367" i="7" s="1"/>
  <c r="A111" i="7"/>
  <c r="C111" i="7" s="1"/>
  <c r="E111" i="7" s="1"/>
  <c r="B374" i="6"/>
  <c r="D374" i="6" s="1"/>
  <c r="B310" i="6"/>
  <c r="B358" i="6"/>
  <c r="D358" i="6" s="1"/>
  <c r="B342" i="6"/>
  <c r="D342" i="6" s="1"/>
  <c r="B150" i="6"/>
  <c r="B246" i="6"/>
  <c r="B214" i="6"/>
  <c r="D214" i="6" s="1"/>
  <c r="A351" i="7"/>
  <c r="C351" i="7" s="1"/>
  <c r="E351" i="7" s="1"/>
  <c r="A255" i="7"/>
  <c r="C255" i="7" s="1"/>
  <c r="E255" i="7" s="1"/>
  <c r="B278" i="6"/>
  <c r="D278" i="6" s="1"/>
  <c r="B294" i="6"/>
  <c r="D294" i="6" s="1"/>
  <c r="A207" i="7"/>
  <c r="C207" i="7" s="1"/>
  <c r="E207" i="7" s="1"/>
  <c r="A127" i="7"/>
  <c r="C127" i="7" s="1"/>
  <c r="E127" i="7" s="1"/>
  <c r="A79" i="7"/>
  <c r="C79" i="7" s="1"/>
  <c r="E79" i="7" s="1"/>
  <c r="A63" i="7"/>
  <c r="C63" i="7" s="1"/>
  <c r="E63" i="7" s="1"/>
  <c r="A47" i="7"/>
  <c r="C47" i="7" s="1"/>
  <c r="E47" i="7" s="1"/>
  <c r="A31" i="7"/>
  <c r="C31" i="7" s="1"/>
  <c r="E31" i="7" s="1"/>
  <c r="A325" i="7"/>
  <c r="C325" i="7" s="1"/>
  <c r="E325" i="7" s="1"/>
  <c r="A262" i="7"/>
  <c r="C262" i="7" s="1"/>
  <c r="E262" i="7" s="1"/>
  <c r="B198" i="6"/>
  <c r="D198" i="6" s="1"/>
  <c r="A197" i="7"/>
  <c r="C197" i="7" s="1"/>
  <c r="E197" i="7" s="1"/>
  <c r="B166" i="6"/>
  <c r="D166" i="6" s="1"/>
  <c r="A165" i="7"/>
  <c r="C165" i="7" s="1"/>
  <c r="E165" i="7" s="1"/>
  <c r="A133" i="7"/>
  <c r="C133" i="7" s="1"/>
  <c r="E133" i="7" s="1"/>
  <c r="B134" i="6"/>
  <c r="D134" i="6" s="1"/>
  <c r="B118" i="6"/>
  <c r="D118" i="6" s="1"/>
  <c r="A117" i="7"/>
  <c r="C117" i="7" s="1"/>
  <c r="E117" i="7" s="1"/>
  <c r="B70" i="6"/>
  <c r="D70" i="6" s="1"/>
  <c r="A69" i="7"/>
  <c r="C69" i="7" s="1"/>
  <c r="E69" i="7" s="1"/>
  <c r="A53" i="7"/>
  <c r="C53" i="7" s="1"/>
  <c r="E53" i="7" s="1"/>
  <c r="B38" i="6"/>
  <c r="D38" i="6" s="1"/>
  <c r="A37" i="7"/>
  <c r="C37" i="7" s="1"/>
  <c r="E37" i="7" s="1"/>
  <c r="B22" i="6"/>
  <c r="D22" i="6" s="1"/>
  <c r="A21" i="7"/>
  <c r="C21" i="7" s="1"/>
  <c r="E21" i="7" s="1"/>
  <c r="B86" i="6"/>
  <c r="D86" i="6" s="1"/>
  <c r="B5" i="6"/>
  <c r="A326" i="7" l="1"/>
  <c r="C326" i="7" s="1"/>
  <c r="E326" i="7" s="1"/>
  <c r="A54" i="7"/>
  <c r="C54" i="7" s="1"/>
  <c r="E54" i="7" s="1"/>
  <c r="A310" i="7"/>
  <c r="C310" i="7" s="1"/>
  <c r="E310" i="7" s="1"/>
  <c r="D310" i="6"/>
  <c r="A246" i="7"/>
  <c r="C246" i="7" s="1"/>
  <c r="E246" i="7" s="1"/>
  <c r="D246" i="6"/>
  <c r="A230" i="7"/>
  <c r="C230" i="7" s="1"/>
  <c r="E230" i="7" s="1"/>
  <c r="D230" i="6"/>
  <c r="A182" i="7"/>
  <c r="C182" i="7" s="1"/>
  <c r="E182" i="7" s="1"/>
  <c r="D182" i="6"/>
  <c r="A150" i="7"/>
  <c r="C150" i="7" s="1"/>
  <c r="E150" i="7" s="1"/>
  <c r="D150" i="6"/>
  <c r="A5" i="7"/>
  <c r="C5" i="7" s="1"/>
  <c r="E5" i="7" s="1"/>
  <c r="D5" i="6"/>
  <c r="A102" i="7"/>
  <c r="C102" i="7" s="1"/>
  <c r="E102" i="7" s="1"/>
  <c r="E102" i="6"/>
  <c r="A374" i="7"/>
  <c r="C374" i="7" s="1"/>
  <c r="E374" i="7" s="1"/>
  <c r="A358" i="7"/>
  <c r="C358" i="7" s="1"/>
  <c r="E358" i="7" s="1"/>
  <c r="A278" i="7"/>
  <c r="C278" i="7" s="1"/>
  <c r="E278" i="7" s="1"/>
  <c r="A342" i="7"/>
  <c r="C342" i="7" s="1"/>
  <c r="E342" i="7" s="1"/>
  <c r="A214" i="7"/>
  <c r="C214" i="7" s="1"/>
  <c r="E214" i="7" s="1"/>
  <c r="A294" i="7"/>
  <c r="C294" i="7" s="1"/>
  <c r="E294" i="7" s="1"/>
  <c r="E60" i="6"/>
  <c r="E99" i="6"/>
  <c r="E57" i="6"/>
  <c r="E106" i="6"/>
  <c r="E108" i="6"/>
  <c r="E103" i="6"/>
  <c r="E111" i="6"/>
  <c r="E101" i="6"/>
  <c r="E105" i="6"/>
  <c r="E98" i="6"/>
  <c r="E110" i="6"/>
  <c r="E107" i="6"/>
  <c r="E104" i="6"/>
  <c r="E112" i="6"/>
  <c r="E109" i="6"/>
  <c r="E100" i="6"/>
  <c r="E50" i="6"/>
  <c r="E54" i="6"/>
  <c r="E63" i="6"/>
  <c r="E62" i="6"/>
  <c r="E53" i="6"/>
  <c r="E64" i="6"/>
  <c r="E55" i="6"/>
  <c r="E59" i="6"/>
  <c r="E51" i="6"/>
  <c r="E58" i="6"/>
  <c r="E61" i="6"/>
  <c r="E56" i="6"/>
  <c r="E52" i="6"/>
  <c r="A198" i="7"/>
  <c r="C198" i="7" s="1"/>
  <c r="E198" i="7" s="1"/>
  <c r="A166" i="7"/>
  <c r="C166" i="7" s="1"/>
  <c r="E166" i="7" s="1"/>
  <c r="A134" i="7"/>
  <c r="C134" i="7" s="1"/>
  <c r="E134" i="7" s="1"/>
  <c r="A118" i="7"/>
  <c r="C118" i="7" s="1"/>
  <c r="E118" i="7" s="1"/>
  <c r="E88" i="6"/>
  <c r="A86" i="7"/>
  <c r="C86" i="7" s="1"/>
  <c r="E86" i="7" s="1"/>
  <c r="A70" i="7"/>
  <c r="C70" i="7" s="1"/>
  <c r="E70" i="7" s="1"/>
  <c r="A38" i="7"/>
  <c r="C38" i="7" s="1"/>
  <c r="E38" i="7" s="1"/>
  <c r="A22" i="7"/>
  <c r="C22" i="7" s="1"/>
  <c r="E22" i="7" s="1"/>
  <c r="B6" i="6"/>
  <c r="D6" i="6" s="1"/>
  <c r="H17" i="6" l="1"/>
  <c r="H2" i="6"/>
  <c r="E90" i="6"/>
  <c r="E83" i="6"/>
  <c r="E94" i="6"/>
  <c r="E118" i="6"/>
  <c r="E121" i="6"/>
  <c r="E120" i="6"/>
  <c r="E122" i="6"/>
  <c r="E119" i="6"/>
  <c r="E126" i="6"/>
  <c r="E115" i="6"/>
  <c r="E127" i="6"/>
  <c r="E124" i="6"/>
  <c r="E114" i="6"/>
  <c r="E116" i="6"/>
  <c r="E125" i="6"/>
  <c r="E117" i="6"/>
  <c r="E123" i="6"/>
  <c r="E128" i="6"/>
  <c r="E95" i="6"/>
  <c r="E96" i="6"/>
  <c r="E85" i="6"/>
  <c r="E86" i="6"/>
  <c r="E82" i="6"/>
  <c r="E89" i="6"/>
  <c r="E84" i="6"/>
  <c r="E91" i="6"/>
  <c r="E92" i="6"/>
  <c r="E93" i="6"/>
  <c r="E87" i="6"/>
  <c r="E70" i="6"/>
  <c r="E78" i="6"/>
  <c r="E74" i="6"/>
  <c r="E77" i="6"/>
  <c r="E66" i="6"/>
  <c r="E72" i="6"/>
  <c r="E71" i="6"/>
  <c r="E75" i="6"/>
  <c r="E69" i="6"/>
  <c r="E73" i="6"/>
  <c r="E68" i="6"/>
  <c r="E79" i="6"/>
  <c r="E80" i="6"/>
  <c r="E76" i="6"/>
  <c r="E67" i="6"/>
  <c r="E38" i="6"/>
  <c r="E48" i="6"/>
  <c r="E36" i="6"/>
  <c r="E45" i="6"/>
  <c r="E46" i="6"/>
  <c r="E35" i="6"/>
  <c r="E44" i="6"/>
  <c r="E37" i="6"/>
  <c r="E34" i="6"/>
  <c r="E41" i="6"/>
  <c r="E47" i="6"/>
  <c r="E40" i="6"/>
  <c r="E43" i="6"/>
  <c r="E42" i="6"/>
  <c r="E39" i="6"/>
  <c r="E22" i="6"/>
  <c r="E27" i="6"/>
  <c r="E20" i="6"/>
  <c r="E21" i="6"/>
  <c r="E31" i="6"/>
  <c r="E18" i="6"/>
  <c r="E29" i="6"/>
  <c r="E28" i="6"/>
  <c r="E26" i="6"/>
  <c r="E24" i="6"/>
  <c r="E23" i="6"/>
  <c r="E32" i="6"/>
  <c r="E30" i="6"/>
  <c r="E25" i="6"/>
  <c r="E19" i="6"/>
  <c r="A6" i="7"/>
  <c r="C6" i="7" s="1"/>
  <c r="E6" i="7" s="1"/>
  <c r="E15" i="6" l="1"/>
  <c r="E13" i="6"/>
  <c r="E3" i="6"/>
  <c r="E6" i="6"/>
  <c r="E16" i="6"/>
  <c r="E12" i="6"/>
  <c r="E8" i="6"/>
  <c r="E2" i="6"/>
  <c r="E9" i="6"/>
  <c r="E14" i="6"/>
  <c r="E4" i="6"/>
  <c r="E7" i="6"/>
  <c r="E11" i="6"/>
  <c r="E5" i="6"/>
  <c r="E10" i="6"/>
  <c r="F11" i="7"/>
  <c r="F56" i="7"/>
  <c r="F58" i="7"/>
  <c r="F45" i="7"/>
  <c r="F85" i="7"/>
  <c r="F71" i="7"/>
  <c r="F14" i="7"/>
  <c r="F89" i="7"/>
  <c r="F54" i="7"/>
  <c r="F47" i="7"/>
  <c r="F72" i="7"/>
  <c r="F92" i="7"/>
  <c r="F12" i="7"/>
  <c r="F8" i="7"/>
  <c r="F26" i="7"/>
  <c r="F59" i="7"/>
  <c r="F70" i="7"/>
  <c r="F40" i="7"/>
  <c r="F28" i="7"/>
  <c r="F94" i="7"/>
  <c r="F46" i="7"/>
  <c r="F20" i="7"/>
  <c r="F334" i="7"/>
  <c r="F254" i="7"/>
  <c r="F248" i="7"/>
  <c r="F331" i="7"/>
  <c r="F258" i="7"/>
  <c r="F114" i="7"/>
  <c r="F222" i="7"/>
  <c r="F245" i="7"/>
  <c r="F288" i="7"/>
  <c r="F136" i="7"/>
  <c r="F349" i="7"/>
  <c r="F160" i="7"/>
  <c r="F381" i="7"/>
  <c r="F219" i="7"/>
  <c r="F302" i="7"/>
  <c r="F378" i="7"/>
  <c r="F299" i="7"/>
  <c r="F211" i="7"/>
  <c r="F186" i="7"/>
  <c r="F371" i="7"/>
  <c r="F208" i="7"/>
  <c r="F237" i="7"/>
  <c r="F282" i="7"/>
  <c r="F98" i="7"/>
  <c r="F235" i="7"/>
  <c r="F309" i="7"/>
  <c r="F382" i="7"/>
  <c r="F243" i="7"/>
  <c r="F180" i="7"/>
  <c r="F224" i="7"/>
  <c r="F266" i="7"/>
  <c r="F143" i="7"/>
  <c r="F240" i="7"/>
  <c r="F339" i="7"/>
  <c r="F18" i="7"/>
  <c r="F73" i="7"/>
  <c r="F55" i="7"/>
  <c r="F62" i="7"/>
  <c r="F34" i="7"/>
  <c r="F36" i="7"/>
  <c r="F93" i="7"/>
  <c r="F84" i="7"/>
  <c r="F82" i="7"/>
  <c r="F7" i="7"/>
  <c r="F51" i="7"/>
  <c r="F52" i="7"/>
  <c r="F6" i="7"/>
  <c r="F50" i="7"/>
  <c r="F74" i="7"/>
  <c r="F345" i="7"/>
  <c r="F277" i="7"/>
  <c r="F210" i="7"/>
  <c r="F314" i="7"/>
  <c r="F217" i="7"/>
  <c r="F310" i="7"/>
  <c r="F183" i="7"/>
  <c r="F246" i="7"/>
  <c r="F156" i="7"/>
  <c r="F267" i="7"/>
  <c r="F359" i="7"/>
  <c r="F280" i="7"/>
  <c r="F68" i="7"/>
  <c r="F22" i="7"/>
  <c r="F53" i="7"/>
  <c r="F19" i="7"/>
  <c r="F91" i="7"/>
  <c r="F25" i="7"/>
  <c r="F125" i="7"/>
  <c r="F188" i="7"/>
  <c r="F223" i="7"/>
  <c r="F250" i="7"/>
  <c r="F169" i="7"/>
  <c r="F221" i="7"/>
  <c r="F363" i="7"/>
  <c r="F144" i="7"/>
  <c r="F87" i="7"/>
  <c r="F227" i="7"/>
  <c r="F148" i="7"/>
  <c r="F141" i="7"/>
  <c r="F315" i="7"/>
  <c r="F182" i="7"/>
  <c r="F158" i="7"/>
  <c r="F231" i="7"/>
  <c r="F265" i="7"/>
  <c r="F303" i="7"/>
  <c r="F234" i="7"/>
  <c r="F204" i="7"/>
  <c r="F263" i="7"/>
  <c r="F171" i="7"/>
  <c r="F153" i="7"/>
  <c r="F360" i="7"/>
  <c r="F218" i="7"/>
  <c r="F196" i="7"/>
  <c r="F168" i="7"/>
  <c r="F333" i="7"/>
  <c r="F356" i="7"/>
  <c r="F139" i="7"/>
  <c r="F260" i="7"/>
  <c r="F319" i="7"/>
  <c r="F103" i="7"/>
  <c r="F220" i="7"/>
  <c r="F214" i="7"/>
  <c r="F162" i="7"/>
  <c r="F138" i="7"/>
  <c r="F131" i="7"/>
  <c r="F261" i="7"/>
  <c r="F255" i="7"/>
  <c r="F199" i="7"/>
  <c r="F185" i="7"/>
  <c r="F44" i="7"/>
  <c r="F96" i="7"/>
  <c r="F32" i="7"/>
  <c r="F5" i="7"/>
  <c r="F78" i="7"/>
  <c r="F42" i="7"/>
  <c r="F67" i="7"/>
  <c r="F13" i="7"/>
  <c r="F4" i="7"/>
  <c r="F41" i="7"/>
  <c r="F66" i="7"/>
  <c r="F69" i="7"/>
  <c r="F23" i="7"/>
  <c r="F88" i="7"/>
  <c r="F95" i="7"/>
  <c r="F216" i="7"/>
  <c r="F308" i="7"/>
  <c r="F117" i="7"/>
  <c r="F206" i="7"/>
  <c r="F147" i="7"/>
  <c r="F361" i="7"/>
  <c r="F146" i="7"/>
  <c r="F307" i="7"/>
  <c r="F202" i="7"/>
  <c r="F229" i="7"/>
  <c r="F327" i="7"/>
  <c r="F279" i="7"/>
  <c r="F239" i="7"/>
  <c r="F174" i="7"/>
  <c r="F119" i="7"/>
  <c r="F281" i="7"/>
  <c r="F205" i="7"/>
  <c r="F159" i="7"/>
  <c r="F137" i="7"/>
  <c r="F116" i="7"/>
  <c r="F128" i="7"/>
  <c r="F109" i="7"/>
  <c r="F39" i="7"/>
  <c r="F90" i="7"/>
  <c r="F9" i="7"/>
  <c r="F30" i="7"/>
  <c r="F79" i="7"/>
  <c r="F86" i="7"/>
  <c r="F29" i="7"/>
  <c r="F335" i="7"/>
  <c r="F110" i="7"/>
  <c r="F268" i="7"/>
  <c r="F362" i="7"/>
  <c r="F194" i="7"/>
  <c r="F270" i="7"/>
  <c r="F181" i="7"/>
  <c r="F200" i="7"/>
  <c r="F341" i="7"/>
  <c r="F318" i="7"/>
  <c r="F380" i="7"/>
  <c r="F301" i="7"/>
  <c r="F77" i="7"/>
  <c r="F48" i="7"/>
  <c r="F15" i="7"/>
  <c r="F300" i="7"/>
  <c r="F130" i="7"/>
  <c r="F60" i="7"/>
  <c r="F63" i="7"/>
  <c r="F101" i="7"/>
  <c r="F294" i="7"/>
  <c r="F27" i="7"/>
  <c r="F80" i="7"/>
  <c r="F189" i="7"/>
  <c r="F166" i="7"/>
  <c r="F348" i="7"/>
  <c r="F175" i="7"/>
  <c r="F24" i="7"/>
  <c r="F10" i="7"/>
  <c r="F64" i="7"/>
  <c r="F21" i="7"/>
  <c r="F286" i="7"/>
  <c r="F203" i="7"/>
  <c r="F134" i="7"/>
  <c r="F3" i="7"/>
  <c r="F16" i="7"/>
  <c r="F383" i="7"/>
  <c r="F121" i="7"/>
  <c r="F170" i="7"/>
  <c r="F76" i="7"/>
  <c r="F354" i="7"/>
  <c r="F31" i="7"/>
  <c r="F151" i="7"/>
  <c r="F372" i="7"/>
  <c r="F322" i="7"/>
  <c r="F358" i="7"/>
  <c r="F264" i="7"/>
  <c r="F330" i="7"/>
  <c r="F293" i="7"/>
  <c r="F292" i="7"/>
  <c r="F140" i="7"/>
  <c r="F278" i="7"/>
  <c r="F352" i="7"/>
  <c r="F112" i="7"/>
  <c r="F340" i="7"/>
  <c r="F313" i="7"/>
  <c r="F336" i="7"/>
  <c r="F247" i="7"/>
  <c r="F61" i="7"/>
  <c r="F2" i="7"/>
  <c r="F357" i="7"/>
  <c r="F157" i="7"/>
  <c r="F252" i="7"/>
  <c r="F283" i="7"/>
  <c r="F297" i="7"/>
  <c r="F384" i="7"/>
  <c r="F195" i="7"/>
  <c r="F304" i="7"/>
  <c r="F338" i="7"/>
  <c r="F274" i="7"/>
  <c r="F351" i="7"/>
  <c r="F124" i="7"/>
  <c r="F213" i="7"/>
  <c r="F242" i="7"/>
  <c r="F256" i="7"/>
  <c r="F311" i="7"/>
  <c r="F215" i="7"/>
  <c r="F191" i="7"/>
  <c r="F379" i="7"/>
  <c r="F226" i="7"/>
  <c r="F38" i="7"/>
  <c r="F276" i="7"/>
  <c r="F149" i="7"/>
  <c r="F291" i="7"/>
  <c r="F187" i="7"/>
  <c r="F367" i="7"/>
  <c r="F366" i="7"/>
  <c r="F332" i="7"/>
  <c r="F344" i="7"/>
  <c r="F57" i="7"/>
  <c r="F102" i="7"/>
  <c r="F275" i="7"/>
  <c r="F126" i="7"/>
  <c r="F115" i="7"/>
  <c r="F296" i="7"/>
  <c r="F192" i="7"/>
  <c r="F350" i="7"/>
  <c r="F233" i="7"/>
  <c r="F37" i="7"/>
  <c r="F178" i="7"/>
  <c r="F375" i="7"/>
  <c r="F365" i="7"/>
  <c r="F100" i="7"/>
  <c r="F272" i="7"/>
  <c r="F155" i="7"/>
  <c r="F368" i="7"/>
  <c r="F284" i="7"/>
  <c r="F75" i="7"/>
  <c r="F298" i="7"/>
  <c r="F107" i="7"/>
  <c r="F295" i="7"/>
  <c r="F108" i="7"/>
  <c r="F364" i="7"/>
  <c r="F201" i="7"/>
  <c r="F104" i="7"/>
  <c r="F269" i="7"/>
  <c r="F163" i="7"/>
  <c r="F377" i="7"/>
  <c r="F123" i="7"/>
  <c r="F167" i="7"/>
  <c r="F118" i="7"/>
  <c r="F154" i="7"/>
  <c r="F122" i="7"/>
  <c r="F212" i="7"/>
  <c r="F230" i="7"/>
  <c r="F43" i="7"/>
  <c r="F83" i="7"/>
  <c r="F326" i="7"/>
  <c r="F253" i="7"/>
  <c r="F165" i="7"/>
  <c r="F251" i="7"/>
  <c r="F370" i="7"/>
  <c r="F312" i="7"/>
  <c r="F271" i="7"/>
  <c r="F236" i="7"/>
  <c r="F323" i="7"/>
  <c r="F133" i="7"/>
  <c r="F172" i="7"/>
  <c r="F376" i="7"/>
  <c r="F324" i="7"/>
  <c r="F285" i="7"/>
  <c r="F184" i="7"/>
  <c r="F325" i="7"/>
  <c r="F35" i="7"/>
  <c r="F316" i="7"/>
  <c r="F249" i="7"/>
  <c r="F164" i="7"/>
  <c r="F238" i="7"/>
  <c r="F152" i="7"/>
  <c r="F111" i="7"/>
  <c r="F374" i="7"/>
  <c r="F127" i="7"/>
  <c r="F262" i="7"/>
  <c r="F346" i="7"/>
  <c r="F328" i="7"/>
  <c r="F150" i="7"/>
  <c r="F105" i="7"/>
  <c r="F198" i="7"/>
  <c r="F320" i="7"/>
  <c r="F329" i="7"/>
  <c r="F197" i="7"/>
  <c r="F355" i="7"/>
  <c r="F132" i="7"/>
  <c r="F373" i="7"/>
  <c r="F306" i="7"/>
  <c r="F190" i="7"/>
  <c r="F287" i="7"/>
  <c r="F290" i="7"/>
  <c r="F317" i="7"/>
  <c r="F343" i="7"/>
  <c r="F342" i="7"/>
  <c r="F347" i="7"/>
  <c r="F176" i="7"/>
  <c r="F244" i="7"/>
  <c r="F259" i="7"/>
  <c r="F106" i="7"/>
  <c r="F207" i="7"/>
  <c r="F179" i="7"/>
  <c r="F142" i="7"/>
  <c r="F135" i="7"/>
  <c r="F232" i="7"/>
  <c r="F228" i="7"/>
  <c r="F99" i="7"/>
  <c r="F173" i="7"/>
  <c r="F120" i="7"/>
  <c r="G2" i="7" l="1"/>
  <c r="G3" i="7"/>
  <c r="G4" i="7" l="1"/>
  <c r="H1" i="6" s="1"/>
</calcChain>
</file>

<file path=xl/sharedStrings.xml><?xml version="1.0" encoding="utf-8"?>
<sst xmlns="http://schemas.openxmlformats.org/spreadsheetml/2006/main" count="3545" uniqueCount="781">
  <si>
    <t>枠</t>
    <rPh sb="0" eb="1">
      <t>ワク</t>
    </rPh>
    <phoneticPr fontId="1"/>
  </si>
  <si>
    <t>Name</t>
  </si>
  <si>
    <t>CMC</t>
  </si>
  <si>
    <t>W01</t>
  </si>
  <si>
    <t>RW</t>
  </si>
  <si>
    <t>W02</t>
  </si>
  <si>
    <t>slv</t>
  </si>
  <si>
    <t>横這Slv</t>
  </si>
  <si>
    <t>W03</t>
  </si>
  <si>
    <t>筋力Slv</t>
  </si>
  <si>
    <t>W04</t>
  </si>
  <si>
    <t>UR</t>
  </si>
  <si>
    <t>突風の漂い</t>
  </si>
  <si>
    <t>W05</t>
  </si>
  <si>
    <t>二人戦術</t>
  </si>
  <si>
    <t>W06</t>
  </si>
  <si>
    <t>天使の贈り物</t>
  </si>
  <si>
    <t>W07</t>
  </si>
  <si>
    <t>狐の刃遣い</t>
  </si>
  <si>
    <t>W08</t>
  </si>
  <si>
    <t>薄れ馬</t>
  </si>
  <si>
    <t>W09</t>
  </si>
  <si>
    <t>除去</t>
  </si>
  <si>
    <t>WB</t>
  </si>
  <si>
    <t>真っ逆さま</t>
  </si>
  <si>
    <t>他</t>
  </si>
  <si>
    <t>安全な道</t>
  </si>
  <si>
    <t>蛾乗りの侍</t>
  </si>
  <si>
    <t>月明かりの徘徊者</t>
  </si>
  <si>
    <t>天羅至の叫び</t>
  </si>
  <si>
    <t>信仰の足枷</t>
  </si>
  <si>
    <t>百爪の神</t>
  </si>
  <si>
    <t>血清Slv</t>
  </si>
  <si>
    <t>U01</t>
  </si>
  <si>
    <t>掴み掛かる水流</t>
  </si>
  <si>
    <t>U02</t>
  </si>
  <si>
    <t>BG</t>
  </si>
  <si>
    <t>荒廃の工作員</t>
  </si>
  <si>
    <t>U03</t>
  </si>
  <si>
    <t>かき鳴らし鳥</t>
  </si>
  <si>
    <t>U04</t>
  </si>
  <si>
    <t>否認</t>
  </si>
  <si>
    <t>U05</t>
  </si>
  <si>
    <t>未達の目</t>
  </si>
  <si>
    <t>U06</t>
  </si>
  <si>
    <t>陰影Slv</t>
  </si>
  <si>
    <t>U07</t>
  </si>
  <si>
    <t>上昇気流の精霊</t>
  </si>
  <si>
    <t>U08</t>
  </si>
  <si>
    <t>着実な進歩</t>
  </si>
  <si>
    <t>U09</t>
  </si>
  <si>
    <t>計算された放逐</t>
  </si>
  <si>
    <t>U10</t>
  </si>
  <si>
    <t>閉所恐怖症</t>
  </si>
  <si>
    <t>GU</t>
  </si>
  <si>
    <t>催眠Slv</t>
  </si>
  <si>
    <t>輝く光波</t>
  </si>
  <si>
    <t>目的のための燃料</t>
  </si>
  <si>
    <t>熟考漂い</t>
  </si>
  <si>
    <t>同期Slv</t>
  </si>
  <si>
    <t>氷河の壊し屋</t>
  </si>
  <si>
    <t>B01</t>
  </si>
  <si>
    <t>死の重み</t>
  </si>
  <si>
    <t>B02</t>
  </si>
  <si>
    <t>疫病のとげ刺し</t>
  </si>
  <si>
    <t>B03</t>
  </si>
  <si>
    <t>B04</t>
  </si>
  <si>
    <t>激情Slv</t>
  </si>
  <si>
    <t>B05</t>
  </si>
  <si>
    <t>ﾌｧｲﾚｸｼｱ化</t>
  </si>
  <si>
    <t>B06</t>
  </si>
  <si>
    <t>魂無き蘇生</t>
  </si>
  <si>
    <t>B07</t>
  </si>
  <si>
    <t>基底Slv</t>
  </si>
  <si>
    <t>B08</t>
  </si>
  <si>
    <t>B09</t>
  </si>
  <si>
    <t>闇への追放</t>
  </si>
  <si>
    <t>忌まわしい容貌</t>
  </si>
  <si>
    <t>骨読み</t>
  </si>
  <si>
    <t>黒割れのｺﾞﾌﾞﾘﾝ</t>
  </si>
  <si>
    <t>空の墓の神</t>
  </si>
  <si>
    <t>血の訴え</t>
  </si>
  <si>
    <t>小走りの死神</t>
  </si>
  <si>
    <t>吐毒Slv</t>
  </si>
  <si>
    <t>絞首</t>
  </si>
  <si>
    <t>毒の屍賊</t>
  </si>
  <si>
    <t>R01</t>
  </si>
  <si>
    <t>R02</t>
  </si>
  <si>
    <t>煙束ね</t>
  </si>
  <si>
    <t>R03</t>
  </si>
  <si>
    <t>戦に狂える浪人</t>
  </si>
  <si>
    <t>R04</t>
  </si>
  <si>
    <t>沸き立つ大地</t>
  </si>
  <si>
    <t>R05</t>
  </si>
  <si>
    <t>双頭Slv</t>
  </si>
  <si>
    <t>R06</t>
  </si>
  <si>
    <t>R07</t>
  </si>
  <si>
    <t>氷河の光線</t>
  </si>
  <si>
    <t>R08</t>
  </si>
  <si>
    <t>R09</t>
  </si>
  <si>
    <t>R10</t>
  </si>
  <si>
    <t>誘導Slv</t>
  </si>
  <si>
    <t>霜剣山の呪刃</t>
  </si>
  <si>
    <t>乱打Slv</t>
  </si>
  <si>
    <t>鉱夫の破滅</t>
  </si>
  <si>
    <t>G01</t>
  </si>
  <si>
    <t>ぎらつかせのｴﾙﾌ</t>
  </si>
  <si>
    <t>G02</t>
  </si>
  <si>
    <t>悪性Slv</t>
  </si>
  <si>
    <t>G03</t>
  </si>
  <si>
    <t>宝革Slv</t>
  </si>
  <si>
    <t>G04</t>
  </si>
  <si>
    <t>G05</t>
  </si>
  <si>
    <t>不屈の自然</t>
  </si>
  <si>
    <t>G06</t>
  </si>
  <si>
    <t>帰化</t>
  </si>
  <si>
    <t>G07</t>
  </si>
  <si>
    <t>剛力化</t>
  </si>
  <si>
    <t>G08</t>
  </si>
  <si>
    <t>嚢胞抱え</t>
  </si>
  <si>
    <t>G09</t>
  </si>
  <si>
    <t>木霊の手の内</t>
  </si>
  <si>
    <t>ピスタスの一撃</t>
  </si>
  <si>
    <t>荒廃後家蜘蛛</t>
  </si>
  <si>
    <t>刻みを継ぐもの</t>
  </si>
  <si>
    <t>反射Slv</t>
  </si>
  <si>
    <t>順応する跳ね顎</t>
  </si>
  <si>
    <t>夜泥の神</t>
  </si>
  <si>
    <t>WB1</t>
  </si>
  <si>
    <t>御身の刃</t>
  </si>
  <si>
    <t>WB2</t>
  </si>
  <si>
    <t>税収飲み</t>
  </si>
  <si>
    <t>不眠の晒し台</t>
  </si>
  <si>
    <t>盲目の狩人</t>
  </si>
  <si>
    <t>UR1</t>
  </si>
  <si>
    <t>天主の勢力</t>
  </si>
  <si>
    <t>UR2</t>
  </si>
  <si>
    <t>凍結燃焼の奇魔</t>
  </si>
  <si>
    <t>本質の反発</t>
  </si>
  <si>
    <t>BG1</t>
  </si>
  <si>
    <t>忌まわしい回収</t>
  </si>
  <si>
    <t>BG2</t>
  </si>
  <si>
    <t>よろめく殻</t>
  </si>
  <si>
    <t>神性の贈り物</t>
  </si>
  <si>
    <t>RW1</t>
  </si>
  <si>
    <t>RW2</t>
  </si>
  <si>
    <t>貴神の神罰</t>
  </si>
  <si>
    <t>戦乱の閃光</t>
  </si>
  <si>
    <t>GU1</t>
  </si>
  <si>
    <t>生体変化</t>
  </si>
  <si>
    <t>GU2</t>
  </si>
  <si>
    <t>超者の意向</t>
  </si>
  <si>
    <t>N01</t>
  </si>
  <si>
    <t>N02</t>
  </si>
  <si>
    <t>N03</t>
  </si>
  <si>
    <t>N04</t>
  </si>
  <si>
    <t>L01</t>
  </si>
  <si>
    <t>未知の岸</t>
  </si>
  <si>
    <t>L02</t>
  </si>
  <si>
    <t>進化する未開地</t>
  </si>
  <si>
    <t>L03</t>
  </si>
  <si>
    <t>L04</t>
  </si>
  <si>
    <t>L05</t>
  </si>
  <si>
    <t>WBL</t>
  </si>
  <si>
    <t>URL</t>
  </si>
  <si>
    <t>BGL</t>
  </si>
  <si>
    <t>RWL</t>
  </si>
  <si>
    <t>GUL</t>
  </si>
  <si>
    <t>C10</t>
  </si>
  <si>
    <t>C12</t>
  </si>
  <si>
    <t>C13</t>
  </si>
  <si>
    <t>C14</t>
  </si>
  <si>
    <t>C15</t>
  </si>
  <si>
    <t>C16</t>
  </si>
  <si>
    <t>C17</t>
  </si>
  <si>
    <t>C18</t>
  </si>
  <si>
    <t>糾弾</t>
  </si>
  <si>
    <t>名誉の手</t>
  </si>
  <si>
    <t>羽軸Slv</t>
  </si>
  <si>
    <t>蝋燭の輝き</t>
  </si>
  <si>
    <t>未練ある魂</t>
  </si>
  <si>
    <t>払拭の光</t>
  </si>
  <si>
    <t>取り囲む地割れ</t>
  </si>
  <si>
    <t>義理に縛られし者、長雄</t>
  </si>
  <si>
    <t>変わり身の勇士</t>
  </si>
  <si>
    <t>宮殿の野の神</t>
  </si>
  <si>
    <t>思考の鈍化</t>
  </si>
  <si>
    <t>意思の激突</t>
  </si>
  <si>
    <t>潮力の精霊</t>
  </si>
  <si>
    <t>拭い捨て</t>
  </si>
  <si>
    <t>雲変化</t>
  </si>
  <si>
    <t>念動Slv</t>
  </si>
  <si>
    <t>沿岸の発見</t>
  </si>
  <si>
    <t>病毒のドレイク</t>
  </si>
  <si>
    <t>蔑み</t>
  </si>
  <si>
    <t>悪意に満ちた蘇りし者</t>
  </si>
  <si>
    <t>影の中の貪り</t>
  </si>
  <si>
    <t>胆液の鼠</t>
  </si>
  <si>
    <t>幽霊の変わり身</t>
  </si>
  <si>
    <t>戦慄の復活</t>
  </si>
  <si>
    <t>吸血Slv</t>
  </si>
  <si>
    <t>忌まわしい笑い</t>
  </si>
  <si>
    <t>増え続ける荒廃</t>
  </si>
  <si>
    <t>隷属</t>
  </si>
  <si>
    <t>膿の神</t>
  </si>
  <si>
    <t>嵐血の狂戦士</t>
  </si>
  <si>
    <t>紅蓮地獄</t>
  </si>
  <si>
    <t>捨て身の儀式</t>
  </si>
  <si>
    <t>攻撃の元型</t>
  </si>
  <si>
    <t>山崎兄弟</t>
  </si>
  <si>
    <t>溶岩核の精霊</t>
  </si>
  <si>
    <t>変わり身の狂戦士</t>
  </si>
  <si>
    <t>血暴れの巨人</t>
  </si>
  <si>
    <t>手綱取り</t>
  </si>
  <si>
    <t>憤怒Slv</t>
  </si>
  <si>
    <t>残忍な稲妻</t>
  </si>
  <si>
    <t>実験体</t>
  </si>
  <si>
    <t>怒りの発散</t>
  </si>
  <si>
    <t>爆発的植生</t>
  </si>
  <si>
    <t>大軍の功績</t>
  </si>
  <si>
    <t>増力Slv</t>
  </si>
  <si>
    <t>杉の力</t>
  </si>
  <si>
    <t>脊柱噛み</t>
  </si>
  <si>
    <t>樹海の胴</t>
  </si>
  <si>
    <t>乳白Slv</t>
  </si>
  <si>
    <t>狂気Slv</t>
  </si>
  <si>
    <t>霊炎Slv</t>
  </si>
  <si>
    <t>火跡Slv</t>
  </si>
  <si>
    <t>調和Slv</t>
  </si>
  <si>
    <t>壊死Slv</t>
  </si>
  <si>
    <t>大食の雛</t>
  </si>
  <si>
    <t>利得+損失</t>
  </si>
  <si>
    <t>熱狂Slv</t>
  </si>
  <si>
    <t>明敏な雛</t>
  </si>
  <si>
    <t>変化+点火</t>
  </si>
  <si>
    <t>暗心Slv</t>
  </si>
  <si>
    <t>有毒の雛</t>
  </si>
  <si>
    <t>有害+不潔</t>
  </si>
  <si>
    <t>焼灼Slv</t>
  </si>
  <si>
    <t>好戦的な雛</t>
  </si>
  <si>
    <t>摩耗+損耗</t>
  </si>
  <si>
    <t>休眠Slv</t>
  </si>
  <si>
    <t>投与+享受</t>
  </si>
  <si>
    <t>頑丈な雛</t>
  </si>
  <si>
    <t>永遠溢れの杯</t>
  </si>
  <si>
    <t>信号の邪魔者</t>
  </si>
  <si>
    <t>生体融合外骨格</t>
  </si>
  <si>
    <t>隕石</t>
  </si>
  <si>
    <t>狐の明け刃</t>
  </si>
  <si>
    <t>三つぞろいの霊魂</t>
  </si>
  <si>
    <t>分離主義者の虚空魔道士</t>
  </si>
  <si>
    <t>心臓刺しの蚊</t>
  </si>
  <si>
    <t>熱血漢の聖戦士</t>
  </si>
  <si>
    <t>感電の弧炎</t>
  </si>
  <si>
    <t>鋳塊かじり</t>
  </si>
  <si>
    <t>森林地の先達</t>
  </si>
  <si>
    <t>新緑の安息所</t>
  </si>
  <si>
    <t>酷評</t>
  </si>
  <si>
    <t>狡猾な一撃</t>
  </si>
  <si>
    <t>とぐろ巻きの巫女</t>
  </si>
  <si>
    <t>天上の待ち伏せ</t>
  </si>
  <si>
    <t>C01</t>
    <phoneticPr fontId="1"/>
  </si>
  <si>
    <t>C02</t>
  </si>
  <si>
    <t>C03</t>
  </si>
  <si>
    <t>C04</t>
  </si>
  <si>
    <t>C05</t>
  </si>
  <si>
    <t>C06</t>
  </si>
  <si>
    <t>C07</t>
  </si>
  <si>
    <t>C08</t>
  </si>
  <si>
    <t>C09</t>
  </si>
  <si>
    <t>C11</t>
    <phoneticPr fontId="1"/>
  </si>
  <si>
    <t>C19</t>
  </si>
  <si>
    <t>C20</t>
  </si>
  <si>
    <t>C21</t>
    <phoneticPr fontId="1"/>
  </si>
  <si>
    <t>C22</t>
    <phoneticPr fontId="1"/>
  </si>
  <si>
    <t>死の激情</t>
  </si>
  <si>
    <t>U01</t>
    <phoneticPr fontId="1"/>
  </si>
  <si>
    <t>U02</t>
    <phoneticPr fontId="1"/>
  </si>
  <si>
    <t>U03</t>
    <phoneticPr fontId="1"/>
  </si>
  <si>
    <t>U04</t>
    <phoneticPr fontId="1"/>
  </si>
  <si>
    <t>U05</t>
    <phoneticPr fontId="1"/>
  </si>
  <si>
    <t>U06</t>
    <phoneticPr fontId="1"/>
  </si>
  <si>
    <t xml:space="preserve"> </t>
  </si>
  <si>
    <t xml:space="preserve"> </t>
    <phoneticPr fontId="1"/>
  </si>
  <si>
    <t>R01</t>
    <phoneticPr fontId="1"/>
  </si>
  <si>
    <t>天使の嗜み</t>
  </si>
  <si>
    <t>金之尾師範</t>
  </si>
  <si>
    <t>族樹の精霊､ｱﾅﾌｪﾝｻﾞ</t>
  </si>
  <si>
    <t>雄鹿の蹄の跡</t>
  </si>
  <si>
    <t>ヘリオッドの槍</t>
    <rPh sb="6" eb="7">
      <t>ヤリ</t>
    </rPh>
    <phoneticPr fontId="1"/>
  </si>
  <si>
    <t>修復の天使</t>
  </si>
  <si>
    <t>神の怒り</t>
  </si>
  <si>
    <t>肺臓Slv</t>
  </si>
  <si>
    <t>侍の御大将、武野</t>
  </si>
  <si>
    <t>惑乱のセイレーン</t>
    <rPh sb="0" eb="2">
      <t>ワクラン</t>
    </rPh>
    <phoneticPr fontId="1"/>
  </si>
  <si>
    <t>潮流の先駆け</t>
  </si>
  <si>
    <t>変位の波</t>
  </si>
  <si>
    <t>風への散乱</t>
  </si>
  <si>
    <t>大笑いの写し身</t>
  </si>
  <si>
    <t>複製の儀式</t>
  </si>
  <si>
    <t>永劫の年代史家</t>
  </si>
  <si>
    <t>心霊Slv</t>
  </si>
  <si>
    <t>ケデレクトのリバイアサン</t>
  </si>
  <si>
    <t>スカースダグの高僧</t>
  </si>
  <si>
    <t>黒の太陽の頂点</t>
  </si>
  <si>
    <t>英雄の破滅</t>
  </si>
  <si>
    <t>法務官の手</t>
  </si>
  <si>
    <t>疫病Slv</t>
  </si>
  <si>
    <t>魂の捕縛</t>
  </si>
  <si>
    <t>飢えたるもの、卑堕硫</t>
  </si>
  <si>
    <t>不明の下降</t>
    <rPh sb="0" eb="2">
      <t>フメイ</t>
    </rPh>
    <rPh sb="3" eb="5">
      <t>カコウ</t>
    </rPh>
    <phoneticPr fontId="1"/>
  </si>
  <si>
    <t>墓忍び</t>
  </si>
  <si>
    <t>火口の爪</t>
  </si>
  <si>
    <t>ミジウムの迫撃砲</t>
  </si>
  <si>
    <t>白熱の魂炊き</t>
  </si>
  <si>
    <t>菅草Slv</t>
  </si>
  <si>
    <t>卑血の芙巳子</t>
  </si>
  <si>
    <t>非情なる飯塚</t>
  </si>
  <si>
    <t>シヴ山のドラゴン</t>
  </si>
  <si>
    <t>怒りの反射</t>
    <rPh sb="0" eb="1">
      <t>イカ</t>
    </rPh>
    <rPh sb="3" eb="5">
      <t>ハンシャ</t>
    </rPh>
    <phoneticPr fontId="1"/>
  </si>
  <si>
    <t>心魂破</t>
  </si>
  <si>
    <t>極楽鳥</t>
  </si>
  <si>
    <t>硬化した鱗</t>
    <rPh sb="0" eb="2">
      <t>コウカ</t>
    </rPh>
    <rPh sb="4" eb="5">
      <t>ウロコ</t>
    </rPh>
    <phoneticPr fontId="1"/>
  </si>
  <si>
    <t>セテッサ式戦術</t>
    <rPh sb="4" eb="5">
      <t>シキ</t>
    </rPh>
    <rPh sb="5" eb="7">
      <t>センジュツ</t>
    </rPh>
    <phoneticPr fontId="1"/>
  </si>
  <si>
    <t>起源の波</t>
  </si>
  <si>
    <t>菌類Slv</t>
  </si>
  <si>
    <t>放浪する森林</t>
  </si>
  <si>
    <t>ゴルガリの墓トロール</t>
  </si>
  <si>
    <t>ﾌｧｲﾚｸｼｱの群れの王</t>
  </si>
  <si>
    <t>ニッサの復興</t>
    <rPh sb="4" eb="6">
      <t>フッコウ</t>
    </rPh>
    <phoneticPr fontId="1"/>
  </si>
  <si>
    <t>オルゾフの御曹子、テイサ</t>
  </si>
  <si>
    <t>オブゼダートの救済</t>
  </si>
  <si>
    <t>空砕きの呼び声</t>
  </si>
  <si>
    <t>対抗変転</t>
    <rPh sb="0" eb="2">
      <t>タイコウ</t>
    </rPh>
    <rPh sb="2" eb="4">
      <t>ヘンテン</t>
    </rPh>
    <phoneticPr fontId="1"/>
  </si>
  <si>
    <t>花崗岩の凝視</t>
  </si>
  <si>
    <t>ジャラドの命令</t>
    <rPh sb="5" eb="7">
      <t>メイレイ</t>
    </rPh>
    <phoneticPr fontId="1"/>
  </si>
  <si>
    <t>炎まといの報復者</t>
  </si>
  <si>
    <t>軍勢の集結</t>
  </si>
  <si>
    <t>もう一人の自分</t>
  </si>
  <si>
    <t>白日の下に</t>
    <rPh sb="0" eb="2">
      <t>ハクジツ</t>
    </rPh>
    <rPh sb="3" eb="4">
      <t>モト</t>
    </rPh>
    <phoneticPr fontId="1"/>
  </si>
  <si>
    <t>URW</t>
  </si>
  <si>
    <t>壊滅させるものヌーマット</t>
  </si>
  <si>
    <t>BGU</t>
  </si>
  <si>
    <t>狩るものヴォラシュ</t>
  </si>
  <si>
    <t>RWB</t>
  </si>
  <si>
    <t>報復するものオロス</t>
  </si>
  <si>
    <t>GUR</t>
  </si>
  <si>
    <t>夢見るものインテット</t>
  </si>
  <si>
    <t>WBG</t>
  </si>
  <si>
    <t>収穫するものテネブ</t>
  </si>
  <si>
    <t>5C</t>
  </si>
  <si>
    <t>Slv軍団</t>
  </si>
  <si>
    <t>巣石</t>
  </si>
  <si>
    <t>精霊信者の剣</t>
  </si>
  <si>
    <t>真面目な身代わり</t>
    <rPh sb="0" eb="3">
      <t>マジメ</t>
    </rPh>
    <rPh sb="4" eb="6">
      <t>ミガ</t>
    </rPh>
    <phoneticPr fontId="1"/>
  </si>
  <si>
    <t>タミヨウの日誌</t>
  </si>
  <si>
    <t>スリヴァーの巣</t>
  </si>
  <si>
    <t>ニクソス</t>
  </si>
  <si>
    <t>墨蛾の生息地</t>
  </si>
  <si>
    <t>マナの合流点</t>
    <rPh sb="3" eb="6">
      <t>ゴウリュウテン</t>
    </rPh>
    <phoneticPr fontId="1"/>
  </si>
  <si>
    <t>戦の大聖堂</t>
  </si>
  <si>
    <t>MW1</t>
  </si>
  <si>
    <t>永岩城の君主、今田</t>
  </si>
  <si>
    <t>MW2</t>
  </si>
  <si>
    <t>黄金たてがみのアジャニ</t>
  </si>
  <si>
    <t>MU1</t>
  </si>
  <si>
    <t>波使い</t>
    <rPh sb="0" eb="1">
      <t>ナミ</t>
    </rPh>
    <rPh sb="1" eb="2">
      <t>ツカ</t>
    </rPh>
    <phoneticPr fontId="1"/>
  </si>
  <si>
    <t>MU2</t>
  </si>
  <si>
    <t>ジェイス・ベレレン</t>
  </si>
  <si>
    <t>MB1</t>
  </si>
  <si>
    <t>荒廃のﾄﾞﾗｺﾞﾝ､ｽｷｼﾞﾘｸｽ</t>
  </si>
  <si>
    <t>MB2</t>
  </si>
  <si>
    <t>リリアナ・ヴェス</t>
  </si>
  <si>
    <t>MR1</t>
  </si>
  <si>
    <t>忌むべき者のかがり火</t>
  </si>
  <si>
    <t>MR2</t>
  </si>
  <si>
    <t>チャンドラ・ナラー</t>
  </si>
  <si>
    <t>MG1</t>
  </si>
  <si>
    <t>世界を喰らう者、ポルクラノス</t>
  </si>
  <si>
    <t>MG2</t>
  </si>
  <si>
    <t>野生語りのガラク</t>
  </si>
  <si>
    <t>MWU</t>
  </si>
  <si>
    <t>スフィンクスの啓示</t>
  </si>
  <si>
    <t>MBR</t>
  </si>
  <si>
    <t>ファルケンラスの貴種</t>
  </si>
  <si>
    <t>MRG</t>
  </si>
  <si>
    <t>強欲なるスロモック</t>
  </si>
  <si>
    <t>MGW</t>
  </si>
  <si>
    <t>ミラーリの目覚め</t>
  </si>
  <si>
    <t>MWB</t>
  </si>
  <si>
    <t>ヴィズコーパの血男爵</t>
  </si>
  <si>
    <t>MBG</t>
  </si>
  <si>
    <t>ギトラグの怪物</t>
  </si>
  <si>
    <t>MRW</t>
  </si>
  <si>
    <t>戦導者オレリア</t>
  </si>
  <si>
    <t>MGU</t>
  </si>
  <si>
    <t>練達の生術師</t>
  </si>
  <si>
    <t>UBR</t>
  </si>
  <si>
    <t>プレインズウォーカー、二コル・ボーラス</t>
    <rPh sb="11" eb="12">
      <t>ニ</t>
    </rPh>
    <phoneticPr fontId="1"/>
  </si>
  <si>
    <t>MN1</t>
  </si>
  <si>
    <t>紅蓮術士のゴーグル</t>
  </si>
  <si>
    <t>信仰無き物あさり</t>
  </si>
  <si>
    <t>先導者のらせん</t>
  </si>
  <si>
    <t>弱者狩り</t>
  </si>
  <si>
    <t>白日の下に</t>
  </si>
  <si>
    <t>構造のひずみ</t>
  </si>
  <si>
    <t>硬化した鱗</t>
  </si>
  <si>
    <t>怒りの反射</t>
  </si>
  <si>
    <t>必殺の一射</t>
  </si>
  <si>
    <t>不明の下降</t>
  </si>
  <si>
    <t>屈辱</t>
  </si>
  <si>
    <t>対抗変転</t>
  </si>
  <si>
    <t>真面目な身代わり</t>
  </si>
  <si>
    <t>霧のﾆﾌﾞﾘｽ</t>
  </si>
  <si>
    <t>ｽﾚｲﾍﾞﾝの検査官</t>
  </si>
  <si>
    <t>すがりつくｲｿｷﾞﾝﾁｬｸ</t>
  </si>
  <si>
    <t>ﾍﾘｳﾑ噴射獣</t>
  </si>
  <si>
    <t>ｴｲヴﾝの偵察兵</t>
  </si>
  <si>
    <t>ﾌｧｲﾚｸｼｱの憤怒鬼</t>
  </si>
  <si>
    <t>とどめの一刺しのﾌｪｱﾘｰ</t>
  </si>
  <si>
    <t>ﾗｯﾊﾟの一吹き</t>
  </si>
  <si>
    <t>反抗するｵｰｶﾞ</t>
  </si>
  <si>
    <t>ﾋﾟｽﾀｽの一撃</t>
  </si>
  <si>
    <t>彼方地のｴﾙﾌ</t>
  </si>
  <si>
    <t>ｾﾞｸﾀｰ祭殿の探検</t>
  </si>
  <si>
    <t>ﾏﾙﾄﾞｩの頭蓋狩り</t>
  </si>
  <si>
    <t>ｱﾀﾙｶのｲﾌﾘｰﾄ</t>
  </si>
  <si>
    <t>甲鱗のﾜｰﾑ</t>
  </si>
  <si>
    <t>道壊しﾜｰﾑ</t>
  </si>
  <si>
    <t>ｱｸﾛｽの兵長</t>
  </si>
  <si>
    <t>罠顎のｹﾙﾋﾟｰ</t>
  </si>
  <si>
    <t>ﾎﾞﾛｽの補充兵</t>
  </si>
  <si>
    <t>冒涜するﾊｯｸﾞ</t>
  </si>
  <si>
    <t>ヴｨｸﾞの水植物</t>
  </si>
  <si>
    <t>ｺﾞﾌﾞﾘﾝの電術師</t>
  </si>
  <si>
    <t>裂き爪のﾄﾛｳ</t>
  </si>
  <si>
    <t>ｳｫｼﾞｪｸの矛槍兵</t>
  </si>
  <si>
    <t>ｾﾛﾄﾞﾝの一年仔</t>
  </si>
  <si>
    <t>重要人物のﾍﾟｯﾄ</t>
  </si>
  <si>
    <t>ｲｾﾞｯﾄの時術師</t>
  </si>
  <si>
    <t>ｺﾞﾙｺﾞﾝの凝視</t>
  </si>
  <si>
    <t>ヴｨｰｱｼｰﾉの初太刀</t>
  </si>
  <si>
    <t>ｵﾙｿﾞﾌの導き石</t>
  </si>
  <si>
    <t>ｲｾﾞｯﾄの導き石</t>
  </si>
  <si>
    <t>ｺﾞﾙｶﾞﾘの導き石</t>
  </si>
  <si>
    <t>ﾎﾞﾛｽの導き石</t>
  </si>
  <si>
    <t>ｼﾐｯｸの導き石</t>
  </si>
  <si>
    <t>心鍛のｺﾞｰﾚﾑ</t>
  </si>
  <si>
    <t>ｳﾙ=ｺﾞｰﾚﾑの目</t>
  </si>
  <si>
    <t>義理に縛られし者､長雄</t>
  </si>
  <si>
    <t>病毒のﾄﾞﾚｲｸ</t>
  </si>
  <si>
    <t>ｼﾙﾑｶﾞﾙの魔術師</t>
  </si>
  <si>
    <t>ｻﾌｧｲｱのﾄﾞﾚｲｸ</t>
  </si>
  <si>
    <t>ｱﾒｰﾊﾞの変わり身</t>
  </si>
  <si>
    <t>変わり身のﾀｲﾀﾝ</t>
  </si>
  <si>
    <t>ｶﾙ･ｼｽﾏの風</t>
  </si>
  <si>
    <t>ｱﾅの戦闘魔道士</t>
  </si>
  <si>
    <t>ｲｾﾞｯﾄの魔除け</t>
  </si>
  <si>
    <t>空乗りのｴﾙﾌ</t>
  </si>
  <si>
    <t>ｾﾗの天使</t>
  </si>
  <si>
    <t>ｱﾌﾞｻﾞﾝ土地</t>
  </si>
  <si>
    <t>ｼﾞｪｽｶｲ土地</t>
  </si>
  <si>
    <t>ｽｩﾙﾀｲ土地</t>
  </si>
  <si>
    <t>ﾏﾙﾄﾞｩ土地</t>
  </si>
  <si>
    <t>ﾏﾅ力の鎚鉾</t>
  </si>
  <si>
    <t>ﾃｨﾑｰﾙ土地</t>
  </si>
  <si>
    <t>ﾍﾘｵｯﾄﾞの槍</t>
  </si>
  <si>
    <t>侍の御大将､武野</t>
  </si>
  <si>
    <t>ｹﾃﾞﾚｸﾄのﾘﾊﾞｲｱｻﾝ</t>
  </si>
  <si>
    <t>惑乱のｾｲﾚｰﾝ</t>
  </si>
  <si>
    <t>ｽｶｰｽﾀﾞｸﾞの高僧</t>
  </si>
  <si>
    <t>飢えたるもの､卑堕硫</t>
  </si>
  <si>
    <t>ｼヴ山のﾄﾞﾗｺﾞﾝ</t>
  </si>
  <si>
    <t>ﾐｼﾞｳﾑの迫撃砲</t>
  </si>
  <si>
    <t>ﾀﾐﾖｳの日誌</t>
  </si>
  <si>
    <t>ｺﾞﾙｶﾞﾘの墓ﾄﾛｰﾙ</t>
  </si>
  <si>
    <t>ｾﾃｯｻ式戦術</t>
  </si>
  <si>
    <t>ﾆｯｻの復興</t>
  </si>
  <si>
    <t>ｵﾙｿﾞﾌの御曹子､ﾃｲｻ</t>
  </si>
  <si>
    <t>ｵﾌﾞｾﾞﾀﾞｰﾄの救済</t>
  </si>
  <si>
    <t>ｼﾞｬﾗﾄﾞの命令</t>
  </si>
  <si>
    <t>壊滅させるものﾇｰﾏｯﾄ</t>
  </si>
  <si>
    <t>狩るものヴｫﾗｼｭ</t>
  </si>
  <si>
    <t>報復するものｵﾛｽ</t>
  </si>
  <si>
    <t>夢見るものｲﾝﾃｯﾄ</t>
  </si>
  <si>
    <t>収穫するものﾃﾈﾌﾞ</t>
  </si>
  <si>
    <t>ｽﾘヴｧｰの巣</t>
  </si>
  <si>
    <t>ﾆｸｿｽ</t>
  </si>
  <si>
    <t>ﾏﾅの合流点</t>
  </si>
  <si>
    <t>永岩城の君主､今田</t>
  </si>
  <si>
    <t>ｼﾞｪｲｽ･ﾍﾞﾚﾚﾝ</t>
  </si>
  <si>
    <t>ﾁｬﾝﾄﾞﾗ･ﾅﾗｰ</t>
  </si>
  <si>
    <t>世界を喰らう者､ﾎﾟﾙｸﾗﾉｽ</t>
  </si>
  <si>
    <t>黄金たてがみのｱｼﾞｬﾆ</t>
  </si>
  <si>
    <t>波使い</t>
  </si>
  <si>
    <t>ﾘﾘｱﾅ･ヴｪｽ</t>
  </si>
  <si>
    <t>野生語りのｶﾞﾗｸ</t>
  </si>
  <si>
    <t>ｽﾌｨﾝｸｽの啓示</t>
  </si>
  <si>
    <t>ﾌｧﾙｹﾝﾗｽの貴種</t>
  </si>
  <si>
    <t>強欲なるｽﾛﾓｯｸ</t>
  </si>
  <si>
    <t>ﾐﾗｰﾘの目覚め</t>
  </si>
  <si>
    <t>ヴｨｽﾞｺｰﾊﾟの血男爵</t>
  </si>
  <si>
    <t>ｷﾞﾄﾗｸﾞの怪物</t>
  </si>
  <si>
    <t>戦導者ｵﾚﾘｱ</t>
  </si>
  <si>
    <t>ﾌﾟﾚｲﾝｽﾞｳｫｰｶｰ､二ｺﾙ･ﾎﾞｰﾗｽ</t>
  </si>
  <si>
    <t>紅蓮術士のｺﾞｰｸﾞﾙ</t>
  </si>
  <si>
    <t>0729</t>
  </si>
  <si>
    <t>0823</t>
  </si>
  <si>
    <t>0926</t>
  </si>
  <si>
    <t>1008</t>
  </si>
  <si>
    <t>0112</t>
  </si>
  <si>
    <t>1305</t>
  </si>
  <si>
    <t>1402</t>
  </si>
  <si>
    <t>1523</t>
  </si>
  <si>
    <t>1618</t>
  </si>
  <si>
    <t>2114</t>
  </si>
  <si>
    <t>2230</t>
  </si>
  <si>
    <t>2814</t>
  </si>
  <si>
    <t>2916</t>
  </si>
  <si>
    <t>3028</t>
  </si>
  <si>
    <t>3315</t>
  </si>
  <si>
    <t>1005</t>
  </si>
  <si>
    <t>0102</t>
  </si>
  <si>
    <t>0232</t>
  </si>
  <si>
    <t>0304</t>
  </si>
  <si>
    <t>2019</t>
  </si>
  <si>
    <t>1118</t>
  </si>
  <si>
    <t>1225</t>
  </si>
  <si>
    <t>1327</t>
  </si>
  <si>
    <t>2119</t>
  </si>
  <si>
    <t>2245</t>
  </si>
  <si>
    <t>3105</t>
  </si>
  <si>
    <t>3221</t>
  </si>
  <si>
    <t>4209</t>
  </si>
  <si>
    <t>0928</t>
  </si>
  <si>
    <t>1014</t>
  </si>
  <si>
    <t>0104</t>
  </si>
  <si>
    <t>0213</t>
  </si>
  <si>
    <t>0311</t>
  </si>
  <si>
    <t>2005</t>
  </si>
  <si>
    <t>1104</t>
  </si>
  <si>
    <t>1214</t>
  </si>
  <si>
    <t>1317</t>
  </si>
  <si>
    <t>2228</t>
  </si>
  <si>
    <t>2727</t>
  </si>
  <si>
    <t>2815</t>
  </si>
  <si>
    <t>2921</t>
  </si>
  <si>
    <t>4213</t>
  </si>
  <si>
    <t>0835</t>
  </si>
  <si>
    <t>0902</t>
  </si>
  <si>
    <t>1006</t>
  </si>
  <si>
    <t>0123</t>
  </si>
  <si>
    <t>0210</t>
  </si>
  <si>
    <t>1724</t>
  </si>
  <si>
    <t>1804</t>
  </si>
  <si>
    <t>1901</t>
  </si>
  <si>
    <t>2023</t>
  </si>
  <si>
    <t>2117</t>
  </si>
  <si>
    <t>2240</t>
  </si>
  <si>
    <t>3035</t>
  </si>
  <si>
    <t>3122</t>
  </si>
  <si>
    <t>3228</t>
  </si>
  <si>
    <t>4210</t>
  </si>
  <si>
    <t>0127</t>
  </si>
  <si>
    <t>0234</t>
  </si>
  <si>
    <t>0330</t>
  </si>
  <si>
    <t>0412</t>
  </si>
  <si>
    <t>0515</t>
  </si>
  <si>
    <t>1420</t>
  </si>
  <si>
    <t>1506</t>
  </si>
  <si>
    <t>1617</t>
  </si>
  <si>
    <t>1713</t>
  </si>
  <si>
    <t>2123</t>
  </si>
  <si>
    <t>2239</t>
  </si>
  <si>
    <t>2323</t>
  </si>
  <si>
    <t>2410</t>
  </si>
  <si>
    <t>2526</t>
  </si>
  <si>
    <t>3604</t>
  </si>
  <si>
    <t>霧のニブリス</t>
    <rPh sb="0" eb="1">
      <t>キリ</t>
    </rPh>
    <phoneticPr fontId="1"/>
  </si>
  <si>
    <t>2W</t>
  </si>
  <si>
    <t>DKA</t>
  </si>
  <si>
    <t>C</t>
  </si>
  <si>
    <t>スピリット</t>
  </si>
  <si>
    <t>2/1</t>
  </si>
  <si>
    <t>飛行 CIPタッパー</t>
  </si>
  <si>
    <t>3W</t>
  </si>
  <si>
    <t>BOK</t>
  </si>
  <si>
    <t>1/4</t>
  </si>
  <si>
    <t>S:生物1任意色プロ　転生3</t>
  </si>
  <si>
    <t>4W</t>
  </si>
  <si>
    <t>CHK</t>
  </si>
  <si>
    <t>2/3</t>
  </si>
  <si>
    <t>飛行　転生4</t>
  </si>
  <si>
    <t>3B</t>
  </si>
  <si>
    <t>SOK</t>
  </si>
  <si>
    <t>4/1</t>
  </si>
  <si>
    <t>転生3</t>
  </si>
  <si>
    <t>4B</t>
  </si>
  <si>
    <t>4/2</t>
  </si>
  <si>
    <t>S:生物1-1/-1　転生4</t>
  </si>
  <si>
    <t>3G</t>
  </si>
  <si>
    <t>2/2</t>
  </si>
  <si>
    <t>S:生物1+2/+2　転生3</t>
  </si>
  <si>
    <t>4GG</t>
  </si>
  <si>
    <t>6/4</t>
  </si>
  <si>
    <t>転生5</t>
  </si>
  <si>
    <t>多相</t>
  </si>
  <si>
    <t>LRW</t>
  </si>
  <si>
    <t>多相の戦士</t>
  </si>
  <si>
    <t>4/4</t>
  </si>
  <si>
    <t>多相　覇権　絆魂</t>
  </si>
  <si>
    <t>5W</t>
  </si>
  <si>
    <t>3/2</t>
  </si>
  <si>
    <t>飛行　先制　転生5</t>
  </si>
  <si>
    <t>アメーバの変わり身</t>
  </si>
  <si>
    <t>1U</t>
  </si>
  <si>
    <t>1/1</t>
  </si>
  <si>
    <t>多相　T:生物1多相or非多相</t>
  </si>
  <si>
    <t>2B</t>
  </si>
  <si>
    <t>多相　1B：+1/+1</t>
  </si>
  <si>
    <t>5BB</t>
  </si>
  <si>
    <t>3/3</t>
  </si>
  <si>
    <t>BS:闇への追放　転生6</t>
  </si>
  <si>
    <t>3R</t>
  </si>
  <si>
    <t>5/3</t>
  </si>
  <si>
    <t>多相　覇権　速攻</t>
  </si>
  <si>
    <t>変わり身のタイタン</t>
  </si>
  <si>
    <t>4G</t>
  </si>
  <si>
    <t>7/7</t>
  </si>
  <si>
    <t>多相　覇権</t>
  </si>
  <si>
    <t>7GG</t>
  </si>
  <si>
    <t>8/5</t>
  </si>
  <si>
    <t>貫通　転生8</t>
  </si>
  <si>
    <t>WW</t>
  </si>
  <si>
    <t>DTK</t>
  </si>
  <si>
    <t>兵士</t>
    <rPh sb="0" eb="2">
      <t>ヘイシ</t>
    </rPh>
    <phoneticPr fontId="1"/>
  </si>
  <si>
    <t>伝説　他生物CIP鼓舞</t>
    <rPh sb="0" eb="2">
      <t>デンセツ</t>
    </rPh>
    <rPh sb="3" eb="4">
      <t>タ</t>
    </rPh>
    <rPh sb="4" eb="6">
      <t>セイブツ</t>
    </rPh>
    <rPh sb="9" eb="11">
      <t>コブ</t>
    </rPh>
    <phoneticPr fontId="1"/>
  </si>
  <si>
    <t>伝説　飛行　1スピリットS：選択ハンデス　転生4</t>
  </si>
  <si>
    <t>ムーアランドの流れ者</t>
  </si>
  <si>
    <t>1W</t>
  </si>
  <si>
    <t>SOI</t>
  </si>
  <si>
    <t>昂揚-飛行</t>
    <rPh sb="0" eb="2">
      <t>コウヨウ</t>
    </rPh>
    <rPh sb="3" eb="5">
      <t>ヒコウ</t>
    </rPh>
    <phoneticPr fontId="1"/>
  </si>
  <si>
    <t>遠沼の亡霊</t>
  </si>
  <si>
    <t>1/3</t>
  </si>
  <si>
    <t>潜伏　絆魂</t>
    <rPh sb="0" eb="2">
      <t>センプク</t>
    </rPh>
    <rPh sb="3" eb="4">
      <t>キズナ</t>
    </rPh>
    <rPh sb="4" eb="5">
      <t>タマシイ</t>
    </rPh>
    <phoneticPr fontId="1"/>
  </si>
  <si>
    <t>I</t>
  </si>
  <si>
    <t>E</t>
  </si>
  <si>
    <t>S</t>
  </si>
  <si>
    <t>探検の猛禽</t>
  </si>
  <si>
    <t>3WW</t>
  </si>
  <si>
    <t>OGW</t>
  </si>
  <si>
    <t>M12</t>
  </si>
  <si>
    <t>GTC</t>
  </si>
  <si>
    <t>DIS</t>
  </si>
  <si>
    <t>ZEN</t>
  </si>
  <si>
    <t>NPH</t>
  </si>
  <si>
    <t>確約の神主</t>
  </si>
  <si>
    <t>G</t>
  </si>
  <si>
    <t>1G</t>
  </si>
  <si>
    <t>黄金の木立ちの蛇</t>
  </si>
  <si>
    <t>BNG</t>
  </si>
  <si>
    <t>W/B</t>
  </si>
  <si>
    <t>EVE</t>
  </si>
  <si>
    <t>亡霊招き</t>
  </si>
  <si>
    <t>1W/B</t>
  </si>
  <si>
    <t>GPT</t>
  </si>
  <si>
    <t>RTR</t>
  </si>
  <si>
    <t>裏返し</t>
  </si>
  <si>
    <t>1U/R</t>
  </si>
  <si>
    <t>水路の蠍</t>
  </si>
  <si>
    <t>2BG</t>
  </si>
  <si>
    <t>二度裂き</t>
  </si>
  <si>
    <t>1R/W</t>
  </si>
  <si>
    <t>THS</t>
  </si>
  <si>
    <t>ﾑｰｱﾗﾝﾄﾞの流れ者</t>
  </si>
  <si>
    <t>ﾏｰﾌｫｰｸの物あさり</t>
  </si>
  <si>
    <t>ｸﾞﾚｲﾌﾞﾃﾞｨｶﾞｰ</t>
  </si>
  <si>
    <t>ﾘﾊﾞｰ･ﾎﾞｱ</t>
  </si>
  <si>
    <t>哀悼のｽﾗﾙ</t>
  </si>
  <si>
    <t>C01</t>
  </si>
  <si>
    <t>C21</t>
  </si>
  <si>
    <t>6/16版</t>
  </si>
  <si>
    <t>OUT</t>
    <phoneticPr fontId="1"/>
  </si>
  <si>
    <t>IN</t>
    <phoneticPr fontId="1"/>
  </si>
  <si>
    <t>テゼレットの計略</t>
    <rPh sb="6" eb="8">
      <t>ケイリャク</t>
    </rPh>
    <phoneticPr fontId="1"/>
  </si>
  <si>
    <t>3U/P</t>
  </si>
  <si>
    <t>打ち倒し</t>
    <rPh sb="0" eb="1">
      <t>ウ</t>
    </rPh>
    <rPh sb="2" eb="3">
      <t>タオ</t>
    </rPh>
    <phoneticPr fontId="1"/>
  </si>
  <si>
    <t>士気溢れる徴集兵</t>
  </si>
  <si>
    <t>4R</t>
    <phoneticPr fontId="1"/>
  </si>
  <si>
    <t>AVR</t>
    <phoneticPr fontId="1"/>
  </si>
  <si>
    <t>C</t>
    <phoneticPr fontId="1"/>
  </si>
  <si>
    <t>ﾊﾟｰﾌｫﾛｽの激怒</t>
  </si>
  <si>
    <t>ﾊﾟｰﾌｫﾛｽの激怒</t>
    <phoneticPr fontId="1"/>
  </si>
  <si>
    <t>悪魔火</t>
    <rPh sb="0" eb="2">
      <t>アクマ</t>
    </rPh>
    <rPh sb="2" eb="3">
      <t>ヒ</t>
    </rPh>
    <phoneticPr fontId="1"/>
  </si>
  <si>
    <t>XR</t>
  </si>
  <si>
    <t>火口の爪</t>
    <rPh sb="0" eb="2">
      <t>カコウ</t>
    </rPh>
    <rPh sb="3" eb="4">
      <t>ツメ</t>
    </rPh>
    <phoneticPr fontId="1"/>
  </si>
  <si>
    <t>奸謀</t>
    <rPh sb="0" eb="1">
      <t>カン</t>
    </rPh>
    <rPh sb="1" eb="2">
      <t>ボウ</t>
    </rPh>
    <phoneticPr fontId="1"/>
  </si>
  <si>
    <t>3BB</t>
  </si>
  <si>
    <t>TSB</t>
  </si>
  <si>
    <t>朽ちゆくﾈｽﾞﾐ</t>
  </si>
  <si>
    <t>朽ちゆくﾈｽﾞﾐ</t>
    <rPh sb="0" eb="1">
      <t>ク</t>
    </rPh>
    <phoneticPr fontId="1"/>
  </si>
  <si>
    <t>1B</t>
    <phoneticPr fontId="1"/>
  </si>
  <si>
    <t>CON</t>
  </si>
  <si>
    <t>影切り</t>
  </si>
  <si>
    <t>Ver0.1</t>
    <phoneticPr fontId="1"/>
  </si>
  <si>
    <t>Ver0.2</t>
    <phoneticPr fontId="1"/>
  </si>
  <si>
    <t>Ver0.3</t>
    <phoneticPr fontId="1"/>
  </si>
  <si>
    <t>Ver0.4</t>
    <phoneticPr fontId="1"/>
  </si>
  <si>
    <t>全キーワード</t>
    <rPh sb="0" eb="1">
      <t>ゼン</t>
    </rPh>
    <phoneticPr fontId="1"/>
  </si>
  <si>
    <t>Ver0.5</t>
    <phoneticPr fontId="1"/>
  </si>
  <si>
    <t>対抗色楔</t>
    <rPh sb="0" eb="2">
      <t>タイコウ</t>
    </rPh>
    <rPh sb="2" eb="3">
      <t>ショク</t>
    </rPh>
    <rPh sb="3" eb="4">
      <t>クサビ</t>
    </rPh>
    <phoneticPr fontId="1"/>
  </si>
  <si>
    <t>ベーシック</t>
    <phoneticPr fontId="1"/>
  </si>
  <si>
    <t>次元</t>
    <rPh sb="0" eb="2">
      <t>ジゲン</t>
    </rPh>
    <phoneticPr fontId="1"/>
  </si>
  <si>
    <t>二色弧</t>
    <rPh sb="0" eb="2">
      <t>ニショク</t>
    </rPh>
    <rPh sb="2" eb="3">
      <t>コ</t>
    </rPh>
    <phoneticPr fontId="1"/>
  </si>
  <si>
    <t>Ver0.51</t>
    <phoneticPr fontId="1"/>
  </si>
  <si>
    <t>F大幅OUT　多色IN</t>
    <rPh sb="1" eb="3">
      <t>オオハバ</t>
    </rPh>
    <rPh sb="7" eb="9">
      <t>タショク</t>
    </rPh>
    <phoneticPr fontId="1"/>
  </si>
  <si>
    <t>Ver0.52</t>
    <phoneticPr fontId="1"/>
  </si>
  <si>
    <t>CIP大幅IN</t>
    <rPh sb="3" eb="5">
      <t>オオハバ</t>
    </rPh>
    <phoneticPr fontId="1"/>
  </si>
  <si>
    <t>Ver0.53</t>
    <phoneticPr fontId="1"/>
  </si>
  <si>
    <t>Ver0.54</t>
  </si>
  <si>
    <t>Ver0.54</t>
    <phoneticPr fontId="1"/>
  </si>
  <si>
    <t>霊・感染調整、多色配分調整</t>
    <rPh sb="0" eb="1">
      <t>レイ</t>
    </rPh>
    <rPh sb="2" eb="4">
      <t>カンセン</t>
    </rPh>
    <rPh sb="4" eb="6">
      <t>チョウセイ</t>
    </rPh>
    <rPh sb="7" eb="9">
      <t>タショク</t>
    </rPh>
    <rPh sb="9" eb="11">
      <t>ハイブン</t>
    </rPh>
    <rPh sb="11" eb="13">
      <t>チョウセイ</t>
    </rPh>
    <phoneticPr fontId="1"/>
  </si>
  <si>
    <t>テストプレイ準備開始、侍調整</t>
    <rPh sb="6" eb="8">
      <t>ジュンビ</t>
    </rPh>
    <rPh sb="8" eb="10">
      <t>カイシ</t>
    </rPh>
    <rPh sb="11" eb="12">
      <t>サムライ</t>
    </rPh>
    <rPh sb="12" eb="14">
      <t>チョウセイ</t>
    </rPh>
    <phoneticPr fontId="1"/>
  </si>
  <si>
    <t>ﾃｾﾞﾚｯﾄの計略</t>
    <rPh sb="7" eb="9">
      <t>ケイリャク</t>
    </rPh>
    <phoneticPr fontId="1"/>
  </si>
  <si>
    <t>6/24版</t>
    <rPh sb="4" eb="5">
      <t>バン</t>
    </rPh>
    <phoneticPr fontId="1"/>
  </si>
  <si>
    <t>ﾃｾﾞﾚｯﾄの計略</t>
  </si>
  <si>
    <t>流砂</t>
    <rPh sb="0" eb="2">
      <t>リュウサ</t>
    </rPh>
    <phoneticPr fontId="1"/>
  </si>
  <si>
    <t>憑依された沼墓</t>
    <rPh sb="0" eb="2">
      <t>ヒョウイ</t>
    </rPh>
    <rPh sb="5" eb="6">
      <t>ヌマ</t>
    </rPh>
    <rPh sb="6" eb="7">
      <t>ハカ</t>
    </rPh>
    <phoneticPr fontId="1"/>
  </si>
  <si>
    <t>空に届くﾏﾝﾀ</t>
  </si>
  <si>
    <t>空に届くﾏﾝﾀ</t>
    <rPh sb="0" eb="1">
      <t>ソラ</t>
    </rPh>
    <rPh sb="2" eb="3">
      <t>トド</t>
    </rPh>
    <phoneticPr fontId="1"/>
  </si>
  <si>
    <t>流砂</t>
  </si>
  <si>
    <t>憑依された沼墓</t>
  </si>
  <si>
    <t>山崎兄弟</t>
    <rPh sb="0" eb="2">
      <t>ヤマザキ</t>
    </rPh>
    <rPh sb="2" eb="4">
      <t>キョウダイ</t>
    </rPh>
    <phoneticPr fontId="1"/>
  </si>
  <si>
    <t>C11</t>
  </si>
  <si>
    <t>荒廃のﾏﾝﾊﾞ</t>
  </si>
  <si>
    <t>荒廃のﾏﾝﾊﾞ</t>
    <rPh sb="0" eb="2">
      <t>コウハイ</t>
    </rPh>
    <phoneticPr fontId="1"/>
  </si>
  <si>
    <t>W</t>
  </si>
  <si>
    <t>U</t>
  </si>
  <si>
    <t>B</t>
  </si>
  <si>
    <t>R</t>
  </si>
  <si>
    <t>WU</t>
  </si>
  <si>
    <t>UB</t>
  </si>
  <si>
    <t>BR</t>
  </si>
  <si>
    <t>RG</t>
  </si>
  <si>
    <t>GW</t>
  </si>
  <si>
    <t>N</t>
  </si>
  <si>
    <t>L</t>
  </si>
  <si>
    <t>L</t>
    <phoneticPr fontId="1"/>
  </si>
  <si>
    <t>N</t>
    <phoneticPr fontId="1"/>
  </si>
  <si>
    <t>GU</t>
    <phoneticPr fontId="1"/>
  </si>
  <si>
    <t>BR</t>
    <phoneticPr fontId="1"/>
  </si>
  <si>
    <t>B</t>
    <phoneticPr fontId="1"/>
  </si>
  <si>
    <t>UR</t>
    <phoneticPr fontId="1"/>
  </si>
  <si>
    <t>WB</t>
    <phoneticPr fontId="1"/>
  </si>
  <si>
    <t>R</t>
    <phoneticPr fontId="1"/>
  </si>
  <si>
    <t>BG</t>
    <phoneticPr fontId="1"/>
  </si>
  <si>
    <t>B</t>
    <phoneticPr fontId="1"/>
  </si>
  <si>
    <t>U</t>
    <phoneticPr fontId="1"/>
  </si>
  <si>
    <t>U</t>
    <phoneticPr fontId="1"/>
  </si>
  <si>
    <t>G</t>
    <phoneticPr fontId="1"/>
  </si>
  <si>
    <t>G</t>
    <phoneticPr fontId="1"/>
  </si>
  <si>
    <t>WB</t>
    <phoneticPr fontId="1"/>
  </si>
  <si>
    <t>WB</t>
    <phoneticPr fontId="1"/>
  </si>
  <si>
    <t>W</t>
    <phoneticPr fontId="1"/>
  </si>
  <si>
    <t>U</t>
    <phoneticPr fontId="1"/>
  </si>
  <si>
    <t>B</t>
    <phoneticPr fontId="1"/>
  </si>
  <si>
    <t>G</t>
    <phoneticPr fontId="1"/>
  </si>
  <si>
    <t>W</t>
    <phoneticPr fontId="1"/>
  </si>
  <si>
    <t>WU</t>
    <phoneticPr fontId="1"/>
  </si>
  <si>
    <t>RW</t>
    <phoneticPr fontId="1"/>
  </si>
  <si>
    <t>GW</t>
    <phoneticPr fontId="1"/>
  </si>
  <si>
    <t>N</t>
    <phoneticPr fontId="1"/>
  </si>
  <si>
    <t>R</t>
    <phoneticPr fontId="1"/>
  </si>
  <si>
    <t>UR</t>
    <phoneticPr fontId="1"/>
  </si>
  <si>
    <t>W</t>
    <phoneticPr fontId="1"/>
  </si>
  <si>
    <t>RG</t>
    <phoneticPr fontId="1"/>
  </si>
  <si>
    <t>BG</t>
    <phoneticPr fontId="1"/>
  </si>
  <si>
    <t>BG</t>
    <phoneticPr fontId="1"/>
  </si>
  <si>
    <t>悪魔火</t>
  </si>
  <si>
    <t>Ver1.0</t>
    <phoneticPr fontId="1"/>
  </si>
  <si>
    <t>感染調整、実践プレイ</t>
    <rPh sb="0" eb="2">
      <t>カンセン</t>
    </rPh>
    <rPh sb="2" eb="4">
      <t>チョウセイ</t>
    </rPh>
    <rPh sb="5" eb="7">
      <t>ジッセン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</si>
</sst>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1" xfId="0" applyBorder="1">
      <alignment vertical="center"/>
    </xf>
    <xf numFmtId="0" fontId="0" fillId="0" borderId="5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5" xfId="0" applyFill="1" applyBorder="1">
      <alignment vertical="center"/>
    </xf>
    <xf numFmtId="0" fontId="0" fillId="0" borderId="9" xfId="0" applyBorder="1">
      <alignment vertical="center"/>
    </xf>
    <xf numFmtId="0" fontId="0" fillId="0" borderId="9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10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2" fillId="0" borderId="0" xfId="0" applyFont="1">
      <alignment vertical="center"/>
    </xf>
    <xf numFmtId="0" fontId="0" fillId="0" borderId="11" xfId="0" applyFill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8" xfId="0" applyFill="1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13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18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12" xfId="0" applyFill="1" applyBorder="1">
      <alignment vertical="center"/>
    </xf>
    <xf numFmtId="0" fontId="0" fillId="0" borderId="0" xfId="0" applyFill="1">
      <alignment vertical="center"/>
    </xf>
    <xf numFmtId="0" fontId="0" fillId="0" borderId="16" xfId="0" applyFill="1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8" xfId="0" applyBorder="1">
      <alignment vertical="center"/>
    </xf>
    <xf numFmtId="0" fontId="0" fillId="0" borderId="39" xfId="0" applyBorder="1">
      <alignment vertical="center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0" fontId="0" fillId="0" borderId="40" xfId="0" applyBorder="1">
      <alignment vertical="center"/>
    </xf>
    <xf numFmtId="0" fontId="0" fillId="0" borderId="29" xfId="0" applyBorder="1">
      <alignment vertical="center"/>
    </xf>
    <xf numFmtId="0" fontId="0" fillId="0" borderId="41" xfId="0" applyBorder="1">
      <alignment vertical="center"/>
    </xf>
    <xf numFmtId="0" fontId="0" fillId="0" borderId="42" xfId="0" applyFill="1" applyBorder="1">
      <alignment vertical="center"/>
    </xf>
    <xf numFmtId="0" fontId="0" fillId="0" borderId="36" xfId="0" applyBorder="1">
      <alignment vertical="center"/>
    </xf>
    <xf numFmtId="0" fontId="0" fillId="0" borderId="44" xfId="0" applyBorder="1">
      <alignment vertical="center"/>
    </xf>
    <xf numFmtId="0" fontId="0" fillId="0" borderId="45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46" xfId="0" applyFill="1" applyBorder="1">
      <alignment vertical="center"/>
    </xf>
    <xf numFmtId="0" fontId="0" fillId="0" borderId="43" xfId="0" applyFill="1" applyBorder="1">
      <alignment vertical="center"/>
    </xf>
    <xf numFmtId="0" fontId="0" fillId="0" borderId="47" xfId="0" applyFill="1" applyBorder="1">
      <alignment vertical="center"/>
    </xf>
    <xf numFmtId="0" fontId="0" fillId="0" borderId="12" xfId="0" applyBorder="1">
      <alignment vertical="center"/>
    </xf>
    <xf numFmtId="0" fontId="0" fillId="0" borderId="48" xfId="0" applyBorder="1">
      <alignment vertical="center"/>
    </xf>
    <xf numFmtId="0" fontId="0" fillId="0" borderId="49" xfId="0" applyBorder="1">
      <alignment vertical="center"/>
    </xf>
    <xf numFmtId="0" fontId="0" fillId="0" borderId="50" xfId="0" applyBorder="1">
      <alignment vertical="center"/>
    </xf>
    <xf numFmtId="0" fontId="0" fillId="0" borderId="51" xfId="0" applyBorder="1">
      <alignment vertical="center"/>
    </xf>
    <xf numFmtId="0" fontId="0" fillId="0" borderId="52" xfId="0" applyBorder="1">
      <alignment vertical="center"/>
    </xf>
    <xf numFmtId="0" fontId="0" fillId="0" borderId="53" xfId="0" applyBorder="1">
      <alignment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0</xdr:rowOff>
        </xdr:from>
        <xdr:to>
          <xdr:col>7</xdr:col>
          <xdr:colOff>552450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BOX生成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40</xdr:row>
          <xdr:rowOff>0</xdr:rowOff>
        </xdr:from>
        <xdr:to>
          <xdr:col>7</xdr:col>
          <xdr:colOff>266700</xdr:colOff>
          <xdr:row>42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44</xdr:row>
          <xdr:rowOff>0</xdr:rowOff>
        </xdr:from>
        <xdr:to>
          <xdr:col>7</xdr:col>
          <xdr:colOff>247650</xdr:colOff>
          <xdr:row>46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48</xdr:row>
          <xdr:rowOff>28575</xdr:rowOff>
        </xdr:from>
        <xdr:to>
          <xdr:col>7</xdr:col>
          <xdr:colOff>247650</xdr:colOff>
          <xdr:row>50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↓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3"/>
  <sheetViews>
    <sheetView workbookViewId="0">
      <selection activeCell="G14" sqref="G14"/>
    </sheetView>
  </sheetViews>
  <sheetFormatPr defaultRowHeight="13.5" x14ac:dyDescent="0.15"/>
  <cols>
    <col min="1" max="2" width="5.375" style="2" customWidth="1"/>
    <col min="3" max="3" width="13.25" style="2" customWidth="1"/>
    <col min="4" max="4" width="5.375" bestFit="1" customWidth="1"/>
    <col min="5" max="5" width="9" style="4"/>
    <col min="6" max="11" width="6.25" customWidth="1"/>
    <col min="12" max="12" width="8" style="1" customWidth="1"/>
    <col min="13" max="13" width="4.875" customWidth="1"/>
    <col min="14" max="14" width="4.75" style="1" customWidth="1"/>
    <col min="15" max="15" width="6.25" customWidth="1"/>
    <col min="16" max="16" width="4.75" style="1" customWidth="1"/>
    <col min="17" max="17" width="6.25" customWidth="1"/>
    <col min="18" max="18" width="4.75" style="1" customWidth="1"/>
    <col min="19" max="19" width="6.25" customWidth="1"/>
    <col min="20" max="20" width="4.75" style="1" customWidth="1"/>
  </cols>
  <sheetData>
    <row r="1" spans="1:19" ht="14.25" thickBot="1" x14ac:dyDescent="0.2">
      <c r="A1" s="23"/>
      <c r="B1" s="24" t="s">
        <v>0</v>
      </c>
      <c r="C1" s="24" t="s">
        <v>1</v>
      </c>
      <c r="D1" s="24" t="s">
        <v>2</v>
      </c>
      <c r="E1" s="12"/>
      <c r="F1" t="s">
        <v>276</v>
      </c>
      <c r="G1" s="1" t="s">
        <v>277</v>
      </c>
      <c r="H1" s="1" t="s">
        <v>278</v>
      </c>
      <c r="I1" s="1" t="s">
        <v>279</v>
      </c>
      <c r="J1" s="1" t="s">
        <v>280</v>
      </c>
      <c r="K1" s="1"/>
      <c r="M1" s="1"/>
      <c r="O1" s="1"/>
      <c r="Q1" s="1"/>
      <c r="S1" s="1"/>
    </row>
    <row r="2" spans="1:19" x14ac:dyDescent="0.15">
      <c r="A2" s="5" t="s">
        <v>3</v>
      </c>
      <c r="B2" s="6" t="s">
        <v>23</v>
      </c>
      <c r="C2" s="18" t="s">
        <v>285</v>
      </c>
      <c r="D2" s="6">
        <v>1</v>
      </c>
      <c r="E2" s="12"/>
      <c r="F2" s="1" t="s">
        <v>351</v>
      </c>
      <c r="G2" s="1" t="s">
        <v>289</v>
      </c>
      <c r="H2" s="1" t="s">
        <v>286</v>
      </c>
      <c r="I2" s="1" t="s">
        <v>293</v>
      </c>
      <c r="J2" s="1" t="s">
        <v>290</v>
      </c>
      <c r="K2" s="1" t="s">
        <v>291</v>
      </c>
      <c r="L2" s="1" t="s">
        <v>287</v>
      </c>
      <c r="M2" s="1" t="s">
        <v>285</v>
      </c>
      <c r="N2" s="1" t="s">
        <v>292</v>
      </c>
      <c r="O2" s="1" t="s">
        <v>288</v>
      </c>
    </row>
    <row r="3" spans="1:19" x14ac:dyDescent="0.15">
      <c r="A3" s="13" t="s">
        <v>5</v>
      </c>
      <c r="B3" s="14" t="s">
        <v>4</v>
      </c>
      <c r="C3" s="10" t="s">
        <v>286</v>
      </c>
      <c r="D3" s="10">
        <v>2</v>
      </c>
      <c r="E3" s="12"/>
      <c r="F3" s="1" t="s">
        <v>296</v>
      </c>
      <c r="G3" s="1" t="s">
        <v>352</v>
      </c>
      <c r="H3" s="1" t="s">
        <v>302</v>
      </c>
      <c r="I3" s="1" t="s">
        <v>294</v>
      </c>
      <c r="J3" s="1" t="s">
        <v>300</v>
      </c>
      <c r="K3" s="1" t="s">
        <v>301</v>
      </c>
      <c r="L3" s="1" t="s">
        <v>298</v>
      </c>
      <c r="M3" s="1" t="s">
        <v>295</v>
      </c>
      <c r="N3" s="1" t="s">
        <v>297</v>
      </c>
      <c r="O3" s="1" t="s">
        <v>299</v>
      </c>
    </row>
    <row r="4" spans="1:19" x14ac:dyDescent="0.15">
      <c r="A4" s="13" t="s">
        <v>8</v>
      </c>
      <c r="B4" s="10" t="s">
        <v>23</v>
      </c>
      <c r="C4" s="14" t="s">
        <v>287</v>
      </c>
      <c r="D4" s="10">
        <v>2</v>
      </c>
      <c r="E4" s="12"/>
      <c r="F4" s="1" t="s">
        <v>311</v>
      </c>
      <c r="G4" s="1" t="s">
        <v>306</v>
      </c>
      <c r="H4" s="1" t="s">
        <v>353</v>
      </c>
      <c r="I4" s="1" t="s">
        <v>303</v>
      </c>
      <c r="J4" s="1" t="s">
        <v>310</v>
      </c>
      <c r="K4" s="1" t="s">
        <v>305</v>
      </c>
      <c r="L4" s="1" t="s">
        <v>307</v>
      </c>
      <c r="M4" s="1" t="s">
        <v>309</v>
      </c>
      <c r="N4" s="1" t="s">
        <v>304</v>
      </c>
      <c r="O4" s="1" t="s">
        <v>308</v>
      </c>
    </row>
    <row r="5" spans="1:19" x14ac:dyDescent="0.15">
      <c r="A5" s="13" t="s">
        <v>10</v>
      </c>
      <c r="B5" s="14" t="s">
        <v>11</v>
      </c>
      <c r="C5" s="10" t="s">
        <v>288</v>
      </c>
      <c r="D5" s="10">
        <v>2</v>
      </c>
      <c r="E5" s="12"/>
      <c r="F5" s="1" t="s">
        <v>314</v>
      </c>
      <c r="G5" s="1" t="s">
        <v>316</v>
      </c>
      <c r="H5" s="1" t="s">
        <v>317</v>
      </c>
      <c r="I5" s="1" t="s">
        <v>354</v>
      </c>
      <c r="J5" s="1" t="s">
        <v>319</v>
      </c>
      <c r="K5" s="1" t="s">
        <v>318</v>
      </c>
      <c r="L5" s="1" t="s">
        <v>313</v>
      </c>
      <c r="M5" s="1" t="s">
        <v>312</v>
      </c>
      <c r="N5" s="1" t="s">
        <v>320</v>
      </c>
      <c r="O5" s="1" t="s">
        <v>315</v>
      </c>
    </row>
    <row r="6" spans="1:19" x14ac:dyDescent="0.15">
      <c r="A6" s="13" t="s">
        <v>13</v>
      </c>
      <c r="B6" s="14" t="s">
        <v>25</v>
      </c>
      <c r="C6" s="14" t="s">
        <v>289</v>
      </c>
      <c r="D6" s="14">
        <v>3</v>
      </c>
      <c r="E6" s="11"/>
      <c r="F6" s="1" t="s">
        <v>324</v>
      </c>
      <c r="G6" s="1" t="s">
        <v>321</v>
      </c>
      <c r="H6" s="1" t="s">
        <v>325</v>
      </c>
      <c r="I6" s="1" t="s">
        <v>326</v>
      </c>
      <c r="J6" s="1" t="s">
        <v>355</v>
      </c>
      <c r="K6" s="1" t="s">
        <v>322</v>
      </c>
      <c r="L6" s="1" t="s">
        <v>327</v>
      </c>
      <c r="M6" s="1" t="s">
        <v>323</v>
      </c>
      <c r="N6" s="1" t="s">
        <v>329</v>
      </c>
      <c r="O6" s="1" t="s">
        <v>328</v>
      </c>
    </row>
    <row r="7" spans="1:19" x14ac:dyDescent="0.15">
      <c r="A7" s="13" t="s">
        <v>15</v>
      </c>
      <c r="B7" s="14" t="s">
        <v>25</v>
      </c>
      <c r="C7" s="14" t="s">
        <v>290</v>
      </c>
      <c r="D7" s="14">
        <v>4</v>
      </c>
      <c r="F7" s="1" t="s">
        <v>330</v>
      </c>
      <c r="G7" s="1" t="s">
        <v>332</v>
      </c>
      <c r="H7" s="1" t="s">
        <v>334</v>
      </c>
      <c r="I7" s="1" t="s">
        <v>336</v>
      </c>
      <c r="J7" s="1" t="s">
        <v>338</v>
      </c>
      <c r="K7" s="1" t="s">
        <v>331</v>
      </c>
      <c r="L7" s="1" t="s">
        <v>333</v>
      </c>
      <c r="M7" s="1" t="s">
        <v>335</v>
      </c>
      <c r="N7" s="1" t="s">
        <v>337</v>
      </c>
      <c r="O7" s="1" t="s">
        <v>339</v>
      </c>
    </row>
    <row r="8" spans="1:19" x14ac:dyDescent="0.15">
      <c r="A8" s="13" t="s">
        <v>17</v>
      </c>
      <c r="B8" s="14" t="s">
        <v>22</v>
      </c>
      <c r="C8" s="14" t="s">
        <v>291</v>
      </c>
      <c r="D8" s="14">
        <v>4</v>
      </c>
      <c r="E8" s="11"/>
      <c r="F8" s="1" t="s">
        <v>341</v>
      </c>
      <c r="G8" s="1" t="s">
        <v>343</v>
      </c>
      <c r="H8" s="1" t="s">
        <v>345</v>
      </c>
      <c r="I8" s="1" t="s">
        <v>347</v>
      </c>
      <c r="J8" s="1" t="s">
        <v>349</v>
      </c>
      <c r="K8" s="1" t="s">
        <v>356</v>
      </c>
      <c r="L8" s="1" t="s">
        <v>357</v>
      </c>
      <c r="M8" s="1" t="s">
        <v>358</v>
      </c>
      <c r="N8" s="1" t="s">
        <v>359</v>
      </c>
      <c r="O8" s="1" t="s">
        <v>360</v>
      </c>
    </row>
    <row r="9" spans="1:19" x14ac:dyDescent="0.15">
      <c r="A9" s="13" t="s">
        <v>19</v>
      </c>
      <c r="B9" s="10" t="s">
        <v>6</v>
      </c>
      <c r="C9" s="10" t="s">
        <v>292</v>
      </c>
      <c r="D9" s="14">
        <v>5</v>
      </c>
      <c r="E9" s="11"/>
      <c r="F9" s="1" t="s">
        <v>362</v>
      </c>
      <c r="G9" s="1" t="s">
        <v>368</v>
      </c>
      <c r="H9" s="1" t="s">
        <v>370</v>
      </c>
      <c r="I9" s="1" t="s">
        <v>376</v>
      </c>
      <c r="J9" s="1" t="s">
        <v>378</v>
      </c>
      <c r="K9" s="1" t="s">
        <v>364</v>
      </c>
      <c r="L9" s="1" t="s">
        <v>366</v>
      </c>
      <c r="M9" s="1" t="s">
        <v>372</v>
      </c>
      <c r="N9" s="1" t="s">
        <v>374</v>
      </c>
      <c r="O9" s="1" t="s">
        <v>380</v>
      </c>
    </row>
    <row r="10" spans="1:19" ht="14.25" thickBot="1" x14ac:dyDescent="0.2">
      <c r="A10" s="7" t="s">
        <v>21</v>
      </c>
      <c r="B10" s="21" t="s">
        <v>4</v>
      </c>
      <c r="C10" s="8" t="s">
        <v>293</v>
      </c>
      <c r="D10" s="8">
        <v>6</v>
      </c>
      <c r="E10" s="12"/>
      <c r="F10" s="1" t="s">
        <v>382</v>
      </c>
      <c r="G10" s="1" t="s">
        <v>384</v>
      </c>
      <c r="H10" s="1" t="s">
        <v>386</v>
      </c>
      <c r="I10" s="1" t="s">
        <v>388</v>
      </c>
      <c r="J10" s="1" t="s">
        <v>390</v>
      </c>
      <c r="K10" s="1" t="s">
        <v>392</v>
      </c>
      <c r="L10" s="1" t="s">
        <v>394</v>
      </c>
      <c r="M10" s="1" t="s">
        <v>396</v>
      </c>
      <c r="N10" s="1" t="s">
        <v>398</v>
      </c>
      <c r="O10" s="1" t="s">
        <v>400</v>
      </c>
    </row>
    <row r="11" spans="1:19" x14ac:dyDescent="0.15">
      <c r="A11" s="5" t="s">
        <v>33</v>
      </c>
      <c r="B11" s="18" t="s">
        <v>25</v>
      </c>
      <c r="C11" s="18" t="s">
        <v>294</v>
      </c>
      <c r="D11" s="6">
        <v>1</v>
      </c>
      <c r="E11" s="12"/>
    </row>
    <row r="12" spans="1:19" x14ac:dyDescent="0.15">
      <c r="A12" s="13" t="s">
        <v>35</v>
      </c>
      <c r="B12" s="10" t="s">
        <v>11</v>
      </c>
      <c r="C12" s="14" t="s">
        <v>295</v>
      </c>
      <c r="D12" s="10">
        <v>2</v>
      </c>
      <c r="E12" s="12"/>
      <c r="F12" t="s">
        <v>281</v>
      </c>
      <c r="G12" s="3" t="s">
        <v>46</v>
      </c>
      <c r="H12" s="3" t="s">
        <v>48</v>
      </c>
      <c r="I12" s="3" t="s">
        <v>50</v>
      </c>
      <c r="J12" s="3" t="s">
        <v>52</v>
      </c>
      <c r="K12" s="1"/>
      <c r="O12" s="1"/>
      <c r="Q12" s="1"/>
      <c r="S12" s="1"/>
    </row>
    <row r="13" spans="1:19" x14ac:dyDescent="0.15">
      <c r="A13" s="13" t="s">
        <v>38</v>
      </c>
      <c r="B13" s="14" t="s">
        <v>22</v>
      </c>
      <c r="C13" s="10" t="s">
        <v>296</v>
      </c>
      <c r="D13" s="14">
        <v>2</v>
      </c>
      <c r="E13" s="11"/>
    </row>
    <row r="14" spans="1:19" x14ac:dyDescent="0.15">
      <c r="A14" s="13" t="s">
        <v>40</v>
      </c>
      <c r="B14" s="10" t="s">
        <v>11</v>
      </c>
      <c r="C14" s="14" t="s">
        <v>297</v>
      </c>
      <c r="D14" s="14">
        <v>3</v>
      </c>
      <c r="E14" s="11"/>
    </row>
    <row r="15" spans="1:19" x14ac:dyDescent="0.15">
      <c r="A15" s="13" t="s">
        <v>42</v>
      </c>
      <c r="B15" s="14" t="s">
        <v>54</v>
      </c>
      <c r="C15" s="14" t="s">
        <v>298</v>
      </c>
      <c r="D15" s="14">
        <v>3</v>
      </c>
      <c r="E15" s="11"/>
    </row>
    <row r="16" spans="1:19" x14ac:dyDescent="0.15">
      <c r="A16" s="13" t="s">
        <v>44</v>
      </c>
      <c r="B16" s="14" t="s">
        <v>54</v>
      </c>
      <c r="C16" s="14" t="s">
        <v>299</v>
      </c>
      <c r="D16" s="14">
        <v>4</v>
      </c>
      <c r="E16" s="11"/>
      <c r="K16" s="1"/>
    </row>
    <row r="17" spans="1:5" x14ac:dyDescent="0.15">
      <c r="A17" s="13" t="s">
        <v>46</v>
      </c>
      <c r="B17" s="14" t="s">
        <v>25</v>
      </c>
      <c r="C17" s="10" t="s">
        <v>300</v>
      </c>
      <c r="D17" s="10">
        <v>5</v>
      </c>
      <c r="E17" s="12"/>
    </row>
    <row r="18" spans="1:5" x14ac:dyDescent="0.15">
      <c r="A18" s="13" t="s">
        <v>48</v>
      </c>
      <c r="B18" s="10" t="s">
        <v>6</v>
      </c>
      <c r="C18" s="10" t="s">
        <v>301</v>
      </c>
      <c r="D18" s="10">
        <v>5</v>
      </c>
      <c r="E18" s="12"/>
    </row>
    <row r="19" spans="1:5" ht="14.25" thickBot="1" x14ac:dyDescent="0.2">
      <c r="A19" s="7" t="s">
        <v>50</v>
      </c>
      <c r="B19" s="21" t="s">
        <v>36</v>
      </c>
      <c r="C19" s="21" t="s">
        <v>302</v>
      </c>
      <c r="D19" s="21">
        <v>8</v>
      </c>
      <c r="E19" s="11"/>
    </row>
    <row r="20" spans="1:5" x14ac:dyDescent="0.15">
      <c r="A20" s="5" t="s">
        <v>61</v>
      </c>
      <c r="B20" s="6" t="s">
        <v>23</v>
      </c>
      <c r="C20" s="18" t="s">
        <v>303</v>
      </c>
      <c r="D20" s="18">
        <v>2</v>
      </c>
      <c r="E20" s="11"/>
    </row>
    <row r="21" spans="1:5" x14ac:dyDescent="0.15">
      <c r="A21" s="13" t="s">
        <v>63</v>
      </c>
      <c r="B21" s="14" t="s">
        <v>4</v>
      </c>
      <c r="C21" s="14" t="s">
        <v>304</v>
      </c>
      <c r="D21" s="14">
        <v>2</v>
      </c>
      <c r="E21" s="11"/>
    </row>
    <row r="22" spans="1:5" x14ac:dyDescent="0.15">
      <c r="A22" s="13" t="s">
        <v>65</v>
      </c>
      <c r="B22" s="14" t="s">
        <v>25</v>
      </c>
      <c r="C22" s="14" t="s">
        <v>305</v>
      </c>
      <c r="D22" s="14">
        <v>3</v>
      </c>
      <c r="E22" s="11"/>
    </row>
    <row r="23" spans="1:5" x14ac:dyDescent="0.15">
      <c r="A23" s="13" t="s">
        <v>66</v>
      </c>
      <c r="B23" s="10" t="s">
        <v>36</v>
      </c>
      <c r="C23" s="10" t="s">
        <v>306</v>
      </c>
      <c r="D23" s="14">
        <v>4</v>
      </c>
      <c r="E23" s="11"/>
    </row>
    <row r="24" spans="1:5" x14ac:dyDescent="0.15">
      <c r="A24" s="13" t="s">
        <v>68</v>
      </c>
      <c r="B24" s="10" t="s">
        <v>6</v>
      </c>
      <c r="C24" s="10" t="s">
        <v>307</v>
      </c>
      <c r="D24" s="10">
        <v>4</v>
      </c>
      <c r="E24" s="12"/>
    </row>
    <row r="25" spans="1:5" x14ac:dyDescent="0.15">
      <c r="A25" s="13" t="s">
        <v>70</v>
      </c>
      <c r="B25" s="14" t="s">
        <v>22</v>
      </c>
      <c r="C25" s="10" t="s">
        <v>308</v>
      </c>
      <c r="D25" s="10">
        <v>4</v>
      </c>
      <c r="E25" s="12"/>
    </row>
    <row r="26" spans="1:5" x14ac:dyDescent="0.15">
      <c r="A26" s="13" t="s">
        <v>72</v>
      </c>
      <c r="B26" s="10" t="s">
        <v>23</v>
      </c>
      <c r="C26" s="10" t="s">
        <v>309</v>
      </c>
      <c r="D26" s="10">
        <v>5</v>
      </c>
      <c r="E26" s="12"/>
    </row>
    <row r="27" spans="1:5" x14ac:dyDescent="0.15">
      <c r="A27" s="13" t="s">
        <v>74</v>
      </c>
      <c r="B27" s="14" t="s">
        <v>25</v>
      </c>
      <c r="C27" s="14" t="s">
        <v>310</v>
      </c>
      <c r="D27" s="10">
        <v>6</v>
      </c>
      <c r="E27" s="12"/>
    </row>
    <row r="28" spans="1:5" ht="14.25" thickBot="1" x14ac:dyDescent="0.2">
      <c r="A28" s="7" t="s">
        <v>75</v>
      </c>
      <c r="B28" s="8" t="s">
        <v>36</v>
      </c>
      <c r="C28" s="8" t="s">
        <v>311</v>
      </c>
      <c r="D28" s="8">
        <v>8</v>
      </c>
      <c r="E28" s="12"/>
    </row>
    <row r="29" spans="1:5" x14ac:dyDescent="0.15">
      <c r="A29" s="5" t="s">
        <v>86</v>
      </c>
      <c r="B29" s="18" t="s">
        <v>22</v>
      </c>
      <c r="C29" s="18" t="s">
        <v>312</v>
      </c>
      <c r="D29" s="6">
        <v>1</v>
      </c>
      <c r="E29" s="12"/>
    </row>
    <row r="30" spans="1:5" x14ac:dyDescent="0.15">
      <c r="A30" s="13" t="s">
        <v>87</v>
      </c>
      <c r="B30" s="10" t="s">
        <v>11</v>
      </c>
      <c r="C30" s="14" t="s">
        <v>313</v>
      </c>
      <c r="D30" s="14">
        <v>2</v>
      </c>
      <c r="E30" s="11"/>
    </row>
    <row r="31" spans="1:5" x14ac:dyDescent="0.15">
      <c r="A31" s="13" t="s">
        <v>89</v>
      </c>
      <c r="B31" s="14" t="s">
        <v>11</v>
      </c>
      <c r="C31" s="10" t="s">
        <v>314</v>
      </c>
      <c r="D31" s="10">
        <v>3</v>
      </c>
      <c r="E31" s="12"/>
    </row>
    <row r="32" spans="1:5" x14ac:dyDescent="0.15">
      <c r="A32" s="13" t="s">
        <v>91</v>
      </c>
      <c r="B32" s="10" t="s">
        <v>6</v>
      </c>
      <c r="C32" s="10" t="s">
        <v>315</v>
      </c>
      <c r="D32" s="10">
        <v>3</v>
      </c>
      <c r="E32" s="12"/>
    </row>
    <row r="33" spans="1:5" x14ac:dyDescent="0.15">
      <c r="A33" s="13" t="s">
        <v>93</v>
      </c>
      <c r="B33" s="10" t="s">
        <v>4</v>
      </c>
      <c r="C33" s="10" t="s">
        <v>316</v>
      </c>
      <c r="D33" s="10">
        <v>4</v>
      </c>
      <c r="E33" s="12"/>
    </row>
    <row r="34" spans="1:5" x14ac:dyDescent="0.15">
      <c r="A34" s="13" t="s">
        <v>95</v>
      </c>
      <c r="B34" s="10" t="s">
        <v>4</v>
      </c>
      <c r="C34" s="10" t="s">
        <v>317</v>
      </c>
      <c r="D34" s="10">
        <v>5</v>
      </c>
      <c r="E34" s="12"/>
    </row>
    <row r="35" spans="1:5" x14ac:dyDescent="0.15">
      <c r="A35" s="13" t="s">
        <v>96</v>
      </c>
      <c r="B35" s="14" t="s">
        <v>25</v>
      </c>
      <c r="C35" s="14" t="s">
        <v>318</v>
      </c>
      <c r="D35" s="10">
        <v>6</v>
      </c>
      <c r="E35" s="12"/>
    </row>
    <row r="36" spans="1:5" x14ac:dyDescent="0.15">
      <c r="A36" s="13" t="s">
        <v>98</v>
      </c>
      <c r="B36" s="14" t="s">
        <v>25</v>
      </c>
      <c r="C36" s="14" t="s">
        <v>319</v>
      </c>
      <c r="D36" s="10">
        <v>6</v>
      </c>
      <c r="E36" s="12"/>
    </row>
    <row r="37" spans="1:5" ht="14.25" thickBot="1" x14ac:dyDescent="0.2">
      <c r="A37" s="7" t="s">
        <v>99</v>
      </c>
      <c r="B37" s="21" t="s">
        <v>54</v>
      </c>
      <c r="C37" s="21" t="s">
        <v>320</v>
      </c>
      <c r="D37" s="21">
        <v>6</v>
      </c>
      <c r="E37" s="11"/>
    </row>
    <row r="38" spans="1:5" x14ac:dyDescent="0.15">
      <c r="A38" s="5" t="s">
        <v>105</v>
      </c>
      <c r="B38" s="18" t="s">
        <v>54</v>
      </c>
      <c r="C38" s="18" t="s">
        <v>321</v>
      </c>
      <c r="D38" s="18">
        <v>1</v>
      </c>
      <c r="E38" s="11"/>
    </row>
    <row r="39" spans="1:5" x14ac:dyDescent="0.15">
      <c r="A39" s="13" t="s">
        <v>107</v>
      </c>
      <c r="B39" s="10" t="s">
        <v>25</v>
      </c>
      <c r="C39" s="14" t="s">
        <v>322</v>
      </c>
      <c r="D39" s="10">
        <v>1</v>
      </c>
      <c r="E39" s="12"/>
    </row>
    <row r="40" spans="1:5" x14ac:dyDescent="0.15">
      <c r="A40" s="13" t="s">
        <v>109</v>
      </c>
      <c r="B40" s="14" t="s">
        <v>22</v>
      </c>
      <c r="C40" s="14" t="s">
        <v>323</v>
      </c>
      <c r="D40" s="14">
        <v>2</v>
      </c>
      <c r="E40" s="11"/>
    </row>
    <row r="41" spans="1:5" x14ac:dyDescent="0.15">
      <c r="A41" s="13" t="s">
        <v>111</v>
      </c>
      <c r="B41" s="14" t="s">
        <v>25</v>
      </c>
      <c r="C41" s="10" t="s">
        <v>324</v>
      </c>
      <c r="D41" s="10">
        <v>3</v>
      </c>
      <c r="E41" s="12"/>
    </row>
    <row r="42" spans="1:5" x14ac:dyDescent="0.15">
      <c r="A42" s="13" t="s">
        <v>112</v>
      </c>
      <c r="B42" s="10" t="s">
        <v>6</v>
      </c>
      <c r="C42" s="10" t="s">
        <v>325</v>
      </c>
      <c r="D42" s="10">
        <v>4</v>
      </c>
      <c r="E42" s="12"/>
    </row>
    <row r="43" spans="1:5" x14ac:dyDescent="0.15">
      <c r="A43" s="13" t="s">
        <v>114</v>
      </c>
      <c r="B43" s="14" t="s">
        <v>54</v>
      </c>
      <c r="C43" s="10" t="s">
        <v>326</v>
      </c>
      <c r="D43" s="14">
        <v>4</v>
      </c>
      <c r="E43" s="11"/>
    </row>
    <row r="44" spans="1:5" x14ac:dyDescent="0.15">
      <c r="A44" s="13" t="s">
        <v>116</v>
      </c>
      <c r="B44" s="10" t="s">
        <v>36</v>
      </c>
      <c r="C44" s="10" t="s">
        <v>327</v>
      </c>
      <c r="D44" s="10">
        <v>5</v>
      </c>
      <c r="E44" s="12"/>
    </row>
    <row r="45" spans="1:5" x14ac:dyDescent="0.15">
      <c r="A45" s="13" t="s">
        <v>118</v>
      </c>
      <c r="B45" s="10" t="s">
        <v>36</v>
      </c>
      <c r="C45" s="14" t="s">
        <v>328</v>
      </c>
      <c r="D45" s="14">
        <v>6</v>
      </c>
      <c r="E45" s="11"/>
    </row>
    <row r="46" spans="1:5" ht="14.25" thickBot="1" x14ac:dyDescent="0.2">
      <c r="A46" s="7" t="s">
        <v>120</v>
      </c>
      <c r="B46" s="21" t="s">
        <v>23</v>
      </c>
      <c r="C46" s="21" t="s">
        <v>329</v>
      </c>
      <c r="D46" s="21">
        <v>6</v>
      </c>
      <c r="E46" s="11"/>
    </row>
    <row r="47" spans="1:5" x14ac:dyDescent="0.15">
      <c r="A47" s="17" t="s">
        <v>128</v>
      </c>
      <c r="B47" s="18"/>
      <c r="C47" s="6" t="s">
        <v>330</v>
      </c>
      <c r="D47" s="6">
        <v>3</v>
      </c>
      <c r="E47" s="12"/>
    </row>
    <row r="48" spans="1:5" x14ac:dyDescent="0.15">
      <c r="A48" s="19" t="s">
        <v>130</v>
      </c>
      <c r="B48" s="14"/>
      <c r="C48" s="10" t="s">
        <v>331</v>
      </c>
      <c r="D48" s="10">
        <v>5</v>
      </c>
      <c r="E48" s="12"/>
    </row>
    <row r="49" spans="1:5" x14ac:dyDescent="0.15">
      <c r="A49" s="19" t="s">
        <v>134</v>
      </c>
      <c r="B49" s="14"/>
      <c r="C49" s="10" t="s">
        <v>332</v>
      </c>
      <c r="D49" s="10">
        <v>7</v>
      </c>
      <c r="E49" s="12"/>
    </row>
    <row r="50" spans="1:5" x14ac:dyDescent="0.15">
      <c r="A50" s="19" t="s">
        <v>136</v>
      </c>
      <c r="B50" s="14"/>
      <c r="C50" s="10" t="s">
        <v>333</v>
      </c>
      <c r="D50" s="10">
        <v>3</v>
      </c>
      <c r="E50" s="12"/>
    </row>
    <row r="51" spans="1:5" x14ac:dyDescent="0.15">
      <c r="A51" s="19" t="s">
        <v>139</v>
      </c>
      <c r="B51" s="14"/>
      <c r="C51" s="10" t="s">
        <v>334</v>
      </c>
      <c r="D51" s="10">
        <v>3</v>
      </c>
      <c r="E51" s="12"/>
    </row>
    <row r="52" spans="1:5" x14ac:dyDescent="0.15">
      <c r="A52" s="19" t="s">
        <v>141</v>
      </c>
      <c r="B52" s="14"/>
      <c r="C52" s="10" t="s">
        <v>335</v>
      </c>
      <c r="D52" s="10">
        <v>4</v>
      </c>
      <c r="E52" s="12"/>
    </row>
    <row r="53" spans="1:5" x14ac:dyDescent="0.15">
      <c r="A53" s="19" t="s">
        <v>144</v>
      </c>
      <c r="B53" s="14"/>
      <c r="C53" s="10" t="s">
        <v>336</v>
      </c>
      <c r="D53" s="10">
        <v>4</v>
      </c>
      <c r="E53" s="12"/>
    </row>
    <row r="54" spans="1:5" x14ac:dyDescent="0.15">
      <c r="A54" s="19" t="s">
        <v>145</v>
      </c>
      <c r="B54" s="14"/>
      <c r="C54" s="10" t="s">
        <v>337</v>
      </c>
      <c r="D54" s="10">
        <v>5</v>
      </c>
      <c r="E54" s="12"/>
    </row>
    <row r="55" spans="1:5" x14ac:dyDescent="0.15">
      <c r="A55" s="19" t="s">
        <v>148</v>
      </c>
      <c r="B55" s="14"/>
      <c r="C55" s="10" t="s">
        <v>338</v>
      </c>
      <c r="D55" s="10">
        <v>4</v>
      </c>
      <c r="E55" s="12"/>
    </row>
    <row r="56" spans="1:5" ht="14.25" thickBot="1" x14ac:dyDescent="0.2">
      <c r="A56" s="20" t="s">
        <v>150</v>
      </c>
      <c r="B56" s="21"/>
      <c r="C56" s="8" t="s">
        <v>339</v>
      </c>
      <c r="D56" s="8">
        <v>5</v>
      </c>
      <c r="E56" s="12"/>
    </row>
    <row r="57" spans="1:5" x14ac:dyDescent="0.15">
      <c r="A57" s="22" t="s">
        <v>340</v>
      </c>
      <c r="B57" s="16"/>
      <c r="C57" s="16" t="s">
        <v>341</v>
      </c>
      <c r="D57" s="15">
        <v>6</v>
      </c>
      <c r="E57" s="12"/>
    </row>
    <row r="58" spans="1:5" x14ac:dyDescent="0.15">
      <c r="A58" s="19" t="s">
        <v>342</v>
      </c>
      <c r="B58" s="14"/>
      <c r="C58" s="14" t="s">
        <v>343</v>
      </c>
      <c r="D58" s="10">
        <v>6</v>
      </c>
      <c r="E58" s="12"/>
    </row>
    <row r="59" spans="1:5" x14ac:dyDescent="0.15">
      <c r="A59" s="19" t="s">
        <v>344</v>
      </c>
      <c r="B59" s="14"/>
      <c r="C59" s="14" t="s">
        <v>345</v>
      </c>
      <c r="D59" s="10">
        <v>6</v>
      </c>
      <c r="E59" s="12"/>
    </row>
    <row r="60" spans="1:5" x14ac:dyDescent="0.15">
      <c r="A60" s="19" t="s">
        <v>346</v>
      </c>
      <c r="B60" s="14"/>
      <c r="C60" s="14" t="s">
        <v>347</v>
      </c>
      <c r="D60" s="10">
        <v>6</v>
      </c>
      <c r="E60" s="12"/>
    </row>
    <row r="61" spans="1:5" x14ac:dyDescent="0.15">
      <c r="A61" s="19" t="s">
        <v>348</v>
      </c>
      <c r="B61" s="14"/>
      <c r="C61" s="14" t="s">
        <v>349</v>
      </c>
      <c r="D61" s="10">
        <v>6</v>
      </c>
      <c r="E61" s="12"/>
    </row>
    <row r="62" spans="1:5" ht="14.25" thickBot="1" x14ac:dyDescent="0.2">
      <c r="A62" s="20" t="s">
        <v>350</v>
      </c>
      <c r="B62" s="21" t="s">
        <v>6</v>
      </c>
      <c r="C62" s="8" t="s">
        <v>351</v>
      </c>
      <c r="D62" s="8">
        <v>5</v>
      </c>
      <c r="E62" s="12"/>
    </row>
    <row r="63" spans="1:5" x14ac:dyDescent="0.15">
      <c r="A63" s="17" t="s">
        <v>152</v>
      </c>
      <c r="B63" s="18"/>
      <c r="C63" s="6" t="s">
        <v>352</v>
      </c>
      <c r="D63" s="6">
        <v>2</v>
      </c>
      <c r="E63" s="12"/>
    </row>
    <row r="64" spans="1:5" x14ac:dyDescent="0.15">
      <c r="A64" s="19" t="s">
        <v>153</v>
      </c>
      <c r="B64" s="14"/>
      <c r="C64" s="14" t="s">
        <v>353</v>
      </c>
      <c r="D64" s="14">
        <v>2</v>
      </c>
      <c r="E64" s="11"/>
    </row>
    <row r="65" spans="1:5" x14ac:dyDescent="0.15">
      <c r="A65" s="19" t="s">
        <v>154</v>
      </c>
      <c r="B65" s="14"/>
      <c r="C65" s="14" t="s">
        <v>354</v>
      </c>
      <c r="D65" s="14">
        <v>4</v>
      </c>
      <c r="E65" s="11"/>
    </row>
    <row r="66" spans="1:5" ht="14.25" thickBot="1" x14ac:dyDescent="0.2">
      <c r="A66" s="20" t="s">
        <v>155</v>
      </c>
      <c r="B66" s="21"/>
      <c r="C66" s="21" t="s">
        <v>355</v>
      </c>
      <c r="D66" s="21">
        <v>5</v>
      </c>
      <c r="E66" s="11"/>
    </row>
    <row r="67" spans="1:5" x14ac:dyDescent="0.15">
      <c r="A67" s="22" t="s">
        <v>156</v>
      </c>
      <c r="B67" s="16"/>
      <c r="C67" s="15" t="s">
        <v>356</v>
      </c>
      <c r="D67" s="15"/>
      <c r="E67" s="12"/>
    </row>
    <row r="68" spans="1:5" x14ac:dyDescent="0.15">
      <c r="A68" s="19" t="s">
        <v>158</v>
      </c>
      <c r="B68" s="14"/>
      <c r="C68" s="10" t="s">
        <v>357</v>
      </c>
      <c r="D68" s="10"/>
      <c r="E68" s="12"/>
    </row>
    <row r="69" spans="1:5" x14ac:dyDescent="0.15">
      <c r="A69" s="19" t="s">
        <v>160</v>
      </c>
      <c r="B69" s="14"/>
      <c r="C69" s="14" t="s">
        <v>358</v>
      </c>
      <c r="D69" s="10"/>
      <c r="E69" s="12"/>
    </row>
    <row r="70" spans="1:5" x14ac:dyDescent="0.15">
      <c r="A70" s="19" t="s">
        <v>161</v>
      </c>
      <c r="B70" s="14"/>
      <c r="C70" s="14" t="s">
        <v>359</v>
      </c>
      <c r="D70" s="10"/>
      <c r="E70" s="12"/>
    </row>
    <row r="71" spans="1:5" ht="14.25" thickBot="1" x14ac:dyDescent="0.2">
      <c r="A71" s="20" t="s">
        <v>162</v>
      </c>
      <c r="B71" s="21"/>
      <c r="C71" s="21" t="s">
        <v>360</v>
      </c>
      <c r="D71" s="8"/>
      <c r="E71" s="12"/>
    </row>
    <row r="72" spans="1:5" ht="14.25" thickBot="1" x14ac:dyDescent="0.2">
      <c r="A72" s="4"/>
      <c r="B72" s="4"/>
      <c r="C72" s="4"/>
      <c r="D72" s="4"/>
    </row>
    <row r="73" spans="1:5" x14ac:dyDescent="0.15">
      <c r="A73" s="5" t="s">
        <v>361</v>
      </c>
      <c r="B73" s="6"/>
      <c r="C73" s="6" t="s">
        <v>362</v>
      </c>
      <c r="D73" s="6">
        <v>7</v>
      </c>
      <c r="E73" s="12"/>
    </row>
    <row r="74" spans="1:5" x14ac:dyDescent="0.15">
      <c r="A74" s="13" t="s">
        <v>363</v>
      </c>
      <c r="B74" s="10"/>
      <c r="C74" s="10" t="s">
        <v>364</v>
      </c>
      <c r="D74" s="10">
        <v>4</v>
      </c>
      <c r="E74" s="12"/>
    </row>
    <row r="75" spans="1:5" x14ac:dyDescent="0.15">
      <c r="A75" s="13" t="s">
        <v>365</v>
      </c>
      <c r="B75" s="10"/>
      <c r="C75" s="10" t="s">
        <v>366</v>
      </c>
      <c r="D75" s="10">
        <v>4</v>
      </c>
      <c r="E75" s="12"/>
    </row>
    <row r="76" spans="1:5" x14ac:dyDescent="0.15">
      <c r="A76" s="13" t="s">
        <v>367</v>
      </c>
      <c r="B76" s="10"/>
      <c r="C76" s="10" t="s">
        <v>368</v>
      </c>
      <c r="D76" s="10">
        <v>3</v>
      </c>
      <c r="E76" s="12"/>
    </row>
    <row r="77" spans="1:5" x14ac:dyDescent="0.15">
      <c r="A77" s="13" t="s">
        <v>369</v>
      </c>
      <c r="B77" s="10"/>
      <c r="C77" s="10" t="s">
        <v>370</v>
      </c>
      <c r="D77" s="10">
        <v>5</v>
      </c>
      <c r="E77" s="12"/>
    </row>
    <row r="78" spans="1:5" x14ac:dyDescent="0.15">
      <c r="A78" s="13" t="s">
        <v>371</v>
      </c>
      <c r="B78" s="10"/>
      <c r="C78" s="10" t="s">
        <v>372</v>
      </c>
      <c r="D78" s="10">
        <v>5</v>
      </c>
      <c r="E78" s="12"/>
    </row>
    <row r="79" spans="1:5" x14ac:dyDescent="0.15">
      <c r="A79" s="13" t="s">
        <v>373</v>
      </c>
      <c r="B79" s="10"/>
      <c r="C79" s="10" t="s">
        <v>374</v>
      </c>
      <c r="D79" s="10">
        <v>3</v>
      </c>
      <c r="E79" s="12"/>
    </row>
    <row r="80" spans="1:5" x14ac:dyDescent="0.15">
      <c r="A80" s="13" t="s">
        <v>375</v>
      </c>
      <c r="B80" s="10"/>
      <c r="C80" s="10" t="s">
        <v>376</v>
      </c>
      <c r="D80" s="10">
        <v>5</v>
      </c>
      <c r="E80" s="12"/>
    </row>
    <row r="81" spans="1:5" x14ac:dyDescent="0.15">
      <c r="A81" s="13" t="s">
        <v>377</v>
      </c>
      <c r="B81" s="10"/>
      <c r="C81" s="10" t="s">
        <v>378</v>
      </c>
      <c r="D81" s="10">
        <v>4</v>
      </c>
      <c r="E81" s="12"/>
    </row>
    <row r="82" spans="1:5" ht="14.25" thickBot="1" x14ac:dyDescent="0.2">
      <c r="A82" s="7" t="s">
        <v>379</v>
      </c>
      <c r="B82" s="8"/>
      <c r="C82" s="8" t="s">
        <v>380</v>
      </c>
      <c r="D82" s="8">
        <v>4</v>
      </c>
      <c r="E82" s="12"/>
    </row>
    <row r="83" spans="1:5" x14ac:dyDescent="0.15">
      <c r="A83" s="25" t="s">
        <v>381</v>
      </c>
      <c r="B83" s="15"/>
      <c r="C83" s="15" t="s">
        <v>382</v>
      </c>
      <c r="D83" s="15">
        <v>4</v>
      </c>
      <c r="E83" s="12"/>
    </row>
    <row r="84" spans="1:5" x14ac:dyDescent="0.15">
      <c r="A84" s="13" t="s">
        <v>383</v>
      </c>
      <c r="B84" s="10"/>
      <c r="C84" s="10" t="s">
        <v>384</v>
      </c>
      <c r="D84" s="10">
        <v>4</v>
      </c>
      <c r="E84" s="12"/>
    </row>
    <row r="85" spans="1:5" x14ac:dyDescent="0.15">
      <c r="A85" s="13" t="s">
        <v>385</v>
      </c>
      <c r="B85" s="10"/>
      <c r="C85" s="10" t="s">
        <v>386</v>
      </c>
      <c r="D85" s="10">
        <v>5</v>
      </c>
      <c r="E85" s="12"/>
    </row>
    <row r="86" spans="1:5" x14ac:dyDescent="0.15">
      <c r="A86" s="13" t="s">
        <v>387</v>
      </c>
      <c r="B86" s="10"/>
      <c r="C86" s="10" t="s">
        <v>388</v>
      </c>
      <c r="D86" s="10">
        <v>5</v>
      </c>
      <c r="E86" s="12"/>
    </row>
    <row r="87" spans="1:5" x14ac:dyDescent="0.15">
      <c r="A87" s="13" t="s">
        <v>389</v>
      </c>
      <c r="B87" s="10"/>
      <c r="C87" s="10" t="s">
        <v>390</v>
      </c>
      <c r="D87" s="10">
        <v>5</v>
      </c>
      <c r="E87" s="12"/>
    </row>
    <row r="88" spans="1:5" x14ac:dyDescent="0.15">
      <c r="A88" s="13" t="s">
        <v>391</v>
      </c>
      <c r="B88" s="10"/>
      <c r="C88" s="10" t="s">
        <v>392</v>
      </c>
      <c r="D88" s="10">
        <v>5</v>
      </c>
      <c r="E88" s="12"/>
    </row>
    <row r="89" spans="1:5" x14ac:dyDescent="0.15">
      <c r="A89" s="13" t="s">
        <v>393</v>
      </c>
      <c r="B89" s="10"/>
      <c r="C89" s="10" t="s">
        <v>394</v>
      </c>
      <c r="D89" s="10">
        <v>6</v>
      </c>
      <c r="E89" s="12"/>
    </row>
    <row r="90" spans="1:5" x14ac:dyDescent="0.15">
      <c r="A90" s="13" t="s">
        <v>395</v>
      </c>
      <c r="B90" s="10"/>
      <c r="C90" s="10" t="s">
        <v>396</v>
      </c>
      <c r="D90" s="10">
        <v>4</v>
      </c>
      <c r="E90" s="12"/>
    </row>
    <row r="91" spans="1:5" x14ac:dyDescent="0.15">
      <c r="A91" s="13" t="s">
        <v>397</v>
      </c>
      <c r="B91" s="10"/>
      <c r="C91" s="10" t="s">
        <v>398</v>
      </c>
      <c r="D91" s="10">
        <v>7</v>
      </c>
      <c r="E91" s="12"/>
    </row>
    <row r="92" spans="1:5" ht="14.25" thickBot="1" x14ac:dyDescent="0.2">
      <c r="A92" s="7" t="s">
        <v>399</v>
      </c>
      <c r="B92" s="8"/>
      <c r="C92" s="8" t="s">
        <v>400</v>
      </c>
      <c r="D92" s="8">
        <v>5</v>
      </c>
      <c r="E92" s="12"/>
    </row>
    <row r="93" spans="1:5" x14ac:dyDescent="0.15">
      <c r="A93" s="4"/>
      <c r="B93" s="4"/>
      <c r="C93" s="4"/>
      <c r="D93" s="4"/>
    </row>
  </sheetData>
  <sortState ref="L4:M12">
    <sortCondition ref="L4:L12"/>
  </sortState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5"/>
  <sheetViews>
    <sheetView zoomScale="85" zoomScaleNormal="85" workbookViewId="0">
      <selection activeCell="E10" sqref="E10"/>
    </sheetView>
  </sheetViews>
  <sheetFormatPr defaultRowHeight="13.5" x14ac:dyDescent="0.15"/>
  <cols>
    <col min="1" max="1" width="2.5" style="43" bestFit="1" customWidth="1"/>
    <col min="2" max="12" width="11" style="43" customWidth="1"/>
    <col min="13" max="13" width="2.5" style="43" bestFit="1" customWidth="1"/>
    <col min="14" max="16384" width="9" style="43"/>
  </cols>
  <sheetData>
    <row r="1" spans="1:16" x14ac:dyDescent="0.15">
      <c r="A1" s="14"/>
      <c r="B1" s="42" t="s">
        <v>261</v>
      </c>
      <c r="C1" s="14" t="s">
        <v>262</v>
      </c>
      <c r="D1" s="14" t="s">
        <v>263</v>
      </c>
      <c r="E1" s="14" t="s">
        <v>264</v>
      </c>
      <c r="F1" s="14" t="s">
        <v>265</v>
      </c>
      <c r="G1" s="14" t="s">
        <v>266</v>
      </c>
      <c r="H1" s="14" t="s">
        <v>267</v>
      </c>
      <c r="I1" s="14" t="s">
        <v>268</v>
      </c>
      <c r="J1" s="14" t="s">
        <v>269</v>
      </c>
      <c r="K1" s="27" t="s">
        <v>168</v>
      </c>
      <c r="L1" s="14" t="s">
        <v>273</v>
      </c>
      <c r="M1" s="14"/>
      <c r="N1" s="43" t="s">
        <v>283</v>
      </c>
    </row>
    <row r="2" spans="1:16" x14ac:dyDescent="0.15">
      <c r="A2" s="14">
        <v>1</v>
      </c>
      <c r="B2" s="42" t="s">
        <v>18</v>
      </c>
      <c r="C2" s="14" t="s">
        <v>39</v>
      </c>
      <c r="D2" s="14" t="s">
        <v>64</v>
      </c>
      <c r="E2" s="14" t="s">
        <v>90</v>
      </c>
      <c r="F2" s="14" t="s">
        <v>735</v>
      </c>
      <c r="G2" s="14" t="s">
        <v>413</v>
      </c>
      <c r="H2" s="14" t="s">
        <v>47</v>
      </c>
      <c r="I2" s="14" t="s">
        <v>676</v>
      </c>
      <c r="J2" s="14" t="s">
        <v>88</v>
      </c>
      <c r="K2" s="27" t="s">
        <v>659</v>
      </c>
      <c r="L2" s="14" t="s">
        <v>442</v>
      </c>
      <c r="M2" s="14">
        <v>1</v>
      </c>
      <c r="N2" s="43" t="s">
        <v>283</v>
      </c>
    </row>
    <row r="3" spans="1:16" x14ac:dyDescent="0.15">
      <c r="A3" s="14">
        <v>2</v>
      </c>
      <c r="B3" s="42" t="s">
        <v>27</v>
      </c>
      <c r="C3" s="14" t="s">
        <v>415</v>
      </c>
      <c r="D3" s="14" t="s">
        <v>79</v>
      </c>
      <c r="E3" s="14" t="s">
        <v>252</v>
      </c>
      <c r="F3" s="14" t="s">
        <v>119</v>
      </c>
      <c r="G3" s="14" t="s">
        <v>28</v>
      </c>
      <c r="H3" s="14" t="s">
        <v>250</v>
      </c>
      <c r="I3" s="14" t="s">
        <v>419</v>
      </c>
      <c r="J3" s="14" t="s">
        <v>254</v>
      </c>
      <c r="K3" s="27" t="s">
        <v>423</v>
      </c>
      <c r="L3" s="14" t="s">
        <v>443</v>
      </c>
      <c r="M3" s="14">
        <v>2</v>
      </c>
      <c r="N3" s="43" t="s">
        <v>283</v>
      </c>
      <c r="O3" s="43" t="s">
        <v>31</v>
      </c>
      <c r="P3" s="43" t="s">
        <v>674</v>
      </c>
    </row>
    <row r="4" spans="1:16" x14ac:dyDescent="0.15">
      <c r="A4" s="14">
        <v>3</v>
      </c>
      <c r="B4" s="42" t="s">
        <v>248</v>
      </c>
      <c r="C4" s="14" t="s">
        <v>416</v>
      </c>
      <c r="D4" s="14" t="s">
        <v>83</v>
      </c>
      <c r="E4" s="14" t="s">
        <v>102</v>
      </c>
      <c r="F4" s="14" t="s">
        <v>123</v>
      </c>
      <c r="G4" s="14" t="s">
        <v>674</v>
      </c>
      <c r="H4" s="14" t="s">
        <v>58</v>
      </c>
      <c r="I4" s="14" t="s">
        <v>642</v>
      </c>
      <c r="J4" s="14" t="s">
        <v>421</v>
      </c>
      <c r="K4" s="27" t="s">
        <v>428</v>
      </c>
      <c r="L4" s="14" t="s">
        <v>444</v>
      </c>
      <c r="M4" s="14">
        <v>3</v>
      </c>
      <c r="N4" s="43" t="s">
        <v>283</v>
      </c>
      <c r="O4" s="43" t="s">
        <v>414</v>
      </c>
      <c r="P4" s="43" t="s">
        <v>648</v>
      </c>
    </row>
    <row r="5" spans="1:16" x14ac:dyDescent="0.15">
      <c r="A5" s="14">
        <v>4</v>
      </c>
      <c r="B5" s="42" t="s">
        <v>12</v>
      </c>
      <c r="C5" s="14" t="s">
        <v>675</v>
      </c>
      <c r="D5" s="14" t="s">
        <v>85</v>
      </c>
      <c r="E5" s="14" t="s">
        <v>104</v>
      </c>
      <c r="F5" s="14" t="s">
        <v>125</v>
      </c>
      <c r="G5" s="14" t="s">
        <v>648</v>
      </c>
      <c r="H5" s="14" t="s">
        <v>59</v>
      </c>
      <c r="I5" s="14" t="s">
        <v>82</v>
      </c>
      <c r="J5" s="14" t="s">
        <v>103</v>
      </c>
      <c r="K5" s="27" t="s">
        <v>126</v>
      </c>
      <c r="L5" s="14" t="s">
        <v>445</v>
      </c>
      <c r="M5" s="14">
        <v>4</v>
      </c>
      <c r="N5" s="43" t="s">
        <v>283</v>
      </c>
      <c r="O5" s="43" t="s">
        <v>37</v>
      </c>
      <c r="P5" s="43" t="s">
        <v>675</v>
      </c>
    </row>
    <row r="6" spans="1:16" x14ac:dyDescent="0.15">
      <c r="A6" s="14">
        <v>5</v>
      </c>
      <c r="B6" s="42" t="s">
        <v>9</v>
      </c>
      <c r="C6" s="14" t="s">
        <v>417</v>
      </c>
      <c r="D6" s="14" t="s">
        <v>425</v>
      </c>
      <c r="E6" s="14" t="s">
        <v>426</v>
      </c>
      <c r="F6" s="14" t="s">
        <v>427</v>
      </c>
      <c r="G6" s="14" t="s">
        <v>20</v>
      </c>
      <c r="H6" s="14" t="s">
        <v>60</v>
      </c>
      <c r="I6" s="14" t="s">
        <v>700</v>
      </c>
      <c r="J6" s="14" t="s">
        <v>429</v>
      </c>
      <c r="K6" s="27" t="s">
        <v>656</v>
      </c>
      <c r="L6" s="14" t="s">
        <v>446</v>
      </c>
      <c r="M6" s="14">
        <v>5</v>
      </c>
      <c r="N6" s="43" t="s">
        <v>283</v>
      </c>
      <c r="O6" s="43" t="s">
        <v>251</v>
      </c>
      <c r="P6" s="43" t="s">
        <v>700</v>
      </c>
    </row>
    <row r="7" spans="1:16" x14ac:dyDescent="0.15">
      <c r="A7" s="14">
        <v>6</v>
      </c>
      <c r="B7" s="42" t="s">
        <v>14</v>
      </c>
      <c r="C7" s="14" t="s">
        <v>41</v>
      </c>
      <c r="D7" s="27" t="s">
        <v>69</v>
      </c>
      <c r="E7" s="14" t="s">
        <v>420</v>
      </c>
      <c r="F7" s="14" t="s">
        <v>121</v>
      </c>
      <c r="G7" s="14" t="s">
        <v>249</v>
      </c>
      <c r="H7" s="14" t="s">
        <v>34</v>
      </c>
      <c r="I7" s="14" t="s">
        <v>62</v>
      </c>
      <c r="J7" s="14" t="s">
        <v>92</v>
      </c>
      <c r="K7" s="14" t="s">
        <v>124</v>
      </c>
      <c r="L7" s="14" t="s">
        <v>447</v>
      </c>
      <c r="M7" s="14">
        <v>6</v>
      </c>
      <c r="N7" s="43" t="s">
        <v>283</v>
      </c>
      <c r="O7" s="43" t="s">
        <v>71</v>
      </c>
      <c r="P7" s="43" t="s">
        <v>703</v>
      </c>
    </row>
    <row r="8" spans="1:16" x14ac:dyDescent="0.15">
      <c r="A8" s="14">
        <v>7</v>
      </c>
      <c r="B8" s="14" t="s">
        <v>26</v>
      </c>
      <c r="C8" s="14" t="s">
        <v>53</v>
      </c>
      <c r="D8" s="14" t="s">
        <v>703</v>
      </c>
      <c r="E8" s="14" t="s">
        <v>253</v>
      </c>
      <c r="F8" s="14" t="s">
        <v>422</v>
      </c>
      <c r="G8" s="14" t="s">
        <v>408</v>
      </c>
      <c r="H8" s="14" t="s">
        <v>43</v>
      </c>
      <c r="I8" s="14" t="s">
        <v>76</v>
      </c>
      <c r="J8" s="14" t="s">
        <v>97</v>
      </c>
      <c r="K8" s="27" t="s">
        <v>113</v>
      </c>
      <c r="L8" s="14" t="s">
        <v>448</v>
      </c>
      <c r="M8" s="14">
        <v>7</v>
      </c>
      <c r="N8" s="43" t="s">
        <v>283</v>
      </c>
      <c r="O8" s="43" t="s">
        <v>80</v>
      </c>
      <c r="P8" s="43" t="s">
        <v>642</v>
      </c>
    </row>
    <row r="9" spans="1:16" x14ac:dyDescent="0.15">
      <c r="A9" s="14">
        <v>8</v>
      </c>
      <c r="L9" s="14" t="s">
        <v>729</v>
      </c>
      <c r="M9" s="14">
        <v>8</v>
      </c>
      <c r="N9" s="43" t="s">
        <v>283</v>
      </c>
      <c r="O9" s="43" t="s">
        <v>418</v>
      </c>
      <c r="P9" s="43" t="s">
        <v>676</v>
      </c>
    </row>
    <row r="10" spans="1:16" x14ac:dyDescent="0.15">
      <c r="A10" s="14">
        <v>9</v>
      </c>
      <c r="G10" s="11"/>
      <c r="H10" s="11"/>
      <c r="I10" s="11"/>
      <c r="J10" s="11"/>
      <c r="K10" s="11"/>
      <c r="L10" s="14"/>
      <c r="M10" s="14">
        <v>9</v>
      </c>
      <c r="N10" s="43" t="s">
        <v>283</v>
      </c>
      <c r="O10" s="43" t="s">
        <v>686</v>
      </c>
      <c r="P10" s="43" t="s">
        <v>691</v>
      </c>
    </row>
    <row r="11" spans="1:16" x14ac:dyDescent="0.15">
      <c r="A11" s="14"/>
      <c r="B11" s="42" t="s">
        <v>733</v>
      </c>
      <c r="C11" s="14" t="s">
        <v>169</v>
      </c>
      <c r="D11" s="14" t="s">
        <v>170</v>
      </c>
      <c r="E11" s="14" t="s">
        <v>171</v>
      </c>
      <c r="F11" s="14" t="s">
        <v>172</v>
      </c>
      <c r="G11" s="14" t="s">
        <v>173</v>
      </c>
      <c r="H11" s="14" t="s">
        <v>174</v>
      </c>
      <c r="I11" s="14" t="s">
        <v>175</v>
      </c>
      <c r="J11" s="14" t="s">
        <v>271</v>
      </c>
      <c r="K11" s="27" t="s">
        <v>272</v>
      </c>
      <c r="L11" s="14" t="s">
        <v>274</v>
      </c>
      <c r="M11" s="14"/>
      <c r="N11" s="43" t="s">
        <v>283</v>
      </c>
      <c r="O11" s="43" t="s">
        <v>127</v>
      </c>
      <c r="P11" s="43" t="s">
        <v>656</v>
      </c>
    </row>
    <row r="12" spans="1:16" x14ac:dyDescent="0.15">
      <c r="A12" s="14">
        <v>1</v>
      </c>
      <c r="B12" s="14" t="s">
        <v>32</v>
      </c>
      <c r="C12" s="14" t="s">
        <v>45</v>
      </c>
      <c r="D12" s="14" t="s">
        <v>67</v>
      </c>
      <c r="E12" s="14" t="s">
        <v>94</v>
      </c>
      <c r="F12" s="14" t="s">
        <v>108</v>
      </c>
      <c r="G12" s="14" t="s">
        <v>7</v>
      </c>
      <c r="H12" s="14" t="s">
        <v>55</v>
      </c>
      <c r="I12" s="14" t="s">
        <v>73</v>
      </c>
      <c r="J12" s="27" t="s">
        <v>101</v>
      </c>
      <c r="K12" s="14" t="s">
        <v>110</v>
      </c>
      <c r="L12" s="14" t="s">
        <v>163</v>
      </c>
      <c r="M12" s="14">
        <v>1</v>
      </c>
      <c r="N12" s="43" t="s">
        <v>283</v>
      </c>
      <c r="O12" s="43" t="s">
        <v>106</v>
      </c>
      <c r="P12" s="43" t="s">
        <v>677</v>
      </c>
    </row>
    <row r="13" spans="1:16" x14ac:dyDescent="0.15">
      <c r="A13" s="14">
        <v>2</v>
      </c>
      <c r="B13" s="42" t="s">
        <v>84</v>
      </c>
      <c r="C13" s="14" t="s">
        <v>424</v>
      </c>
      <c r="D13" s="14" t="s">
        <v>256</v>
      </c>
      <c r="E13" s="14" t="s">
        <v>29</v>
      </c>
      <c r="F13" s="14" t="s">
        <v>57</v>
      </c>
      <c r="G13" s="42" t="s">
        <v>81</v>
      </c>
      <c r="H13" s="14" t="s">
        <v>691</v>
      </c>
      <c r="I13" s="42" t="s">
        <v>117</v>
      </c>
      <c r="J13" s="14" t="s">
        <v>16</v>
      </c>
      <c r="K13" s="14" t="s">
        <v>51</v>
      </c>
      <c r="L13" s="14" t="s">
        <v>164</v>
      </c>
      <c r="M13" s="14">
        <v>2</v>
      </c>
      <c r="N13" s="43" t="s">
        <v>283</v>
      </c>
      <c r="O13" s="43" t="s">
        <v>255</v>
      </c>
      <c r="P13" s="43" t="s">
        <v>659</v>
      </c>
    </row>
    <row r="14" spans="1:16" x14ac:dyDescent="0.15">
      <c r="A14" s="14">
        <v>3</v>
      </c>
      <c r="B14" s="42" t="s">
        <v>403</v>
      </c>
      <c r="C14" s="14" t="s">
        <v>30</v>
      </c>
      <c r="D14" s="14" t="s">
        <v>56</v>
      </c>
      <c r="E14" s="14" t="s">
        <v>78</v>
      </c>
      <c r="F14" s="27" t="s">
        <v>405</v>
      </c>
      <c r="G14" s="14" t="s">
        <v>115</v>
      </c>
      <c r="H14" s="14" t="s">
        <v>24</v>
      </c>
      <c r="I14" s="14" t="s">
        <v>49</v>
      </c>
      <c r="J14" s="14" t="s">
        <v>77</v>
      </c>
      <c r="K14" s="27" t="s">
        <v>401</v>
      </c>
      <c r="L14" s="14" t="s">
        <v>165</v>
      </c>
      <c r="M14" s="14">
        <v>3</v>
      </c>
      <c r="N14" s="43" t="s">
        <v>283</v>
      </c>
      <c r="O14" s="43" t="s">
        <v>132</v>
      </c>
      <c r="P14" s="43" t="s">
        <v>663</v>
      </c>
    </row>
    <row r="15" spans="1:16" x14ac:dyDescent="0.15">
      <c r="A15" s="14">
        <v>4</v>
      </c>
      <c r="B15" s="42" t="s">
        <v>133</v>
      </c>
      <c r="C15" s="14" t="s">
        <v>667</v>
      </c>
      <c r="D15" s="14" t="s">
        <v>143</v>
      </c>
      <c r="E15" s="14" t="s">
        <v>441</v>
      </c>
      <c r="F15" s="14" t="s">
        <v>430</v>
      </c>
      <c r="G15" s="14" t="s">
        <v>129</v>
      </c>
      <c r="H15" s="14" t="s">
        <v>135</v>
      </c>
      <c r="I15" s="14" t="s">
        <v>140</v>
      </c>
      <c r="J15" s="14" t="s">
        <v>431</v>
      </c>
      <c r="K15" s="27" t="s">
        <v>149</v>
      </c>
      <c r="L15" s="14" t="s">
        <v>166</v>
      </c>
      <c r="M15" s="14">
        <v>4</v>
      </c>
      <c r="N15" s="43" t="s">
        <v>283</v>
      </c>
      <c r="O15" s="43" t="s">
        <v>131</v>
      </c>
      <c r="P15" s="43" t="s">
        <v>678</v>
      </c>
    </row>
    <row r="16" spans="1:16" x14ac:dyDescent="0.15">
      <c r="A16" s="14">
        <v>5</v>
      </c>
      <c r="B16" s="42" t="s">
        <v>663</v>
      </c>
      <c r="C16" s="14" t="s">
        <v>138</v>
      </c>
      <c r="D16" s="14" t="s">
        <v>432</v>
      </c>
      <c r="E16" s="14" t="s">
        <v>146</v>
      </c>
      <c r="F16" s="14" t="s">
        <v>433</v>
      </c>
      <c r="G16" s="14" t="s">
        <v>257</v>
      </c>
      <c r="H16" s="14" t="s">
        <v>434</v>
      </c>
      <c r="I16" s="14" t="s">
        <v>669</v>
      </c>
      <c r="J16" s="14" t="s">
        <v>436</v>
      </c>
      <c r="K16" s="27" t="s">
        <v>259</v>
      </c>
      <c r="L16" s="14" t="s">
        <v>167</v>
      </c>
      <c r="M16" s="14">
        <v>5</v>
      </c>
      <c r="N16" s="43" t="s">
        <v>283</v>
      </c>
      <c r="O16" s="43" t="s">
        <v>258</v>
      </c>
      <c r="P16" s="43" t="s">
        <v>667</v>
      </c>
    </row>
    <row r="17" spans="1:16" x14ac:dyDescent="0.15">
      <c r="A17" s="14">
        <v>6</v>
      </c>
      <c r="B17" s="42" t="s">
        <v>678</v>
      </c>
      <c r="C17" s="14" t="s">
        <v>137</v>
      </c>
      <c r="D17" s="14" t="s">
        <v>142</v>
      </c>
      <c r="E17" s="14" t="s">
        <v>671</v>
      </c>
      <c r="F17" s="14" t="s">
        <v>151</v>
      </c>
      <c r="G17" s="14" t="s">
        <v>438</v>
      </c>
      <c r="H17" s="14" t="s">
        <v>439</v>
      </c>
      <c r="I17" s="14" t="s">
        <v>440</v>
      </c>
      <c r="J17" s="14" t="s">
        <v>147</v>
      </c>
      <c r="K17" s="27" t="s">
        <v>260</v>
      </c>
      <c r="L17" s="14" t="s">
        <v>726</v>
      </c>
      <c r="M17" s="14">
        <v>6</v>
      </c>
      <c r="N17" s="43" t="s">
        <v>283</v>
      </c>
      <c r="O17" s="43" t="s">
        <v>435</v>
      </c>
      <c r="P17" s="43" t="s">
        <v>669</v>
      </c>
    </row>
    <row r="18" spans="1:16" x14ac:dyDescent="0.15">
      <c r="A18" s="14"/>
      <c r="L18" s="43" t="s">
        <v>727</v>
      </c>
      <c r="M18" s="14"/>
      <c r="N18" s="43" t="s">
        <v>283</v>
      </c>
      <c r="O18" s="43" t="s">
        <v>437</v>
      </c>
      <c r="P18" s="43" t="s">
        <v>671</v>
      </c>
    </row>
    <row r="19" spans="1:16" x14ac:dyDescent="0.15">
      <c r="A19" s="14"/>
      <c r="B19" s="42" t="s">
        <v>33</v>
      </c>
      <c r="C19" s="14" t="s">
        <v>35</v>
      </c>
      <c r="D19" s="14" t="s">
        <v>38</v>
      </c>
      <c r="E19" s="14" t="s">
        <v>40</v>
      </c>
      <c r="F19" s="14" t="s">
        <v>42</v>
      </c>
      <c r="G19" s="14" t="s">
        <v>44</v>
      </c>
      <c r="H19" s="14" t="s">
        <v>46</v>
      </c>
      <c r="I19" s="14" t="s">
        <v>48</v>
      </c>
      <c r="J19" s="14" t="s">
        <v>50</v>
      </c>
      <c r="K19" s="14" t="s">
        <v>52</v>
      </c>
      <c r="L19" s="14" t="s">
        <v>157</v>
      </c>
      <c r="M19" s="14"/>
    </row>
    <row r="20" spans="1:16" x14ac:dyDescent="0.15">
      <c r="A20" s="14">
        <v>1</v>
      </c>
      <c r="B20" s="42" t="s">
        <v>176</v>
      </c>
      <c r="C20" s="14" t="s">
        <v>185</v>
      </c>
      <c r="D20" s="14" t="s">
        <v>177</v>
      </c>
      <c r="E20" s="14" t="s">
        <v>184</v>
      </c>
      <c r="F20" s="14" t="s">
        <v>178</v>
      </c>
      <c r="G20" s="14" t="s">
        <v>449</v>
      </c>
      <c r="H20" s="14" t="s">
        <v>179</v>
      </c>
      <c r="I20" s="14" t="s">
        <v>182</v>
      </c>
      <c r="J20" s="14" t="s">
        <v>180</v>
      </c>
      <c r="K20" s="14" t="s">
        <v>181</v>
      </c>
      <c r="L20" s="14" t="s">
        <v>159</v>
      </c>
      <c r="M20" s="14">
        <v>1</v>
      </c>
      <c r="O20" s="43" t="s">
        <v>450</v>
      </c>
      <c r="P20" s="43" t="s">
        <v>723</v>
      </c>
    </row>
    <row r="21" spans="1:16" x14ac:dyDescent="0.15">
      <c r="A21" s="14">
        <v>2</v>
      </c>
      <c r="B21" s="14" t="s">
        <v>191</v>
      </c>
      <c r="C21" s="14" t="s">
        <v>451</v>
      </c>
      <c r="D21" s="14" t="s">
        <v>189</v>
      </c>
      <c r="E21" s="14" t="s">
        <v>187</v>
      </c>
      <c r="F21" s="14" t="s">
        <v>452</v>
      </c>
      <c r="G21" s="14" t="s">
        <v>186</v>
      </c>
      <c r="H21" s="14" t="s">
        <v>192</v>
      </c>
      <c r="I21" s="14" t="s">
        <v>453</v>
      </c>
      <c r="J21" s="42" t="s">
        <v>723</v>
      </c>
      <c r="K21" s="14" t="s">
        <v>188</v>
      </c>
      <c r="L21" s="14" t="s">
        <v>282</v>
      </c>
      <c r="M21" s="14">
        <v>2</v>
      </c>
      <c r="O21" s="43" t="s">
        <v>310</v>
      </c>
      <c r="P21" s="43" t="s">
        <v>696</v>
      </c>
    </row>
    <row r="22" spans="1:16" x14ac:dyDescent="0.15">
      <c r="A22" s="14">
        <v>3</v>
      </c>
      <c r="B22" s="42" t="s">
        <v>196</v>
      </c>
      <c r="C22" s="14" t="s">
        <v>202</v>
      </c>
      <c r="D22" s="14" t="s">
        <v>197</v>
      </c>
      <c r="E22" s="14" t="s">
        <v>201</v>
      </c>
      <c r="F22" s="14" t="s">
        <v>198</v>
      </c>
      <c r="G22" s="14" t="s">
        <v>195</v>
      </c>
      <c r="H22" s="14" t="s">
        <v>194</v>
      </c>
      <c r="I22" s="14" t="s">
        <v>204</v>
      </c>
      <c r="J22" s="14" t="s">
        <v>200</v>
      </c>
      <c r="K22" s="14" t="s">
        <v>203</v>
      </c>
      <c r="L22" s="14" t="s">
        <v>282</v>
      </c>
      <c r="M22" s="14">
        <v>3</v>
      </c>
      <c r="O22" s="43" t="s">
        <v>695</v>
      </c>
      <c r="P22" s="43" t="s">
        <v>693</v>
      </c>
    </row>
    <row r="23" spans="1:16" x14ac:dyDescent="0.15">
      <c r="A23" s="14">
        <v>4</v>
      </c>
      <c r="B23" s="42" t="s">
        <v>215</v>
      </c>
      <c r="C23" s="14" t="s">
        <v>206</v>
      </c>
      <c r="D23" s="14" t="s">
        <v>214</v>
      </c>
      <c r="E23" s="14" t="s">
        <v>211</v>
      </c>
      <c r="F23" s="14" t="s">
        <v>213</v>
      </c>
      <c r="G23" s="14" t="s">
        <v>208</v>
      </c>
      <c r="H23" s="14" t="s">
        <v>207</v>
      </c>
      <c r="I23" s="14" t="s">
        <v>212</v>
      </c>
      <c r="J23" s="14" t="s">
        <v>210</v>
      </c>
      <c r="K23" s="14" t="s">
        <v>205</v>
      </c>
      <c r="L23" s="14" t="s">
        <v>282</v>
      </c>
      <c r="M23" s="14">
        <v>4</v>
      </c>
      <c r="O23" s="43" t="s">
        <v>317</v>
      </c>
      <c r="P23" s="43" t="s">
        <v>687</v>
      </c>
    </row>
    <row r="24" spans="1:16" x14ac:dyDescent="0.15">
      <c r="A24" s="14">
        <v>5</v>
      </c>
      <c r="B24" s="14" t="s">
        <v>216</v>
      </c>
      <c r="C24" s="14" t="s">
        <v>454</v>
      </c>
      <c r="D24" s="42" t="s">
        <v>219</v>
      </c>
      <c r="E24" s="14" t="s">
        <v>223</v>
      </c>
      <c r="F24" s="14" t="s">
        <v>455</v>
      </c>
      <c r="G24" s="14" t="s">
        <v>222</v>
      </c>
      <c r="H24" s="14" t="s">
        <v>220</v>
      </c>
      <c r="I24" s="14" t="s">
        <v>221</v>
      </c>
      <c r="J24" s="14" t="s">
        <v>218</v>
      </c>
      <c r="K24" s="14" t="s">
        <v>456</v>
      </c>
      <c r="L24" s="14" t="s">
        <v>282</v>
      </c>
      <c r="M24" s="14">
        <v>5</v>
      </c>
    </row>
    <row r="25" spans="1:16" x14ac:dyDescent="0.15">
      <c r="A25" s="14">
        <v>6</v>
      </c>
      <c r="B25" s="42" t="s">
        <v>224</v>
      </c>
      <c r="C25" s="14" t="s">
        <v>225</v>
      </c>
      <c r="D25" s="14" t="s">
        <v>226</v>
      </c>
      <c r="E25" s="14" t="s">
        <v>227</v>
      </c>
      <c r="F25" s="14" t="s">
        <v>228</v>
      </c>
      <c r="G25" s="14" t="s">
        <v>229</v>
      </c>
      <c r="H25" s="14" t="s">
        <v>232</v>
      </c>
      <c r="I25" s="14" t="s">
        <v>235</v>
      </c>
      <c r="J25" s="14" t="s">
        <v>238</v>
      </c>
      <c r="K25" s="14" t="s">
        <v>241</v>
      </c>
      <c r="L25" s="14" t="s">
        <v>282</v>
      </c>
      <c r="M25" s="14">
        <v>6</v>
      </c>
    </row>
    <row r="26" spans="1:16" x14ac:dyDescent="0.15">
      <c r="A26" s="14">
        <v>7</v>
      </c>
      <c r="B26" s="42" t="s">
        <v>230</v>
      </c>
      <c r="C26" s="14" t="s">
        <v>457</v>
      </c>
      <c r="D26" s="14" t="s">
        <v>236</v>
      </c>
      <c r="E26" s="14" t="s">
        <v>402</v>
      </c>
      <c r="F26" s="14" t="s">
        <v>243</v>
      </c>
      <c r="G26" s="14" t="s">
        <v>410</v>
      </c>
      <c r="H26" s="14" t="s">
        <v>233</v>
      </c>
      <c r="I26" s="14" t="s">
        <v>275</v>
      </c>
      <c r="J26" s="14" t="s">
        <v>239</v>
      </c>
      <c r="K26" s="14" t="s">
        <v>458</v>
      </c>
      <c r="L26" s="14" t="s">
        <v>282</v>
      </c>
      <c r="M26" s="14">
        <v>7</v>
      </c>
    </row>
    <row r="27" spans="1:16" x14ac:dyDescent="0.15">
      <c r="A27" s="14">
        <v>8</v>
      </c>
      <c r="B27" s="42" t="s">
        <v>459</v>
      </c>
      <c r="C27" s="14" t="s">
        <v>231</v>
      </c>
      <c r="D27" s="14" t="s">
        <v>190</v>
      </c>
      <c r="E27" s="14" t="s">
        <v>234</v>
      </c>
      <c r="F27" s="14" t="s">
        <v>199</v>
      </c>
      <c r="G27" s="14" t="s">
        <v>237</v>
      </c>
      <c r="H27" s="14" t="s">
        <v>209</v>
      </c>
      <c r="I27" s="14" t="s">
        <v>240</v>
      </c>
      <c r="J27" s="14" t="s">
        <v>217</v>
      </c>
      <c r="K27" s="14" t="s">
        <v>242</v>
      </c>
      <c r="L27" s="14" t="s">
        <v>282</v>
      </c>
      <c r="M27" s="14">
        <v>8</v>
      </c>
    </row>
    <row r="28" spans="1:16" x14ac:dyDescent="0.15">
      <c r="A28" s="14">
        <v>9</v>
      </c>
      <c r="B28" s="42" t="s">
        <v>244</v>
      </c>
      <c r="C28" s="14" t="s">
        <v>460</v>
      </c>
      <c r="D28" s="14" t="s">
        <v>247</v>
      </c>
      <c r="E28" s="14" t="s">
        <v>461</v>
      </c>
      <c r="F28" s="14" t="s">
        <v>246</v>
      </c>
      <c r="G28" s="14" t="s">
        <v>462</v>
      </c>
      <c r="H28" s="14" t="s">
        <v>245</v>
      </c>
      <c r="I28" s="14" t="s">
        <v>463</v>
      </c>
      <c r="J28" s="14" t="s">
        <v>464</v>
      </c>
      <c r="K28" s="14" t="s">
        <v>465</v>
      </c>
      <c r="L28" s="14" t="s">
        <v>282</v>
      </c>
      <c r="M28" s="14">
        <v>9</v>
      </c>
    </row>
    <row r="29" spans="1:16" x14ac:dyDescent="0.15">
      <c r="L29" s="27" t="s">
        <v>724</v>
      </c>
      <c r="M29" s="42"/>
    </row>
    <row r="30" spans="1:16" x14ac:dyDescent="0.15">
      <c r="A30" s="27"/>
      <c r="B30" s="27" t="s">
        <v>284</v>
      </c>
      <c r="C30" s="27" t="s">
        <v>87</v>
      </c>
      <c r="D30" s="27" t="s">
        <v>89</v>
      </c>
      <c r="E30" s="27" t="s">
        <v>91</v>
      </c>
      <c r="F30" s="27" t="s">
        <v>93</v>
      </c>
      <c r="G30" s="27" t="s">
        <v>95</v>
      </c>
      <c r="H30" s="27" t="s">
        <v>96</v>
      </c>
      <c r="I30" s="27" t="s">
        <v>98</v>
      </c>
      <c r="J30" s="27" t="s">
        <v>99</v>
      </c>
      <c r="K30" s="27" t="s">
        <v>100</v>
      </c>
      <c r="L30" s="14" t="s">
        <v>282</v>
      </c>
      <c r="M30" s="14"/>
    </row>
    <row r="31" spans="1:16" x14ac:dyDescent="0.15">
      <c r="A31" s="14">
        <v>1</v>
      </c>
      <c r="B31" s="16" t="s">
        <v>351</v>
      </c>
      <c r="C31" s="14" t="s">
        <v>286</v>
      </c>
      <c r="D31" s="16" t="s">
        <v>466</v>
      </c>
      <c r="E31" s="14" t="s">
        <v>467</v>
      </c>
      <c r="F31" s="14" t="s">
        <v>291</v>
      </c>
      <c r="G31" s="14" t="s">
        <v>290</v>
      </c>
      <c r="H31" s="14" t="s">
        <v>285</v>
      </c>
      <c r="I31" s="14" t="s">
        <v>287</v>
      </c>
      <c r="J31" s="14" t="s">
        <v>288</v>
      </c>
      <c r="K31" s="14" t="s">
        <v>292</v>
      </c>
      <c r="L31" s="14" t="s">
        <v>282</v>
      </c>
      <c r="M31" s="14">
        <v>1</v>
      </c>
    </row>
    <row r="32" spans="1:16" x14ac:dyDescent="0.15">
      <c r="A32" s="14">
        <v>2</v>
      </c>
      <c r="B32" s="14" t="s">
        <v>469</v>
      </c>
      <c r="C32" s="14" t="s">
        <v>352</v>
      </c>
      <c r="D32" s="14" t="s">
        <v>468</v>
      </c>
      <c r="E32" s="14" t="s">
        <v>296</v>
      </c>
      <c r="F32" s="14" t="s">
        <v>300</v>
      </c>
      <c r="G32" s="14" t="s">
        <v>298</v>
      </c>
      <c r="H32" s="14" t="s">
        <v>301</v>
      </c>
      <c r="I32" s="14" t="s">
        <v>297</v>
      </c>
      <c r="J32" s="14" t="s">
        <v>295</v>
      </c>
      <c r="K32" s="14" t="s">
        <v>299</v>
      </c>
      <c r="L32" s="14" t="s">
        <v>282</v>
      </c>
      <c r="M32" s="14">
        <v>2</v>
      </c>
    </row>
    <row r="33" spans="1:13" x14ac:dyDescent="0.15">
      <c r="A33" s="14">
        <v>3</v>
      </c>
      <c r="B33" s="14" t="s">
        <v>305</v>
      </c>
      <c r="C33" s="14" t="s">
        <v>306</v>
      </c>
      <c r="D33" s="14" t="s">
        <v>353</v>
      </c>
      <c r="E33" s="14" t="s">
        <v>470</v>
      </c>
      <c r="F33" s="14" t="s">
        <v>696</v>
      </c>
      <c r="G33" s="14" t="s">
        <v>307</v>
      </c>
      <c r="H33" s="14" t="s">
        <v>308</v>
      </c>
      <c r="I33" s="14" t="s">
        <v>471</v>
      </c>
      <c r="J33" s="14" t="s">
        <v>304</v>
      </c>
      <c r="K33" s="14" t="s">
        <v>311</v>
      </c>
      <c r="L33" s="14" t="s">
        <v>282</v>
      </c>
      <c r="M33" s="14">
        <v>3</v>
      </c>
    </row>
    <row r="34" spans="1:13" x14ac:dyDescent="0.15">
      <c r="A34" s="14">
        <v>4</v>
      </c>
      <c r="B34" s="14" t="s">
        <v>314</v>
      </c>
      <c r="C34" s="14" t="s">
        <v>407</v>
      </c>
      <c r="D34" s="14" t="s">
        <v>687</v>
      </c>
      <c r="E34" s="14" t="s">
        <v>474</v>
      </c>
      <c r="F34" s="14" t="s">
        <v>316</v>
      </c>
      <c r="G34" s="14" t="s">
        <v>473</v>
      </c>
      <c r="H34" s="14" t="s">
        <v>472</v>
      </c>
      <c r="I34" s="14" t="s">
        <v>693</v>
      </c>
      <c r="J34" s="14" t="s">
        <v>315</v>
      </c>
      <c r="K34" s="14" t="s">
        <v>320</v>
      </c>
      <c r="L34" s="14" t="s">
        <v>282</v>
      </c>
      <c r="M34" s="14">
        <v>4</v>
      </c>
    </row>
    <row r="35" spans="1:13" x14ac:dyDescent="0.15">
      <c r="A35" s="14">
        <v>5</v>
      </c>
      <c r="B35" s="14" t="s">
        <v>324</v>
      </c>
      <c r="C35" s="14" t="s">
        <v>321</v>
      </c>
      <c r="D35" s="14" t="s">
        <v>406</v>
      </c>
      <c r="E35" s="14" t="s">
        <v>326</v>
      </c>
      <c r="F35" s="14" t="s">
        <v>412</v>
      </c>
      <c r="G35" s="14" t="s">
        <v>325</v>
      </c>
      <c r="H35" s="14" t="s">
        <v>476</v>
      </c>
      <c r="I35" s="14" t="s">
        <v>475</v>
      </c>
      <c r="J35" s="14" t="s">
        <v>477</v>
      </c>
      <c r="K35" s="14" t="s">
        <v>328</v>
      </c>
      <c r="L35" s="14" t="s">
        <v>282</v>
      </c>
      <c r="M35" s="14">
        <v>5</v>
      </c>
    </row>
    <row r="36" spans="1:13" x14ac:dyDescent="0.15">
      <c r="A36" s="14">
        <v>6</v>
      </c>
      <c r="B36" s="14" t="s">
        <v>332</v>
      </c>
      <c r="C36" s="14" t="s">
        <v>478</v>
      </c>
      <c r="D36" s="14" t="s">
        <v>334</v>
      </c>
      <c r="E36" s="14" t="s">
        <v>336</v>
      </c>
      <c r="F36" s="14" t="s">
        <v>479</v>
      </c>
      <c r="G36" s="14" t="s">
        <v>338</v>
      </c>
      <c r="H36" s="14" t="s">
        <v>411</v>
      </c>
      <c r="I36" s="14" t="s">
        <v>480</v>
      </c>
      <c r="J36" s="14" t="s">
        <v>337</v>
      </c>
      <c r="K36" s="14" t="s">
        <v>404</v>
      </c>
      <c r="L36" s="14" t="s">
        <v>282</v>
      </c>
      <c r="M36" s="14">
        <v>6</v>
      </c>
    </row>
    <row r="37" spans="1:13" x14ac:dyDescent="0.15">
      <c r="A37" s="14">
        <v>7</v>
      </c>
      <c r="B37" s="14" t="s">
        <v>488</v>
      </c>
      <c r="C37" s="14" t="s">
        <v>486</v>
      </c>
      <c r="D37" s="14" t="s">
        <v>482</v>
      </c>
      <c r="E37" s="14" t="s">
        <v>487</v>
      </c>
      <c r="F37" s="14" t="s">
        <v>360</v>
      </c>
      <c r="G37" s="14" t="s">
        <v>358</v>
      </c>
      <c r="H37" s="14" t="s">
        <v>484</v>
      </c>
      <c r="I37" s="14" t="s">
        <v>481</v>
      </c>
      <c r="J37" s="14" t="s">
        <v>485</v>
      </c>
      <c r="K37" s="14" t="s">
        <v>483</v>
      </c>
      <c r="L37" s="14" t="s">
        <v>282</v>
      </c>
      <c r="M37" s="14">
        <v>7</v>
      </c>
    </row>
    <row r="38" spans="1:13" x14ac:dyDescent="0.15">
      <c r="A38" s="14">
        <v>8</v>
      </c>
      <c r="B38" s="14" t="s">
        <v>489</v>
      </c>
      <c r="C38" s="14" t="s">
        <v>490</v>
      </c>
      <c r="D38" s="14" t="s">
        <v>370</v>
      </c>
      <c r="E38" s="14" t="s">
        <v>491</v>
      </c>
      <c r="F38" s="14" t="s">
        <v>492</v>
      </c>
      <c r="G38" s="14" t="s">
        <v>493</v>
      </c>
      <c r="H38" s="14" t="s">
        <v>494</v>
      </c>
      <c r="I38" s="14" t="s">
        <v>495</v>
      </c>
      <c r="J38" s="14" t="s">
        <v>374</v>
      </c>
      <c r="K38" s="14" t="s">
        <v>496</v>
      </c>
      <c r="L38" s="14" t="s">
        <v>282</v>
      </c>
      <c r="M38" s="14">
        <v>8</v>
      </c>
    </row>
    <row r="39" spans="1:13" x14ac:dyDescent="0.15">
      <c r="A39" s="14">
        <v>9</v>
      </c>
      <c r="B39" s="14" t="s">
        <v>497</v>
      </c>
      <c r="C39" s="14" t="s">
        <v>498</v>
      </c>
      <c r="D39" s="14" t="s">
        <v>500</v>
      </c>
      <c r="E39" s="14" t="s">
        <v>499</v>
      </c>
      <c r="F39" s="14" t="s">
        <v>504</v>
      </c>
      <c r="G39" s="14" t="s">
        <v>501</v>
      </c>
      <c r="H39" s="14" t="s">
        <v>505</v>
      </c>
      <c r="I39" s="14" t="s">
        <v>502</v>
      </c>
      <c r="J39" s="14" t="s">
        <v>503</v>
      </c>
      <c r="K39" s="14" t="s">
        <v>396</v>
      </c>
      <c r="L39" s="14" t="s">
        <v>282</v>
      </c>
      <c r="M39" s="14">
        <v>9</v>
      </c>
    </row>
    <row r="41" spans="1:13" x14ac:dyDescent="0.15">
      <c r="B41" s="43" t="s">
        <v>18</v>
      </c>
      <c r="C41" s="43" t="s">
        <v>39</v>
      </c>
      <c r="D41" s="43" t="s">
        <v>64</v>
      </c>
      <c r="E41" s="43" t="s">
        <v>90</v>
      </c>
      <c r="F41" s="43" t="s">
        <v>735</v>
      </c>
      <c r="G41" s="43" t="s">
        <v>413</v>
      </c>
      <c r="H41" s="43" t="s">
        <v>47</v>
      </c>
      <c r="I41" s="43" t="s">
        <v>676</v>
      </c>
      <c r="J41" s="43" t="s">
        <v>88</v>
      </c>
      <c r="K41" s="43" t="s">
        <v>659</v>
      </c>
    </row>
    <row r="42" spans="1:13" x14ac:dyDescent="0.15">
      <c r="B42" s="43" t="s">
        <v>27</v>
      </c>
      <c r="C42" s="43" t="s">
        <v>415</v>
      </c>
      <c r="D42" s="43" t="s">
        <v>79</v>
      </c>
      <c r="E42" s="43" t="s">
        <v>252</v>
      </c>
      <c r="F42" s="43" t="s">
        <v>119</v>
      </c>
      <c r="G42" s="43" t="s">
        <v>28</v>
      </c>
      <c r="H42" s="43" t="s">
        <v>250</v>
      </c>
      <c r="I42" s="43" t="s">
        <v>419</v>
      </c>
      <c r="J42" s="43" t="s">
        <v>254</v>
      </c>
      <c r="K42" s="43" t="s">
        <v>423</v>
      </c>
    </row>
    <row r="43" spans="1:13" x14ac:dyDescent="0.15">
      <c r="B43" s="43" t="s">
        <v>248</v>
      </c>
      <c r="C43" s="43" t="s">
        <v>416</v>
      </c>
      <c r="D43" s="43" t="s">
        <v>83</v>
      </c>
      <c r="E43" s="43" t="s">
        <v>102</v>
      </c>
      <c r="F43" s="43" t="s">
        <v>123</v>
      </c>
      <c r="G43" s="43" t="s">
        <v>674</v>
      </c>
      <c r="H43" s="43" t="s">
        <v>58</v>
      </c>
      <c r="I43" s="43" t="s">
        <v>642</v>
      </c>
      <c r="J43" s="43" t="s">
        <v>421</v>
      </c>
      <c r="K43" s="43" t="s">
        <v>428</v>
      </c>
    </row>
    <row r="44" spans="1:13" x14ac:dyDescent="0.15">
      <c r="B44" s="43" t="s">
        <v>12</v>
      </c>
      <c r="C44" s="43" t="s">
        <v>675</v>
      </c>
      <c r="D44" s="43" t="s">
        <v>85</v>
      </c>
      <c r="E44" s="43" t="s">
        <v>104</v>
      </c>
      <c r="F44" s="43" t="s">
        <v>125</v>
      </c>
      <c r="G44" s="43" t="s">
        <v>648</v>
      </c>
      <c r="H44" s="43" t="s">
        <v>59</v>
      </c>
      <c r="I44" s="43" t="s">
        <v>82</v>
      </c>
      <c r="J44" s="43" t="s">
        <v>103</v>
      </c>
      <c r="K44" s="43" t="s">
        <v>126</v>
      </c>
    </row>
    <row r="45" spans="1:13" x14ac:dyDescent="0.15">
      <c r="B45" s="43" t="s">
        <v>9</v>
      </c>
      <c r="C45" s="43" t="s">
        <v>417</v>
      </c>
      <c r="D45" s="43" t="s">
        <v>425</v>
      </c>
      <c r="E45" s="43" t="s">
        <v>426</v>
      </c>
      <c r="F45" s="43" t="s">
        <v>427</v>
      </c>
      <c r="G45" s="43" t="s">
        <v>20</v>
      </c>
      <c r="H45" s="43" t="s">
        <v>60</v>
      </c>
      <c r="I45" s="43" t="s">
        <v>700</v>
      </c>
      <c r="J45" s="43" t="s">
        <v>429</v>
      </c>
      <c r="K45" s="43" t="s">
        <v>656</v>
      </c>
    </row>
    <row r="46" spans="1:13" x14ac:dyDescent="0.15">
      <c r="B46" s="43" t="s">
        <v>14</v>
      </c>
      <c r="C46" s="43" t="s">
        <v>41</v>
      </c>
      <c r="D46" s="43" t="s">
        <v>69</v>
      </c>
      <c r="E46" s="43" t="s">
        <v>420</v>
      </c>
      <c r="F46" s="43" t="s">
        <v>121</v>
      </c>
      <c r="G46" s="43" t="s">
        <v>249</v>
      </c>
      <c r="H46" s="43" t="s">
        <v>34</v>
      </c>
      <c r="I46" s="43" t="s">
        <v>62</v>
      </c>
      <c r="J46" s="43" t="s">
        <v>92</v>
      </c>
      <c r="K46" s="43" t="s">
        <v>124</v>
      </c>
    </row>
    <row r="47" spans="1:13" x14ac:dyDescent="0.15">
      <c r="B47" s="43" t="s">
        <v>26</v>
      </c>
      <c r="C47" s="43" t="s">
        <v>53</v>
      </c>
      <c r="D47" s="43" t="s">
        <v>703</v>
      </c>
      <c r="E47" s="43" t="s">
        <v>253</v>
      </c>
      <c r="F47" s="43" t="s">
        <v>422</v>
      </c>
      <c r="G47" s="43" t="s">
        <v>408</v>
      </c>
      <c r="H47" s="43" t="s">
        <v>43</v>
      </c>
      <c r="I47" s="43" t="s">
        <v>76</v>
      </c>
      <c r="J47" s="43" t="s">
        <v>97</v>
      </c>
      <c r="K47" s="43" t="s">
        <v>113</v>
      </c>
    </row>
    <row r="59" spans="2:11" x14ac:dyDescent="0.15">
      <c r="B59" s="43" t="s">
        <v>733</v>
      </c>
      <c r="C59" s="43" t="s">
        <v>169</v>
      </c>
      <c r="D59" s="43" t="s">
        <v>170</v>
      </c>
      <c r="E59" s="43" t="s">
        <v>171</v>
      </c>
      <c r="F59" s="43" t="s">
        <v>172</v>
      </c>
      <c r="G59" s="43" t="s">
        <v>173</v>
      </c>
      <c r="H59" s="43" t="s">
        <v>174</v>
      </c>
      <c r="I59" s="43" t="s">
        <v>175</v>
      </c>
      <c r="J59" s="43" t="s">
        <v>271</v>
      </c>
      <c r="K59" s="43" t="s">
        <v>272</v>
      </c>
    </row>
    <row r="60" spans="2:11" x14ac:dyDescent="0.15">
      <c r="B60" s="43" t="s">
        <v>32</v>
      </c>
      <c r="C60" s="43" t="s">
        <v>45</v>
      </c>
      <c r="D60" s="43" t="s">
        <v>67</v>
      </c>
      <c r="E60" s="43" t="s">
        <v>94</v>
      </c>
      <c r="F60" s="43" t="s">
        <v>108</v>
      </c>
      <c r="G60" s="43" t="s">
        <v>7</v>
      </c>
      <c r="H60" s="43" t="s">
        <v>55</v>
      </c>
      <c r="I60" s="43" t="s">
        <v>73</v>
      </c>
      <c r="J60" s="43" t="s">
        <v>101</v>
      </c>
      <c r="K60" s="43" t="s">
        <v>110</v>
      </c>
    </row>
    <row r="61" spans="2:11" x14ac:dyDescent="0.15">
      <c r="B61" s="43" t="s">
        <v>84</v>
      </c>
      <c r="C61" s="43" t="s">
        <v>424</v>
      </c>
      <c r="D61" s="43" t="s">
        <v>256</v>
      </c>
      <c r="E61" s="43" t="s">
        <v>29</v>
      </c>
      <c r="F61" s="43" t="s">
        <v>57</v>
      </c>
      <c r="G61" s="43" t="s">
        <v>81</v>
      </c>
      <c r="H61" s="43" t="s">
        <v>691</v>
      </c>
      <c r="I61" s="43" t="s">
        <v>117</v>
      </c>
      <c r="J61" s="43" t="s">
        <v>16</v>
      </c>
      <c r="K61" s="43" t="s">
        <v>51</v>
      </c>
    </row>
    <row r="62" spans="2:11" x14ac:dyDescent="0.15">
      <c r="B62" s="43" t="s">
        <v>403</v>
      </c>
      <c r="C62" s="43" t="s">
        <v>30</v>
      </c>
      <c r="D62" s="43" t="s">
        <v>56</v>
      </c>
      <c r="E62" s="43" t="s">
        <v>78</v>
      </c>
      <c r="F62" s="43" t="s">
        <v>405</v>
      </c>
      <c r="G62" s="43" t="s">
        <v>115</v>
      </c>
      <c r="H62" s="43" t="s">
        <v>24</v>
      </c>
      <c r="I62" s="43" t="s">
        <v>49</v>
      </c>
      <c r="J62" s="43" t="s">
        <v>77</v>
      </c>
      <c r="K62" s="43" t="s">
        <v>401</v>
      </c>
    </row>
    <row r="63" spans="2:11" x14ac:dyDescent="0.15">
      <c r="B63" s="43" t="s">
        <v>133</v>
      </c>
      <c r="C63" s="43" t="s">
        <v>667</v>
      </c>
      <c r="D63" s="43" t="s">
        <v>143</v>
      </c>
      <c r="E63" s="43" t="s">
        <v>441</v>
      </c>
      <c r="F63" s="43" t="s">
        <v>430</v>
      </c>
      <c r="G63" s="43" t="s">
        <v>129</v>
      </c>
      <c r="H63" s="43" t="s">
        <v>135</v>
      </c>
      <c r="I63" s="43" t="s">
        <v>140</v>
      </c>
      <c r="J63" s="43" t="s">
        <v>431</v>
      </c>
      <c r="K63" s="43" t="s">
        <v>149</v>
      </c>
    </row>
    <row r="64" spans="2:11" x14ac:dyDescent="0.15">
      <c r="B64" s="43" t="s">
        <v>663</v>
      </c>
      <c r="C64" s="43" t="s">
        <v>138</v>
      </c>
      <c r="D64" s="43" t="s">
        <v>432</v>
      </c>
      <c r="E64" s="43" t="s">
        <v>146</v>
      </c>
      <c r="F64" s="43" t="s">
        <v>433</v>
      </c>
      <c r="G64" s="43" t="s">
        <v>257</v>
      </c>
      <c r="H64" s="43" t="s">
        <v>434</v>
      </c>
      <c r="I64" s="43" t="s">
        <v>669</v>
      </c>
      <c r="J64" s="43" t="s">
        <v>436</v>
      </c>
      <c r="K64" s="43" t="s">
        <v>259</v>
      </c>
    </row>
    <row r="65" spans="2:11" x14ac:dyDescent="0.15">
      <c r="B65" s="43" t="s">
        <v>678</v>
      </c>
      <c r="C65" s="43" t="s">
        <v>137</v>
      </c>
      <c r="D65" s="43" t="s">
        <v>142</v>
      </c>
      <c r="E65" s="43" t="s">
        <v>671</v>
      </c>
      <c r="F65" s="43" t="s">
        <v>151</v>
      </c>
      <c r="G65" s="43" t="s">
        <v>438</v>
      </c>
      <c r="H65" s="43" t="s">
        <v>439</v>
      </c>
      <c r="I65" s="43" t="s">
        <v>440</v>
      </c>
      <c r="J65" s="43" t="s">
        <v>147</v>
      </c>
      <c r="K65" s="43" t="s">
        <v>260</v>
      </c>
    </row>
  </sheetData>
  <phoneticPr fontId="1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33"/>
  <sheetViews>
    <sheetView topLeftCell="AB1" zoomScale="70" zoomScaleNormal="70" workbookViewId="0">
      <selection activeCell="AL14" sqref="AL14"/>
    </sheetView>
  </sheetViews>
  <sheetFormatPr defaultRowHeight="13.5" x14ac:dyDescent="0.15"/>
  <cols>
    <col min="1" max="1" width="3.5" bestFit="1" customWidth="1"/>
    <col min="12" max="13" width="9.625" customWidth="1"/>
  </cols>
  <sheetData>
    <row r="1" spans="1:43" s="4" customFormat="1" ht="14.25" thickBot="1" x14ac:dyDescent="0.2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  <c r="AM1" s="4">
        <v>38</v>
      </c>
      <c r="AN1" s="4">
        <v>39</v>
      </c>
      <c r="AO1" s="4">
        <v>40</v>
      </c>
      <c r="AP1" s="4">
        <v>41</v>
      </c>
      <c r="AQ1" s="4">
        <v>42</v>
      </c>
    </row>
    <row r="2" spans="1:43" s="4" customFormat="1" ht="14.25" thickBot="1" x14ac:dyDescent="0.2">
      <c r="A2" s="9"/>
      <c r="B2" s="53" t="s">
        <v>261</v>
      </c>
      <c r="C2" s="54" t="s">
        <v>262</v>
      </c>
      <c r="D2" s="54" t="s">
        <v>263</v>
      </c>
      <c r="E2" s="54" t="s">
        <v>264</v>
      </c>
      <c r="F2" s="54" t="s">
        <v>265</v>
      </c>
      <c r="G2" s="54" t="s">
        <v>266</v>
      </c>
      <c r="H2" s="54" t="s">
        <v>267</v>
      </c>
      <c r="I2" s="54" t="s">
        <v>268</v>
      </c>
      <c r="J2" s="54" t="s">
        <v>269</v>
      </c>
      <c r="K2" s="59" t="s">
        <v>168</v>
      </c>
      <c r="L2" s="5" t="s">
        <v>270</v>
      </c>
      <c r="M2" s="6" t="s">
        <v>169</v>
      </c>
      <c r="N2" s="6" t="s">
        <v>170</v>
      </c>
      <c r="O2" s="6" t="s">
        <v>171</v>
      </c>
      <c r="P2" s="6" t="s">
        <v>172</v>
      </c>
      <c r="Q2" s="6" t="s">
        <v>173</v>
      </c>
      <c r="R2" s="6" t="s">
        <v>174</v>
      </c>
      <c r="S2" s="6" t="s">
        <v>175</v>
      </c>
      <c r="T2" s="6" t="s">
        <v>271</v>
      </c>
      <c r="U2" s="32" t="s">
        <v>272</v>
      </c>
      <c r="V2" s="33" t="s">
        <v>273</v>
      </c>
      <c r="W2" s="67" t="s">
        <v>274</v>
      </c>
      <c r="X2" s="70" t="s">
        <v>33</v>
      </c>
      <c r="Y2" s="6" t="s">
        <v>35</v>
      </c>
      <c r="Z2" s="6" t="s">
        <v>38</v>
      </c>
      <c r="AA2" s="6" t="s">
        <v>40</v>
      </c>
      <c r="AB2" s="6" t="s">
        <v>42</v>
      </c>
      <c r="AC2" s="6" t="s">
        <v>44</v>
      </c>
      <c r="AD2" s="6" t="s">
        <v>46</v>
      </c>
      <c r="AE2" s="6" t="s">
        <v>48</v>
      </c>
      <c r="AF2" s="6" t="s">
        <v>50</v>
      </c>
      <c r="AG2" s="28" t="s">
        <v>52</v>
      </c>
      <c r="AH2" s="33" t="s">
        <v>284</v>
      </c>
      <c r="AI2" s="32" t="s">
        <v>87</v>
      </c>
      <c r="AJ2" s="32" t="s">
        <v>89</v>
      </c>
      <c r="AK2" s="32" t="s">
        <v>91</v>
      </c>
      <c r="AL2" s="32" t="s">
        <v>93</v>
      </c>
      <c r="AM2" s="32" t="s">
        <v>95</v>
      </c>
      <c r="AN2" s="32" t="s">
        <v>96</v>
      </c>
      <c r="AO2" s="32" t="s">
        <v>98</v>
      </c>
      <c r="AP2" s="32" t="s">
        <v>99</v>
      </c>
      <c r="AQ2" s="28" t="s">
        <v>100</v>
      </c>
    </row>
    <row r="3" spans="1:43" s="4" customFormat="1" x14ac:dyDescent="0.15">
      <c r="A3" s="9">
        <v>1</v>
      </c>
      <c r="B3" s="5" t="str">
        <f>Sheet4!B2</f>
        <v>狐の刃遣い</v>
      </c>
      <c r="C3" s="6" t="str">
        <f>Sheet4!C2</f>
        <v>かき鳴らし鳥</v>
      </c>
      <c r="D3" s="6" t="str">
        <f>Sheet4!D2</f>
        <v>疫病のとげ刺し</v>
      </c>
      <c r="E3" s="6" t="str">
        <f>Sheet4!E2</f>
        <v>戦に狂える浪人</v>
      </c>
      <c r="F3" s="6" t="str">
        <f>Sheet4!F2</f>
        <v>荒廃のﾏﾝﾊﾞ</v>
      </c>
      <c r="G3" s="6" t="str">
        <f>Sheet4!G2</f>
        <v>霧のﾆﾌﾞﾘｽ</v>
      </c>
      <c r="H3" s="6" t="str">
        <f>Sheet4!H2</f>
        <v>上昇気流の精霊</v>
      </c>
      <c r="I3" s="6" t="str">
        <f>Sheet4!I2</f>
        <v>ｸﾞﾚｲﾌﾞﾃﾞｨｶﾞｰ</v>
      </c>
      <c r="J3" s="6" t="str">
        <f>Sheet4!J2</f>
        <v>煙束ね</v>
      </c>
      <c r="K3" s="32" t="str">
        <f>Sheet4!K2</f>
        <v>黄金の木立ちの蛇</v>
      </c>
      <c r="L3" s="13" t="str">
        <f>Sheet4!B12</f>
        <v>血清Slv</v>
      </c>
      <c r="M3" s="10" t="str">
        <f>Sheet4!C12</f>
        <v>陰影Slv</v>
      </c>
      <c r="N3" s="10" t="str">
        <f>Sheet4!D12</f>
        <v>激情Slv</v>
      </c>
      <c r="O3" s="10" t="str">
        <f>Sheet4!E12</f>
        <v>双頭Slv</v>
      </c>
      <c r="P3" s="10" t="str">
        <f>Sheet4!F12</f>
        <v>悪性Slv</v>
      </c>
      <c r="Q3" s="10" t="str">
        <f>Sheet4!G12</f>
        <v>横這Slv</v>
      </c>
      <c r="R3" s="10" t="str">
        <f>Sheet4!H12</f>
        <v>催眠Slv</v>
      </c>
      <c r="S3" s="10" t="str">
        <f>Sheet4!I12</f>
        <v>基底Slv</v>
      </c>
      <c r="T3" s="10" t="str">
        <f>Sheet4!J12</f>
        <v>誘導Slv</v>
      </c>
      <c r="U3" s="9" t="str">
        <f>Sheet4!K12</f>
        <v>宝革Slv</v>
      </c>
      <c r="V3" s="45" t="str">
        <f>Sheet4!L2</f>
        <v>ｵﾙｿﾞﾌの導き石</v>
      </c>
      <c r="W3" s="68" t="s">
        <v>163</v>
      </c>
      <c r="X3" s="66" t="str">
        <f>Sheet4!B20</f>
        <v>糾弾</v>
      </c>
      <c r="Y3" s="10" t="str">
        <f>Sheet4!C20</f>
        <v>宮殿の野の神</v>
      </c>
      <c r="Z3" s="10" t="str">
        <f>Sheet4!D20</f>
        <v>名誉の手</v>
      </c>
      <c r="AA3" s="10" t="str">
        <f>Sheet4!E20</f>
        <v>変わり身の勇士</v>
      </c>
      <c r="AB3" s="10" t="str">
        <f>Sheet4!F20</f>
        <v>羽軸Slv</v>
      </c>
      <c r="AC3" s="10" t="str">
        <f>Sheet4!G20</f>
        <v>義理に縛られし者､長雄</v>
      </c>
      <c r="AD3" s="10" t="str">
        <f>Sheet4!H20</f>
        <v>蝋燭の輝き</v>
      </c>
      <c r="AE3" s="10" t="str">
        <f>Sheet4!I20</f>
        <v>取り囲む地割れ</v>
      </c>
      <c r="AF3" s="10" t="str">
        <f>Sheet4!J20</f>
        <v>未練ある魂</v>
      </c>
      <c r="AG3" s="29" t="str">
        <f>Sheet4!K20</f>
        <v>払拭の光</v>
      </c>
      <c r="AH3" s="22" t="str">
        <f>Sheet4!B31</f>
        <v>Slv軍団</v>
      </c>
      <c r="AI3" s="61" t="str">
        <f>Sheet4!C31</f>
        <v>金之尾師範</v>
      </c>
      <c r="AJ3" s="61" t="str">
        <f>Sheet4!D31</f>
        <v>ﾍﾘｵｯﾄﾞの槍</v>
      </c>
      <c r="AK3" s="61" t="str">
        <f>Sheet4!E31</f>
        <v>侍の御大将､武野</v>
      </c>
      <c r="AL3" s="61" t="str">
        <f>Sheet4!F31</f>
        <v>神の怒り</v>
      </c>
      <c r="AM3" s="61" t="str">
        <f>Sheet4!G31</f>
        <v>修復の天使</v>
      </c>
      <c r="AN3" s="61" t="str">
        <f>Sheet4!H31</f>
        <v>天使の嗜み</v>
      </c>
      <c r="AO3" s="61" t="str">
        <f>Sheet4!I31</f>
        <v>族樹の精霊､ｱﾅﾌｪﾝｻﾞ</v>
      </c>
      <c r="AP3" s="61" t="str">
        <f>Sheet4!J31</f>
        <v>雄鹿の蹄の跡</v>
      </c>
      <c r="AQ3" s="63" t="str">
        <f>Sheet4!K31</f>
        <v>肺臓Slv</v>
      </c>
    </row>
    <row r="4" spans="1:43" s="4" customFormat="1" x14ac:dyDescent="0.15">
      <c r="A4" s="9">
        <v>2</v>
      </c>
      <c r="B4" s="13" t="str">
        <f>Sheet4!B3</f>
        <v>蛾乗りの侍</v>
      </c>
      <c r="C4" s="10" t="str">
        <f>Sheet4!C3</f>
        <v>すがりつくｲｿｷﾞﾝﾁｬｸ</v>
      </c>
      <c r="D4" s="10" t="str">
        <f>Sheet4!D3</f>
        <v>黒割れのｺﾞﾌﾞﾘﾝ</v>
      </c>
      <c r="E4" s="10" t="str">
        <f>Sheet4!E3</f>
        <v>熱血漢の聖戦士</v>
      </c>
      <c r="F4" s="10" t="str">
        <f>Sheet4!F3</f>
        <v>嚢胞抱え</v>
      </c>
      <c r="G4" s="10" t="str">
        <f>Sheet4!G3</f>
        <v>月明かりの徘徊者</v>
      </c>
      <c r="H4" s="10" t="str">
        <f>Sheet4!H3</f>
        <v>分離主義者の虚空魔道士</v>
      </c>
      <c r="I4" s="10" t="str">
        <f>Sheet4!I3</f>
        <v>とどめの一刺しのﾌｪｱﾘｰ</v>
      </c>
      <c r="J4" s="10" t="str">
        <f>Sheet4!J3</f>
        <v>鋳塊かじり</v>
      </c>
      <c r="K4" s="9" t="str">
        <f>Sheet4!K3</f>
        <v>彼方地のｴﾙﾌ</v>
      </c>
      <c r="L4" s="13" t="str">
        <f>Sheet4!B13</f>
        <v>絞首</v>
      </c>
      <c r="M4" s="10" t="str">
        <f>Sheet4!C13</f>
        <v>ｾﾞｸﾀｰ祭殿の探検</v>
      </c>
      <c r="N4" s="10" t="str">
        <f>Sheet4!D13</f>
        <v>新緑の安息所</v>
      </c>
      <c r="O4" s="10" t="str">
        <f>Sheet4!E13</f>
        <v>天羅至の叫び</v>
      </c>
      <c r="P4" s="10" t="str">
        <f>Sheet4!F13</f>
        <v>目的のための燃料</v>
      </c>
      <c r="Q4" s="10" t="str">
        <f>Sheet4!G13</f>
        <v>血の訴え</v>
      </c>
      <c r="R4" s="10" t="str">
        <f>Sheet4!H13</f>
        <v>ﾊﾟｰﾌｫﾛｽの激怒</v>
      </c>
      <c r="S4" s="10" t="str">
        <f>Sheet4!I13</f>
        <v>剛力化</v>
      </c>
      <c r="T4" s="10" t="str">
        <f>Sheet4!J13</f>
        <v>天使の贈り物</v>
      </c>
      <c r="U4" s="9" t="str">
        <f>Sheet4!K13</f>
        <v>計算された放逐</v>
      </c>
      <c r="V4" s="45" t="str">
        <f>Sheet4!L3</f>
        <v>ｲｾﾞｯﾄの導き石</v>
      </c>
      <c r="W4" s="68" t="s">
        <v>164</v>
      </c>
      <c r="X4" s="66" t="str">
        <f>Sheet4!B21</f>
        <v>念動Slv</v>
      </c>
      <c r="Y4" s="10" t="str">
        <f>Sheet4!C21</f>
        <v>ｼﾙﾑｶﾞﾙの魔術師</v>
      </c>
      <c r="Z4" s="10" t="str">
        <f>Sheet4!D21</f>
        <v>拭い捨て</v>
      </c>
      <c r="AA4" s="10" t="str">
        <f>Sheet4!E21</f>
        <v>意思の激突</v>
      </c>
      <c r="AB4" s="10" t="str">
        <f>Sheet4!F21</f>
        <v>ｻﾌｧｲｱのﾄﾞﾚｲｸ</v>
      </c>
      <c r="AC4" s="10" t="str">
        <f>Sheet4!G21</f>
        <v>思考の鈍化</v>
      </c>
      <c r="AD4" s="10" t="str">
        <f>Sheet4!H21</f>
        <v>沿岸の発見</v>
      </c>
      <c r="AE4" s="10" t="str">
        <f>Sheet4!I21</f>
        <v>ｱﾒｰﾊﾞの変わり身</v>
      </c>
      <c r="AF4" s="10" t="str">
        <f>Sheet4!J21</f>
        <v>ﾃｾﾞﾚｯﾄの計略</v>
      </c>
      <c r="AG4" s="29" t="str">
        <f>Sheet4!K21</f>
        <v>潮力の精霊</v>
      </c>
      <c r="AH4" s="22" t="str">
        <f>Sheet4!B32</f>
        <v>惑乱のｾｲﾚｰﾝ</v>
      </c>
      <c r="AI4" s="61" t="str">
        <f>Sheet4!C32</f>
        <v>巣石</v>
      </c>
      <c r="AJ4" s="61" t="str">
        <f>Sheet4!D32</f>
        <v>ｹﾃﾞﾚｸﾄのﾘﾊﾞｲｱｻﾝ</v>
      </c>
      <c r="AK4" s="61" t="str">
        <f>Sheet4!E32</f>
        <v>変位の波</v>
      </c>
      <c r="AL4" s="61" t="str">
        <f>Sheet4!F32</f>
        <v>永劫の年代史家</v>
      </c>
      <c r="AM4" s="61" t="str">
        <f>Sheet4!G32</f>
        <v>大笑いの写し身</v>
      </c>
      <c r="AN4" s="61" t="str">
        <f>Sheet4!H32</f>
        <v>心霊Slv</v>
      </c>
      <c r="AO4" s="61" t="str">
        <f>Sheet4!I32</f>
        <v>風への散乱</v>
      </c>
      <c r="AP4" s="61" t="str">
        <f>Sheet4!J32</f>
        <v>潮流の先駆け</v>
      </c>
      <c r="AQ4" s="63" t="str">
        <f>Sheet4!K32</f>
        <v>複製の儀式</v>
      </c>
    </row>
    <row r="5" spans="1:43" s="4" customFormat="1" x14ac:dyDescent="0.15">
      <c r="A5" s="9">
        <v>3</v>
      </c>
      <c r="B5" s="13" t="str">
        <f>Sheet4!B4</f>
        <v>狐の明け刃</v>
      </c>
      <c r="C5" s="10" t="str">
        <f>Sheet4!C4</f>
        <v>ﾍﾘｳﾑ噴射獣</v>
      </c>
      <c r="D5" s="10" t="str">
        <f>Sheet4!D4</f>
        <v>吐毒Slv</v>
      </c>
      <c r="E5" s="10" t="str">
        <f>Sheet4!E4</f>
        <v>霜剣山の呪刃</v>
      </c>
      <c r="F5" s="10" t="str">
        <f>Sheet4!F4</f>
        <v>荒廃後家蜘蛛</v>
      </c>
      <c r="G5" s="10" t="str">
        <f>Sheet4!G4</f>
        <v>ﾑｰｱﾗﾝﾄﾞの流れ者</v>
      </c>
      <c r="H5" s="10" t="str">
        <f>Sheet4!H4</f>
        <v>熟考漂い</v>
      </c>
      <c r="I5" s="10" t="str">
        <f>Sheet4!I4</f>
        <v>遠沼の亡霊</v>
      </c>
      <c r="J5" s="10" t="str">
        <f>Sheet4!J4</f>
        <v>反抗するｵｰｶﾞ</v>
      </c>
      <c r="K5" s="9" t="str">
        <f>Sheet4!K4</f>
        <v>道壊しﾜｰﾑ</v>
      </c>
      <c r="L5" s="13" t="str">
        <f>Sheet4!B14</f>
        <v>弱者狩り</v>
      </c>
      <c r="M5" s="10" t="str">
        <f>Sheet4!C14</f>
        <v>信仰の足枷</v>
      </c>
      <c r="N5" s="10" t="str">
        <f>Sheet4!D14</f>
        <v>輝く光波</v>
      </c>
      <c r="O5" s="10" t="str">
        <f>Sheet4!E14</f>
        <v>骨読み</v>
      </c>
      <c r="P5" s="10" t="str">
        <f>Sheet4!F14</f>
        <v>構造のひずみ</v>
      </c>
      <c r="Q5" s="10" t="str">
        <f>Sheet4!G14</f>
        <v>帰化</v>
      </c>
      <c r="R5" s="10" t="str">
        <f>Sheet4!H14</f>
        <v>真っ逆さま</v>
      </c>
      <c r="S5" s="10" t="str">
        <f>Sheet4!I14</f>
        <v>着実な進歩</v>
      </c>
      <c r="T5" s="10" t="str">
        <f>Sheet4!J14</f>
        <v>忌まわしい容貌</v>
      </c>
      <c r="U5" s="9" t="str">
        <f>Sheet4!K14</f>
        <v>信仰無き物あさり</v>
      </c>
      <c r="V5" s="45" t="str">
        <f>Sheet4!L4</f>
        <v>ｺﾞﾙｶﾞﾘの導き石</v>
      </c>
      <c r="W5" s="68" t="s">
        <v>165</v>
      </c>
      <c r="X5" s="66" t="str">
        <f>Sheet4!B22</f>
        <v>影の中の貪り</v>
      </c>
      <c r="Y5" s="10" t="str">
        <f>Sheet4!C22</f>
        <v>増え続ける荒廃</v>
      </c>
      <c r="Z5" s="10" t="str">
        <f>Sheet4!D22</f>
        <v>胆液の鼠</v>
      </c>
      <c r="AA5" s="10" t="str">
        <f>Sheet4!E22</f>
        <v>忌まわしい笑い</v>
      </c>
      <c r="AB5" s="10" t="str">
        <f>Sheet4!F22</f>
        <v>幽霊の変わり身</v>
      </c>
      <c r="AC5" s="10" t="str">
        <f>Sheet4!G22</f>
        <v>悪意に満ちた蘇りし者</v>
      </c>
      <c r="AD5" s="10" t="str">
        <f>Sheet4!H22</f>
        <v>蔑み</v>
      </c>
      <c r="AE5" s="10" t="str">
        <f>Sheet4!I22</f>
        <v>膿の神</v>
      </c>
      <c r="AF5" s="10" t="str">
        <f>Sheet4!J22</f>
        <v>吸血Slv</v>
      </c>
      <c r="AG5" s="29" t="str">
        <f>Sheet4!K22</f>
        <v>隷属</v>
      </c>
      <c r="AH5" s="22" t="str">
        <f>Sheet4!B33</f>
        <v>英雄の破滅</v>
      </c>
      <c r="AI5" s="61" t="str">
        <f>Sheet4!C33</f>
        <v>法務官の手</v>
      </c>
      <c r="AJ5" s="61" t="str">
        <f>Sheet4!D33</f>
        <v>精霊信者の剣</v>
      </c>
      <c r="AK5" s="61" t="str">
        <f>Sheet4!E33</f>
        <v>ｽｶｰｽﾀﾞｸﾞの高僧</v>
      </c>
      <c r="AL5" s="61" t="str">
        <f>Sheet4!F33</f>
        <v>奸謀</v>
      </c>
      <c r="AM5" s="61" t="str">
        <f>Sheet4!G33</f>
        <v>疫病Slv</v>
      </c>
      <c r="AN5" s="61" t="str">
        <f>Sheet4!H33</f>
        <v>魂の捕縛</v>
      </c>
      <c r="AO5" s="61" t="str">
        <f>Sheet4!I33</f>
        <v>飢えたるもの､卑堕硫</v>
      </c>
      <c r="AP5" s="61" t="str">
        <f>Sheet4!J33</f>
        <v>黒の太陽の頂点</v>
      </c>
      <c r="AQ5" s="63" t="str">
        <f>Sheet4!K33</f>
        <v>墓忍び</v>
      </c>
    </row>
    <row r="6" spans="1:43" s="4" customFormat="1" x14ac:dyDescent="0.15">
      <c r="A6" s="9">
        <v>4</v>
      </c>
      <c r="B6" s="13" t="str">
        <f>Sheet4!B5</f>
        <v>突風の漂い</v>
      </c>
      <c r="C6" s="10" t="str">
        <f>Sheet4!C5</f>
        <v>ﾏｰﾌｫｰｸの物あさり</v>
      </c>
      <c r="D6" s="10" t="str">
        <f>Sheet4!D5</f>
        <v>毒の屍賊</v>
      </c>
      <c r="E6" s="10" t="str">
        <f>Sheet4!E5</f>
        <v>鉱夫の破滅</v>
      </c>
      <c r="F6" s="10" t="str">
        <f>Sheet4!F5</f>
        <v>反射Slv</v>
      </c>
      <c r="G6" s="10" t="str">
        <f>Sheet4!G5</f>
        <v>探検の猛禽</v>
      </c>
      <c r="H6" s="10" t="str">
        <f>Sheet4!H5</f>
        <v>同期Slv</v>
      </c>
      <c r="I6" s="10" t="str">
        <f>Sheet4!I5</f>
        <v>小走りの死神</v>
      </c>
      <c r="J6" s="10" t="str">
        <f>Sheet4!J5</f>
        <v>乱打Slv</v>
      </c>
      <c r="K6" s="9" t="str">
        <f>Sheet4!K5</f>
        <v>順応する跳ね顎</v>
      </c>
      <c r="L6" s="13" t="str">
        <f>Sheet4!B15</f>
        <v>盲目の狩人</v>
      </c>
      <c r="M6" s="10" t="str">
        <f>Sheet4!C15</f>
        <v>裏返し</v>
      </c>
      <c r="N6" s="10" t="str">
        <f>Sheet4!D15</f>
        <v>神性の贈り物</v>
      </c>
      <c r="O6" s="10" t="str">
        <f>Sheet4!E15</f>
        <v>ヴｨｰｱｼｰﾉの初太刀</v>
      </c>
      <c r="P6" s="10" t="str">
        <f>Sheet4!F15</f>
        <v>罠顎のｹﾙﾋﾟｰ</v>
      </c>
      <c r="Q6" s="10" t="str">
        <f>Sheet4!G15</f>
        <v>御身の刃</v>
      </c>
      <c r="R6" s="10" t="str">
        <f>Sheet4!H15</f>
        <v>天主の勢力</v>
      </c>
      <c r="S6" s="10" t="str">
        <f>Sheet4!I15</f>
        <v>忌まわしい回収</v>
      </c>
      <c r="T6" s="10" t="str">
        <f>Sheet4!J15</f>
        <v>ﾎﾞﾛｽの補充兵</v>
      </c>
      <c r="U6" s="9" t="str">
        <f>Sheet4!K15</f>
        <v>生体変化</v>
      </c>
      <c r="V6" s="45" t="str">
        <f>Sheet4!L5</f>
        <v>ﾎﾞﾛｽの導き石</v>
      </c>
      <c r="W6" s="68" t="s">
        <v>166</v>
      </c>
      <c r="X6" s="66" t="str">
        <f>Sheet4!B23</f>
        <v>残忍な稲妻</v>
      </c>
      <c r="Y6" s="10" t="str">
        <f>Sheet4!C23</f>
        <v>紅蓮地獄</v>
      </c>
      <c r="Z6" s="10" t="str">
        <f>Sheet4!D23</f>
        <v>憤怒Slv</v>
      </c>
      <c r="AA6" s="10" t="str">
        <f>Sheet4!E23</f>
        <v>変わり身の狂戦士</v>
      </c>
      <c r="AB6" s="10" t="str">
        <f>Sheet4!F23</f>
        <v>手綱取り</v>
      </c>
      <c r="AC6" s="10" t="str">
        <f>Sheet4!G23</f>
        <v>攻撃の元型</v>
      </c>
      <c r="AD6" s="10" t="str">
        <f>Sheet4!H23</f>
        <v>捨て身の儀式</v>
      </c>
      <c r="AE6" s="10" t="str">
        <f>Sheet4!I23</f>
        <v>血暴れの巨人</v>
      </c>
      <c r="AF6" s="10" t="str">
        <f>Sheet4!J23</f>
        <v>溶岩核の精霊</v>
      </c>
      <c r="AG6" s="29" t="str">
        <f>Sheet4!K23</f>
        <v>嵐血の狂戦士</v>
      </c>
      <c r="AH6" s="22" t="str">
        <f>Sheet4!B34</f>
        <v>白熱の魂炊き</v>
      </c>
      <c r="AI6" s="61" t="str">
        <f>Sheet4!C34</f>
        <v>怒りの反射</v>
      </c>
      <c r="AJ6" s="61" t="str">
        <f>Sheet4!D34</f>
        <v>士気溢れる徴集兵</v>
      </c>
      <c r="AK6" s="61" t="str">
        <f>Sheet4!E34</f>
        <v>ﾀﾐﾖｳの日誌</v>
      </c>
      <c r="AL6" s="61" t="str">
        <f>Sheet4!F34</f>
        <v>卑血の芙巳子</v>
      </c>
      <c r="AM6" s="61" t="str">
        <f>Sheet4!G34</f>
        <v>ﾐｼﾞｳﾑの迫撃砲</v>
      </c>
      <c r="AN6" s="61" t="str">
        <f>Sheet4!H34</f>
        <v>ｼヴ山のﾄﾞﾗｺﾞﾝ</v>
      </c>
      <c r="AO6" s="61" t="str">
        <f>Sheet4!I34</f>
        <v>悪魔火</v>
      </c>
      <c r="AP6" s="61" t="str">
        <f>Sheet4!J34</f>
        <v>菅草Slv</v>
      </c>
      <c r="AQ6" s="63" t="str">
        <f>Sheet4!K34</f>
        <v>心魂破</v>
      </c>
    </row>
    <row r="7" spans="1:43" s="4" customFormat="1" x14ac:dyDescent="0.15">
      <c r="A7" s="9">
        <v>5</v>
      </c>
      <c r="B7" s="13" t="str">
        <f>Sheet4!B6</f>
        <v>筋力Slv</v>
      </c>
      <c r="C7" s="10" t="str">
        <f>Sheet4!C6</f>
        <v>ｴｲヴﾝの偵察兵</v>
      </c>
      <c r="D7" s="10" t="str">
        <f>Sheet4!D6</f>
        <v>ﾏﾙﾄﾞｩの頭蓋狩り</v>
      </c>
      <c r="E7" s="10" t="str">
        <f>Sheet4!E6</f>
        <v>ｱﾀﾙｶのｲﾌﾘｰﾄ</v>
      </c>
      <c r="F7" s="10" t="str">
        <f>Sheet4!F6</f>
        <v>甲鱗のﾜｰﾑ</v>
      </c>
      <c r="G7" s="10" t="str">
        <f>Sheet4!G6</f>
        <v>薄れ馬</v>
      </c>
      <c r="H7" s="10" t="str">
        <f>Sheet4!H6</f>
        <v>氷河の壊し屋</v>
      </c>
      <c r="I7" s="10" t="str">
        <f>Sheet4!I6</f>
        <v>朽ちゆくﾈｽﾞﾐ</v>
      </c>
      <c r="J7" s="10" t="str">
        <f>Sheet4!J6</f>
        <v>ｱｸﾛｽの兵長</v>
      </c>
      <c r="K7" s="9" t="str">
        <f>Sheet4!K6</f>
        <v>確約の神主</v>
      </c>
      <c r="L7" s="13" t="str">
        <f>Sheet4!B16</f>
        <v>亡霊招き</v>
      </c>
      <c r="M7" s="10" t="str">
        <f>Sheet4!C16</f>
        <v>本質の反発</v>
      </c>
      <c r="N7" s="10" t="str">
        <f>Sheet4!D16</f>
        <v>冒涜するﾊｯｸﾞ</v>
      </c>
      <c r="O7" s="10" t="str">
        <f>Sheet4!E16</f>
        <v>貴神の神罰</v>
      </c>
      <c r="P7" s="10" t="str">
        <f>Sheet4!F16</f>
        <v>ヴｨｸﾞの水植物</v>
      </c>
      <c r="Q7" s="10" t="str">
        <f>Sheet4!G16</f>
        <v>酷評</v>
      </c>
      <c r="R7" s="10" t="str">
        <f>Sheet4!H16</f>
        <v>ｺﾞﾌﾞﾘﾝの電術師</v>
      </c>
      <c r="S7" s="10" t="str">
        <f>Sheet4!I16</f>
        <v>水路の蠍</v>
      </c>
      <c r="T7" s="10" t="str">
        <f>Sheet4!J16</f>
        <v>ｳｫｼﾞｪｸの矛槍兵</v>
      </c>
      <c r="U7" s="9" t="str">
        <f>Sheet4!K16</f>
        <v>とぐろ巻きの巫女</v>
      </c>
      <c r="V7" s="45" t="str">
        <f>Sheet4!L6</f>
        <v>ｼﾐｯｸの導き石</v>
      </c>
      <c r="W7" s="68" t="s">
        <v>167</v>
      </c>
      <c r="X7" s="66" t="str">
        <f>Sheet4!B24</f>
        <v>実験体</v>
      </c>
      <c r="Y7" s="10" t="str">
        <f>Sheet4!C24</f>
        <v>変わり身のﾀｲﾀﾝ</v>
      </c>
      <c r="Z7" s="10" t="str">
        <f>Sheet4!D24</f>
        <v>大軍の功績</v>
      </c>
      <c r="AA7" s="10" t="str">
        <f>Sheet4!E24</f>
        <v>樹海の胴</v>
      </c>
      <c r="AB7" s="10" t="str">
        <f>Sheet4!F24</f>
        <v>ｶﾙ･ｼｽﾏの風</v>
      </c>
      <c r="AC7" s="10" t="str">
        <f>Sheet4!G24</f>
        <v>脊柱噛み</v>
      </c>
      <c r="AD7" s="10" t="str">
        <f>Sheet4!H24</f>
        <v>増力Slv</v>
      </c>
      <c r="AE7" s="10" t="str">
        <f>Sheet4!I24</f>
        <v>杉の力</v>
      </c>
      <c r="AF7" s="10" t="str">
        <f>Sheet4!J24</f>
        <v>爆発的植生</v>
      </c>
      <c r="AG7" s="29" t="str">
        <f>Sheet4!K24</f>
        <v>ｱﾅの戦闘魔道士</v>
      </c>
      <c r="AH7" s="22" t="str">
        <f>Sheet4!B35</f>
        <v>起源の波</v>
      </c>
      <c r="AI7" s="61" t="str">
        <f>Sheet4!C35</f>
        <v>極楽鳥</v>
      </c>
      <c r="AJ7" s="61" t="str">
        <f>Sheet4!D35</f>
        <v>硬化した鱗</v>
      </c>
      <c r="AK7" s="61" t="str">
        <f>Sheet4!E35</f>
        <v>放浪する森林</v>
      </c>
      <c r="AL7" s="61" t="str">
        <f>Sheet4!F35</f>
        <v>真面目な身代わり</v>
      </c>
      <c r="AM7" s="61" t="str">
        <f>Sheet4!G35</f>
        <v>菌類Slv</v>
      </c>
      <c r="AN7" s="61" t="str">
        <f>Sheet4!H35</f>
        <v>ｾﾃｯｻ式戦術</v>
      </c>
      <c r="AO7" s="61" t="str">
        <f>Sheet4!I35</f>
        <v>ｺﾞﾙｶﾞﾘの墓ﾄﾛｰﾙ</v>
      </c>
      <c r="AP7" s="61" t="str">
        <f>Sheet4!J35</f>
        <v>ﾆｯｻの復興</v>
      </c>
      <c r="AQ7" s="63" t="str">
        <f>Sheet4!K35</f>
        <v>ﾌｧｲﾚｸｼｱの群れの王</v>
      </c>
    </row>
    <row r="8" spans="1:43" s="4" customFormat="1" x14ac:dyDescent="0.15">
      <c r="A8" s="9">
        <v>6</v>
      </c>
      <c r="B8" s="13" t="str">
        <f>Sheet4!B7</f>
        <v>二人戦術</v>
      </c>
      <c r="C8" s="10" t="str">
        <f>Sheet4!C7</f>
        <v>否認</v>
      </c>
      <c r="D8" s="10" t="str">
        <f>Sheet4!D7</f>
        <v>ﾌｧｲﾚｸｼｱ化</v>
      </c>
      <c r="E8" s="10" t="str">
        <f>Sheet4!E7</f>
        <v>ﾗｯﾊﾟの一吹き</v>
      </c>
      <c r="F8" s="10" t="str">
        <f>Sheet4!F7</f>
        <v>木霊の手の内</v>
      </c>
      <c r="G8" s="10" t="str">
        <f>Sheet4!G7</f>
        <v>三つぞろいの霊魂</v>
      </c>
      <c r="H8" s="10" t="str">
        <f>Sheet4!H7</f>
        <v>掴み掛かる水流</v>
      </c>
      <c r="I8" s="10" t="str">
        <f>Sheet4!I7</f>
        <v>死の重み</v>
      </c>
      <c r="J8" s="10" t="str">
        <f>Sheet4!J7</f>
        <v>沸き立つ大地</v>
      </c>
      <c r="K8" s="9" t="str">
        <f>Sheet4!K7</f>
        <v>刻みを継ぐもの</v>
      </c>
      <c r="L8" s="13" t="str">
        <f>Sheet4!B17</f>
        <v>哀悼のｽﾗﾙ</v>
      </c>
      <c r="M8" s="10" t="str">
        <f>Sheet4!C17</f>
        <v>凍結燃焼の奇魔</v>
      </c>
      <c r="N8" s="10" t="str">
        <f>Sheet4!D17</f>
        <v>よろめく殻</v>
      </c>
      <c r="O8" s="10" t="str">
        <f>Sheet4!E17</f>
        <v>二度裂き</v>
      </c>
      <c r="P8" s="10" t="str">
        <f>Sheet4!F17</f>
        <v>超者の意向</v>
      </c>
      <c r="Q8" s="10" t="str">
        <f>Sheet4!G17</f>
        <v>重要人物のﾍﾟｯﾄ</v>
      </c>
      <c r="R8" s="10" t="str">
        <f>Sheet4!H17</f>
        <v>ｲｾﾞｯﾄの時術師</v>
      </c>
      <c r="S8" s="10" t="str">
        <f>Sheet4!I17</f>
        <v>ｺﾞﾙｺﾞﾝの凝視</v>
      </c>
      <c r="T8" s="10" t="str">
        <f>Sheet4!J17</f>
        <v>戦乱の閃光</v>
      </c>
      <c r="U8" s="9" t="str">
        <f>Sheet4!K17</f>
        <v>天上の待ち伏せ</v>
      </c>
      <c r="V8" s="45" t="str">
        <f>Sheet4!L7</f>
        <v>心鍛のｺﾞｰﾚﾑ</v>
      </c>
      <c r="W8" s="68" t="s">
        <v>163</v>
      </c>
      <c r="X8" s="66" t="str">
        <f>Sheet4!B25</f>
        <v>乳白Slv</v>
      </c>
      <c r="Y8" s="10" t="str">
        <f>Sheet4!C25</f>
        <v>狂気Slv</v>
      </c>
      <c r="Z8" s="10" t="str">
        <f>Sheet4!D25</f>
        <v>霊炎Slv</v>
      </c>
      <c r="AA8" s="10" t="str">
        <f>Sheet4!E25</f>
        <v>火跡Slv</v>
      </c>
      <c r="AB8" s="10" t="str">
        <f>Sheet4!F25</f>
        <v>調和Slv</v>
      </c>
      <c r="AC8" s="10" t="str">
        <f>Sheet4!G25</f>
        <v>壊死Slv</v>
      </c>
      <c r="AD8" s="10" t="str">
        <f>Sheet4!H25</f>
        <v>熱狂Slv</v>
      </c>
      <c r="AE8" s="10" t="str">
        <f>Sheet4!I25</f>
        <v>暗心Slv</v>
      </c>
      <c r="AF8" s="10" t="str">
        <f>Sheet4!J25</f>
        <v>焼灼Slv</v>
      </c>
      <c r="AG8" s="29" t="str">
        <f>Sheet4!K25</f>
        <v>休眠Slv</v>
      </c>
      <c r="AH8" s="22" t="str">
        <f>Sheet4!B36</f>
        <v>空砕きの呼び声</v>
      </c>
      <c r="AI8" s="61" t="str">
        <f>Sheet4!C36</f>
        <v>ｵﾙｿﾞﾌの御曹子､ﾃｲｻ</v>
      </c>
      <c r="AJ8" s="61" t="str">
        <f>Sheet4!D36</f>
        <v>花崗岩の凝視</v>
      </c>
      <c r="AK8" s="61" t="str">
        <f>Sheet4!E36</f>
        <v>炎まといの報復者</v>
      </c>
      <c r="AL8" s="61" t="str">
        <f>Sheet4!F36</f>
        <v>ｵﾌﾞｾﾞﾀﾞｰﾄの救済</v>
      </c>
      <c r="AM8" s="61" t="str">
        <f>Sheet4!G36</f>
        <v>もう一人の自分</v>
      </c>
      <c r="AN8" s="61" t="str">
        <f>Sheet4!H36</f>
        <v>対抗変転</v>
      </c>
      <c r="AO8" s="61" t="str">
        <f>Sheet4!I36</f>
        <v>ｼﾞｬﾗﾄﾞの命令</v>
      </c>
      <c r="AP8" s="61" t="str">
        <f>Sheet4!J36</f>
        <v>軍勢の集結</v>
      </c>
      <c r="AQ8" s="63" t="str">
        <f>Sheet4!K36</f>
        <v>白日の下に</v>
      </c>
    </row>
    <row r="9" spans="1:43" s="4" customFormat="1" x14ac:dyDescent="0.15">
      <c r="A9" s="9">
        <v>7</v>
      </c>
      <c r="B9" s="13" t="str">
        <f>Sheet4!B8</f>
        <v>安全な道</v>
      </c>
      <c r="C9" s="10" t="str">
        <f>Sheet4!C8</f>
        <v>閉所恐怖症</v>
      </c>
      <c r="D9" s="10" t="str">
        <f>Sheet4!D8</f>
        <v>影切り</v>
      </c>
      <c r="E9" s="10" t="str">
        <f>Sheet4!E8</f>
        <v>感電の弧炎</v>
      </c>
      <c r="F9" s="10" t="str">
        <f>Sheet4!F8</f>
        <v>ﾋﾟｽﾀｽの一撃</v>
      </c>
      <c r="G9" s="10" t="str">
        <f>Sheet4!G8</f>
        <v>必殺の一射</v>
      </c>
      <c r="H9" s="10" t="str">
        <f>Sheet4!H8</f>
        <v>未達の目</v>
      </c>
      <c r="I9" s="10" t="str">
        <f>Sheet4!I8</f>
        <v>闇への追放</v>
      </c>
      <c r="J9" s="10" t="str">
        <f>Sheet4!J8</f>
        <v>氷河の光線</v>
      </c>
      <c r="K9" s="9" t="str">
        <f>Sheet4!K8</f>
        <v>不屈の自然</v>
      </c>
      <c r="L9" s="13" t="str">
        <f>L3</f>
        <v>血清Slv</v>
      </c>
      <c r="M9" s="10" t="str">
        <f t="shared" ref="M9:U9" si="0">M3</f>
        <v>陰影Slv</v>
      </c>
      <c r="N9" s="10" t="str">
        <f t="shared" si="0"/>
        <v>激情Slv</v>
      </c>
      <c r="O9" s="10" t="str">
        <f t="shared" si="0"/>
        <v>双頭Slv</v>
      </c>
      <c r="P9" s="10" t="str">
        <f t="shared" si="0"/>
        <v>悪性Slv</v>
      </c>
      <c r="Q9" s="10" t="str">
        <f t="shared" si="0"/>
        <v>横這Slv</v>
      </c>
      <c r="R9" s="10" t="str">
        <f t="shared" si="0"/>
        <v>催眠Slv</v>
      </c>
      <c r="S9" s="10" t="str">
        <f t="shared" si="0"/>
        <v>基底Slv</v>
      </c>
      <c r="T9" s="10" t="str">
        <f t="shared" si="0"/>
        <v>誘導Slv</v>
      </c>
      <c r="U9" s="9" t="str">
        <f t="shared" si="0"/>
        <v>宝革Slv</v>
      </c>
      <c r="V9" s="45" t="str">
        <f>Sheet4!L8</f>
        <v>ｳﾙ=ｺﾞｰﾚﾑの目</v>
      </c>
      <c r="W9" s="68" t="s">
        <v>164</v>
      </c>
      <c r="X9" s="66" t="str">
        <f>Sheet4!B26</f>
        <v>大食の雛</v>
      </c>
      <c r="Y9" s="10" t="str">
        <f>Sheet4!C26</f>
        <v>ｲｾﾞｯﾄの魔除け</v>
      </c>
      <c r="Z9" s="10" t="str">
        <f>Sheet4!D26</f>
        <v>有毒の雛</v>
      </c>
      <c r="AA9" s="10" t="str">
        <f>Sheet4!E26</f>
        <v>先導者のらせん</v>
      </c>
      <c r="AB9" s="10" t="str">
        <f>Sheet4!F26</f>
        <v>頑丈な雛</v>
      </c>
      <c r="AC9" s="10" t="str">
        <f>Sheet4!G26</f>
        <v>屈辱</v>
      </c>
      <c r="AD9" s="10" t="str">
        <f>Sheet4!H26</f>
        <v>明敏な雛</v>
      </c>
      <c r="AE9" s="10" t="str">
        <f>Sheet4!I26</f>
        <v>死の激情</v>
      </c>
      <c r="AF9" s="10" t="str">
        <f>Sheet4!J26</f>
        <v>好戦的な雛</v>
      </c>
      <c r="AG9" s="29" t="str">
        <f>Sheet4!K26</f>
        <v>空乗りのｴﾙﾌ</v>
      </c>
      <c r="AH9" s="22" t="str">
        <f>Sheet4!B37</f>
        <v>ﾏﾅの合流点</v>
      </c>
      <c r="AI9" s="61" t="str">
        <f>Sheet4!C37</f>
        <v>ｽﾘヴｧｰの巣</v>
      </c>
      <c r="AJ9" s="61" t="str">
        <f>Sheet4!D37</f>
        <v>狩るものヴｫﾗｼｭ</v>
      </c>
      <c r="AK9" s="61" t="str">
        <f>Sheet4!E37</f>
        <v>ﾆｸｿｽ</v>
      </c>
      <c r="AL9" s="61" t="str">
        <f>Sheet4!F37</f>
        <v>戦の大聖堂</v>
      </c>
      <c r="AM9" s="61" t="str">
        <f>Sheet4!G37</f>
        <v>墨蛾の生息地</v>
      </c>
      <c r="AN9" s="61" t="str">
        <f>Sheet4!H37</f>
        <v>夢見るものｲﾝﾃｯﾄ</v>
      </c>
      <c r="AO9" s="61" t="str">
        <f>Sheet4!I37</f>
        <v>壊滅させるものﾇｰﾏｯﾄ</v>
      </c>
      <c r="AP9" s="61" t="str">
        <f>Sheet4!J37</f>
        <v>収穫するものﾃﾈﾌﾞ</v>
      </c>
      <c r="AQ9" s="63" t="str">
        <f>Sheet4!K37</f>
        <v>報復するものｵﾛｽ</v>
      </c>
    </row>
    <row r="10" spans="1:43" s="4" customFormat="1" x14ac:dyDescent="0.15">
      <c r="A10" s="9">
        <v>8</v>
      </c>
      <c r="B10" s="45" t="str">
        <f>B3</f>
        <v>狐の刃遣い</v>
      </c>
      <c r="C10" s="10" t="str">
        <f t="shared" ref="C10:K10" si="1">C3</f>
        <v>かき鳴らし鳥</v>
      </c>
      <c r="D10" s="10" t="str">
        <f t="shared" si="1"/>
        <v>疫病のとげ刺し</v>
      </c>
      <c r="E10" s="10" t="str">
        <f t="shared" si="1"/>
        <v>戦に狂える浪人</v>
      </c>
      <c r="F10" s="10" t="str">
        <f t="shared" si="1"/>
        <v>荒廃のﾏﾝﾊﾞ</v>
      </c>
      <c r="G10" s="10" t="str">
        <f t="shared" si="1"/>
        <v>霧のﾆﾌﾞﾘｽ</v>
      </c>
      <c r="H10" s="10" t="str">
        <f t="shared" si="1"/>
        <v>上昇気流の精霊</v>
      </c>
      <c r="I10" s="10" t="str">
        <f t="shared" si="1"/>
        <v>ｸﾞﾚｲﾌﾞﾃﾞｨｶﾞｰ</v>
      </c>
      <c r="J10" s="10" t="str">
        <f t="shared" si="1"/>
        <v>煙束ね</v>
      </c>
      <c r="K10" s="60" t="str">
        <f t="shared" si="1"/>
        <v>黄金の木立ちの蛇</v>
      </c>
      <c r="L10" s="13" t="str">
        <f t="shared" ref="L10:U10" si="2">L4</f>
        <v>絞首</v>
      </c>
      <c r="M10" s="10" t="str">
        <f t="shared" si="2"/>
        <v>ｾﾞｸﾀｰ祭殿の探検</v>
      </c>
      <c r="N10" s="10" t="str">
        <f t="shared" si="2"/>
        <v>新緑の安息所</v>
      </c>
      <c r="O10" s="10" t="str">
        <f t="shared" si="2"/>
        <v>天羅至の叫び</v>
      </c>
      <c r="P10" s="10" t="str">
        <f t="shared" si="2"/>
        <v>目的のための燃料</v>
      </c>
      <c r="Q10" s="10" t="str">
        <f t="shared" si="2"/>
        <v>血の訴え</v>
      </c>
      <c r="R10" s="10" t="str">
        <f t="shared" si="2"/>
        <v>ﾊﾟｰﾌｫﾛｽの激怒</v>
      </c>
      <c r="S10" s="10" t="str">
        <f t="shared" si="2"/>
        <v>剛力化</v>
      </c>
      <c r="T10" s="10" t="str">
        <f t="shared" si="2"/>
        <v>天使の贈り物</v>
      </c>
      <c r="U10" s="9" t="str">
        <f t="shared" si="2"/>
        <v>計算された放逐</v>
      </c>
      <c r="V10" s="45" t="str">
        <f>Sheet4!L9</f>
        <v>空に届くﾏﾝﾀ</v>
      </c>
      <c r="W10" s="68" t="s">
        <v>165</v>
      </c>
      <c r="X10" s="66" t="str">
        <f>Sheet4!B27</f>
        <v>ｾﾗの天使</v>
      </c>
      <c r="Y10" s="10" t="str">
        <f>Sheet4!C27</f>
        <v>利得+損失</v>
      </c>
      <c r="Z10" s="10" t="str">
        <f>Sheet4!D27</f>
        <v>雲変化</v>
      </c>
      <c r="AA10" s="10" t="str">
        <f>Sheet4!E27</f>
        <v>変化+点火</v>
      </c>
      <c r="AB10" s="10" t="str">
        <f>Sheet4!F27</f>
        <v>戦慄の復活</v>
      </c>
      <c r="AC10" s="10" t="str">
        <f>Sheet4!G27</f>
        <v>有害+不潔</v>
      </c>
      <c r="AD10" s="10" t="str">
        <f>Sheet4!H27</f>
        <v>山崎兄弟</v>
      </c>
      <c r="AE10" s="10" t="str">
        <f>Sheet4!I27</f>
        <v>摩耗+損耗</v>
      </c>
      <c r="AF10" s="10" t="str">
        <f>Sheet4!J27</f>
        <v>怒りの発散</v>
      </c>
      <c r="AG10" s="29" t="str">
        <f>Sheet4!K27</f>
        <v>投与+享受</v>
      </c>
      <c r="AH10" s="22" t="str">
        <f>Sheet4!B38</f>
        <v>永岩城の君主､今田</v>
      </c>
      <c r="AI10" s="61" t="str">
        <f>Sheet4!C38</f>
        <v>ｼﾞｪｲｽ･ﾍﾞﾚﾚﾝ</v>
      </c>
      <c r="AJ10" s="61" t="str">
        <f>Sheet4!D38</f>
        <v>荒廃のﾄﾞﾗｺﾞﾝ､ｽｷｼﾞﾘｸｽ</v>
      </c>
      <c r="AK10" s="61" t="str">
        <f>Sheet4!E38</f>
        <v>ﾁｬﾝﾄﾞﾗ･ﾅﾗｰ</v>
      </c>
      <c r="AL10" s="61" t="str">
        <f>Sheet4!F38</f>
        <v>世界を喰らう者､ﾎﾟﾙｸﾗﾉｽ</v>
      </c>
      <c r="AM10" s="61" t="str">
        <f>Sheet4!G38</f>
        <v>黄金たてがみのｱｼﾞｬﾆ</v>
      </c>
      <c r="AN10" s="61" t="str">
        <f>Sheet4!H38</f>
        <v>波使い</v>
      </c>
      <c r="AO10" s="61" t="str">
        <f>Sheet4!I38</f>
        <v>ﾘﾘｱﾅ･ヴｪｽ</v>
      </c>
      <c r="AP10" s="61" t="str">
        <f>Sheet4!J38</f>
        <v>忌むべき者のかがり火</v>
      </c>
      <c r="AQ10" s="63" t="str">
        <f>Sheet4!K38</f>
        <v>野生語りのｶﾞﾗｸ</v>
      </c>
    </row>
    <row r="11" spans="1:43" s="4" customFormat="1" x14ac:dyDescent="0.15">
      <c r="A11" s="27">
        <v>9</v>
      </c>
      <c r="B11" s="45" t="str">
        <f t="shared" ref="B11:K11" si="3">B4</f>
        <v>蛾乗りの侍</v>
      </c>
      <c r="C11" s="10" t="str">
        <f t="shared" si="3"/>
        <v>すがりつくｲｿｷﾞﾝﾁｬｸ</v>
      </c>
      <c r="D11" s="10" t="str">
        <f t="shared" si="3"/>
        <v>黒割れのｺﾞﾌﾞﾘﾝ</v>
      </c>
      <c r="E11" s="10" t="str">
        <f t="shared" si="3"/>
        <v>熱血漢の聖戦士</v>
      </c>
      <c r="F11" s="10" t="str">
        <f t="shared" si="3"/>
        <v>嚢胞抱え</v>
      </c>
      <c r="G11" s="10" t="str">
        <f t="shared" si="3"/>
        <v>月明かりの徘徊者</v>
      </c>
      <c r="H11" s="10" t="str">
        <f t="shared" si="3"/>
        <v>分離主義者の虚空魔道士</v>
      </c>
      <c r="I11" s="10" t="str">
        <f t="shared" si="3"/>
        <v>とどめの一刺しのﾌｪｱﾘｰ</v>
      </c>
      <c r="J11" s="10" t="str">
        <f t="shared" si="3"/>
        <v>鋳塊かじり</v>
      </c>
      <c r="K11" s="60" t="str">
        <f t="shared" si="3"/>
        <v>彼方地のｴﾙﾌ</v>
      </c>
      <c r="L11" s="13" t="str">
        <f t="shared" ref="L11:U11" si="4">L5</f>
        <v>弱者狩り</v>
      </c>
      <c r="M11" s="10" t="str">
        <f t="shared" si="4"/>
        <v>信仰の足枷</v>
      </c>
      <c r="N11" s="10" t="str">
        <f t="shared" si="4"/>
        <v>輝く光波</v>
      </c>
      <c r="O11" s="10" t="str">
        <f t="shared" si="4"/>
        <v>骨読み</v>
      </c>
      <c r="P11" s="10" t="str">
        <f t="shared" si="4"/>
        <v>構造のひずみ</v>
      </c>
      <c r="Q11" s="10" t="str">
        <f t="shared" si="4"/>
        <v>帰化</v>
      </c>
      <c r="R11" s="10" t="str">
        <f t="shared" si="4"/>
        <v>真っ逆さま</v>
      </c>
      <c r="S11" s="10" t="str">
        <f t="shared" si="4"/>
        <v>着実な進歩</v>
      </c>
      <c r="T11" s="10" t="str">
        <f t="shared" si="4"/>
        <v>忌まわしい容貌</v>
      </c>
      <c r="U11" s="9" t="str">
        <f t="shared" si="4"/>
        <v>信仰無き物あさり</v>
      </c>
      <c r="V11" s="45" t="str">
        <f t="shared" ref="V11:V18" si="5">V3</f>
        <v>ｵﾙｿﾞﾌの導き石</v>
      </c>
      <c r="W11" s="68" t="s">
        <v>166</v>
      </c>
      <c r="X11" s="66" t="str">
        <f>Sheet4!B28</f>
        <v>永遠溢れの杯</v>
      </c>
      <c r="Y11" s="10" t="str">
        <f>Sheet4!C28</f>
        <v>ｱﾌﾞｻﾞﾝ土地</v>
      </c>
      <c r="Z11" s="10" t="str">
        <f>Sheet4!D28</f>
        <v>隕石</v>
      </c>
      <c r="AA11" s="10" t="str">
        <f>Sheet4!E28</f>
        <v>ｼﾞｪｽｶｲ土地</v>
      </c>
      <c r="AB11" s="10" t="str">
        <f>Sheet4!F28</f>
        <v>生体融合外骨格</v>
      </c>
      <c r="AC11" s="10" t="str">
        <f>Sheet4!G28</f>
        <v>ｽｩﾙﾀｲ土地</v>
      </c>
      <c r="AD11" s="10" t="str">
        <f>Sheet4!H28</f>
        <v>信号の邪魔者</v>
      </c>
      <c r="AE11" s="10" t="str">
        <f>Sheet4!I28</f>
        <v>ﾏﾙﾄﾞｩ土地</v>
      </c>
      <c r="AF11" s="10" t="str">
        <f>Sheet4!J28</f>
        <v>ﾏﾅ力の鎚鉾</v>
      </c>
      <c r="AG11" s="29" t="str">
        <f>Sheet4!K28</f>
        <v>ﾃｨﾑｰﾙ土地</v>
      </c>
      <c r="AH11" s="22" t="str">
        <f>Sheet4!B39</f>
        <v>ｽﾌｨﾝｸｽの啓示</v>
      </c>
      <c r="AI11" s="61" t="str">
        <f>Sheet4!C39</f>
        <v>ﾌｧﾙｹﾝﾗｽの貴種</v>
      </c>
      <c r="AJ11" s="61" t="str">
        <f>Sheet4!D39</f>
        <v>ﾐﾗｰﾘの目覚め</v>
      </c>
      <c r="AK11" s="61" t="str">
        <f>Sheet4!E39</f>
        <v>強欲なるｽﾛﾓｯｸ</v>
      </c>
      <c r="AL11" s="61" t="str">
        <f>Sheet4!F39</f>
        <v>ﾌﾟﾚｲﾝｽﾞｳｫｰｶｰ､二ｺﾙ･ﾎﾞｰﾗｽ</v>
      </c>
      <c r="AM11" s="61" t="str">
        <f>Sheet4!G39</f>
        <v>ヴｨｽﾞｺｰﾊﾟの血男爵</v>
      </c>
      <c r="AN11" s="61" t="str">
        <f>Sheet4!H39</f>
        <v>紅蓮術士のｺﾞｰｸﾞﾙ</v>
      </c>
      <c r="AO11" s="61" t="str">
        <f>Sheet4!I39</f>
        <v>ｷﾞﾄﾗｸﾞの怪物</v>
      </c>
      <c r="AP11" s="61" t="str">
        <f>Sheet4!J39</f>
        <v>戦導者ｵﾚﾘｱ</v>
      </c>
      <c r="AQ11" s="63" t="str">
        <f>Sheet4!K39</f>
        <v>練達の生術師</v>
      </c>
    </row>
    <row r="12" spans="1:43" s="4" customFormat="1" x14ac:dyDescent="0.15">
      <c r="A12" s="9">
        <v>10</v>
      </c>
      <c r="B12" s="45" t="str">
        <f t="shared" ref="B12:K12" si="6">B5</f>
        <v>狐の明け刃</v>
      </c>
      <c r="C12" s="10" t="str">
        <f t="shared" si="6"/>
        <v>ﾍﾘｳﾑ噴射獣</v>
      </c>
      <c r="D12" s="10" t="str">
        <f t="shared" si="6"/>
        <v>吐毒Slv</v>
      </c>
      <c r="E12" s="10" t="str">
        <f t="shared" si="6"/>
        <v>霜剣山の呪刃</v>
      </c>
      <c r="F12" s="10" t="str">
        <f t="shared" si="6"/>
        <v>荒廃後家蜘蛛</v>
      </c>
      <c r="G12" s="10" t="str">
        <f t="shared" si="6"/>
        <v>ﾑｰｱﾗﾝﾄﾞの流れ者</v>
      </c>
      <c r="H12" s="10" t="str">
        <f t="shared" si="6"/>
        <v>熟考漂い</v>
      </c>
      <c r="I12" s="10" t="str">
        <f t="shared" si="6"/>
        <v>遠沼の亡霊</v>
      </c>
      <c r="J12" s="10" t="str">
        <f t="shared" si="6"/>
        <v>反抗するｵｰｶﾞ</v>
      </c>
      <c r="K12" s="60" t="str">
        <f t="shared" si="6"/>
        <v>道壊しﾜｰﾑ</v>
      </c>
      <c r="L12" s="13" t="str">
        <f t="shared" ref="L12:U12" si="7">L6</f>
        <v>盲目の狩人</v>
      </c>
      <c r="M12" s="10" t="str">
        <f t="shared" si="7"/>
        <v>裏返し</v>
      </c>
      <c r="N12" s="10" t="str">
        <f t="shared" si="7"/>
        <v>神性の贈り物</v>
      </c>
      <c r="O12" s="10" t="str">
        <f t="shared" si="7"/>
        <v>ヴｨｰｱｼｰﾉの初太刀</v>
      </c>
      <c r="P12" s="10" t="str">
        <f t="shared" si="7"/>
        <v>罠顎のｹﾙﾋﾟｰ</v>
      </c>
      <c r="Q12" s="10" t="str">
        <f t="shared" si="7"/>
        <v>御身の刃</v>
      </c>
      <c r="R12" s="10" t="str">
        <f t="shared" si="7"/>
        <v>天主の勢力</v>
      </c>
      <c r="S12" s="10" t="str">
        <f t="shared" si="7"/>
        <v>忌まわしい回収</v>
      </c>
      <c r="T12" s="10" t="str">
        <f t="shared" si="7"/>
        <v>ﾎﾞﾛｽの補充兵</v>
      </c>
      <c r="U12" s="9" t="str">
        <f t="shared" si="7"/>
        <v>生体変化</v>
      </c>
      <c r="V12" s="45" t="str">
        <f t="shared" si="5"/>
        <v>ｲｾﾞｯﾄの導き石</v>
      </c>
      <c r="W12" s="68" t="s">
        <v>167</v>
      </c>
      <c r="X12" s="66" t="str">
        <f>X3</f>
        <v>糾弾</v>
      </c>
      <c r="Y12" s="10" t="str">
        <f t="shared" ref="Y12:AG12" si="8">Y3</f>
        <v>宮殿の野の神</v>
      </c>
      <c r="Z12" s="10" t="str">
        <f t="shared" si="8"/>
        <v>名誉の手</v>
      </c>
      <c r="AA12" s="10" t="str">
        <f t="shared" si="8"/>
        <v>変わり身の勇士</v>
      </c>
      <c r="AB12" s="10" t="str">
        <f t="shared" si="8"/>
        <v>羽軸Slv</v>
      </c>
      <c r="AC12" s="10" t="str">
        <f t="shared" si="8"/>
        <v>義理に縛られし者､長雄</v>
      </c>
      <c r="AD12" s="10" t="str">
        <f t="shared" si="8"/>
        <v>蝋燭の輝き</v>
      </c>
      <c r="AE12" s="10" t="str">
        <f t="shared" si="8"/>
        <v>取り囲む地割れ</v>
      </c>
      <c r="AF12" s="10" t="str">
        <f t="shared" si="8"/>
        <v>未練ある魂</v>
      </c>
      <c r="AG12" s="29" t="str">
        <f t="shared" si="8"/>
        <v>払拭の光</v>
      </c>
      <c r="AH12" s="19" t="str">
        <f>AH3</f>
        <v>Slv軍団</v>
      </c>
      <c r="AI12" s="42" t="str">
        <f t="shared" ref="AI12:AQ12" si="9">AI3</f>
        <v>金之尾師範</v>
      </c>
      <c r="AJ12" s="42" t="str">
        <f t="shared" si="9"/>
        <v>ﾍﾘｵｯﾄﾞの槍</v>
      </c>
      <c r="AK12" s="42" t="str">
        <f t="shared" si="9"/>
        <v>侍の御大将､武野</v>
      </c>
      <c r="AL12" s="42" t="str">
        <f t="shared" si="9"/>
        <v>神の怒り</v>
      </c>
      <c r="AM12" s="42" t="str">
        <f t="shared" si="9"/>
        <v>修復の天使</v>
      </c>
      <c r="AN12" s="42" t="str">
        <f t="shared" si="9"/>
        <v>天使の嗜み</v>
      </c>
      <c r="AO12" s="42" t="str">
        <f t="shared" si="9"/>
        <v>族樹の精霊､ｱﾅﾌｪﾝｻﾞ</v>
      </c>
      <c r="AP12" s="42" t="str">
        <f t="shared" si="9"/>
        <v>雄鹿の蹄の跡</v>
      </c>
      <c r="AQ12" s="64" t="str">
        <f t="shared" si="9"/>
        <v>肺臓Slv</v>
      </c>
    </row>
    <row r="13" spans="1:43" s="4" customFormat="1" x14ac:dyDescent="0.15">
      <c r="A13" s="9">
        <v>11</v>
      </c>
      <c r="B13" s="45" t="str">
        <f t="shared" ref="B13:K13" si="10">B6</f>
        <v>突風の漂い</v>
      </c>
      <c r="C13" s="10" t="str">
        <f t="shared" si="10"/>
        <v>ﾏｰﾌｫｰｸの物あさり</v>
      </c>
      <c r="D13" s="10" t="str">
        <f t="shared" si="10"/>
        <v>毒の屍賊</v>
      </c>
      <c r="E13" s="10" t="str">
        <f t="shared" si="10"/>
        <v>鉱夫の破滅</v>
      </c>
      <c r="F13" s="10" t="str">
        <f t="shared" si="10"/>
        <v>反射Slv</v>
      </c>
      <c r="G13" s="10" t="str">
        <f t="shared" si="10"/>
        <v>探検の猛禽</v>
      </c>
      <c r="H13" s="10" t="str">
        <f t="shared" si="10"/>
        <v>同期Slv</v>
      </c>
      <c r="I13" s="10" t="str">
        <f t="shared" si="10"/>
        <v>小走りの死神</v>
      </c>
      <c r="J13" s="10" t="str">
        <f t="shared" si="10"/>
        <v>乱打Slv</v>
      </c>
      <c r="K13" s="60" t="str">
        <f t="shared" si="10"/>
        <v>順応する跳ね顎</v>
      </c>
      <c r="L13" s="13" t="str">
        <f t="shared" ref="L13:U13" si="11">L7</f>
        <v>亡霊招き</v>
      </c>
      <c r="M13" s="10" t="str">
        <f t="shared" si="11"/>
        <v>本質の反発</v>
      </c>
      <c r="N13" s="10" t="str">
        <f t="shared" si="11"/>
        <v>冒涜するﾊｯｸﾞ</v>
      </c>
      <c r="O13" s="10" t="str">
        <f t="shared" si="11"/>
        <v>貴神の神罰</v>
      </c>
      <c r="P13" s="10" t="str">
        <f t="shared" si="11"/>
        <v>ヴｨｸﾞの水植物</v>
      </c>
      <c r="Q13" s="10" t="str">
        <f t="shared" si="11"/>
        <v>酷評</v>
      </c>
      <c r="R13" s="10" t="str">
        <f t="shared" si="11"/>
        <v>ｺﾞﾌﾞﾘﾝの電術師</v>
      </c>
      <c r="S13" s="10" t="str">
        <f t="shared" si="11"/>
        <v>水路の蠍</v>
      </c>
      <c r="T13" s="10" t="str">
        <f t="shared" si="11"/>
        <v>ｳｫｼﾞｪｸの矛槍兵</v>
      </c>
      <c r="U13" s="9" t="str">
        <f t="shared" si="11"/>
        <v>とぐろ巻きの巫女</v>
      </c>
      <c r="V13" s="45" t="str">
        <f t="shared" si="5"/>
        <v>ｺﾞﾙｶﾞﾘの導き石</v>
      </c>
      <c r="W13" s="68" t="s">
        <v>726</v>
      </c>
      <c r="X13" s="66" t="str">
        <f t="shared" ref="X13:AQ13" si="12">X4</f>
        <v>念動Slv</v>
      </c>
      <c r="Y13" s="10" t="str">
        <f t="shared" si="12"/>
        <v>ｼﾙﾑｶﾞﾙの魔術師</v>
      </c>
      <c r="Z13" s="10" t="str">
        <f t="shared" si="12"/>
        <v>拭い捨て</v>
      </c>
      <c r="AA13" s="10" t="str">
        <f t="shared" si="12"/>
        <v>意思の激突</v>
      </c>
      <c r="AB13" s="10" t="str">
        <f t="shared" si="12"/>
        <v>ｻﾌｧｲｱのﾄﾞﾚｲｸ</v>
      </c>
      <c r="AC13" s="10" t="str">
        <f t="shared" si="12"/>
        <v>思考の鈍化</v>
      </c>
      <c r="AD13" s="10" t="str">
        <f t="shared" si="12"/>
        <v>沿岸の発見</v>
      </c>
      <c r="AE13" s="10" t="str">
        <f t="shared" si="12"/>
        <v>ｱﾒｰﾊﾞの変わり身</v>
      </c>
      <c r="AF13" s="10" t="str">
        <f t="shared" si="12"/>
        <v>ﾃｾﾞﾚｯﾄの計略</v>
      </c>
      <c r="AG13" s="29" t="str">
        <f t="shared" si="12"/>
        <v>潮力の精霊</v>
      </c>
      <c r="AH13" s="19" t="str">
        <f t="shared" si="12"/>
        <v>惑乱のｾｲﾚｰﾝ</v>
      </c>
      <c r="AI13" s="42" t="str">
        <f t="shared" si="12"/>
        <v>巣石</v>
      </c>
      <c r="AJ13" s="42" t="str">
        <f t="shared" si="12"/>
        <v>ｹﾃﾞﾚｸﾄのﾘﾊﾞｲｱｻﾝ</v>
      </c>
      <c r="AK13" s="42" t="str">
        <f t="shared" si="12"/>
        <v>変位の波</v>
      </c>
      <c r="AL13" s="42" t="str">
        <f t="shared" si="12"/>
        <v>永劫の年代史家</v>
      </c>
      <c r="AM13" s="42" t="str">
        <f t="shared" si="12"/>
        <v>大笑いの写し身</v>
      </c>
      <c r="AN13" s="42" t="str">
        <f t="shared" si="12"/>
        <v>心霊Slv</v>
      </c>
      <c r="AO13" s="42" t="str">
        <f t="shared" si="12"/>
        <v>風への散乱</v>
      </c>
      <c r="AP13" s="42" t="str">
        <f t="shared" si="12"/>
        <v>潮流の先駆け</v>
      </c>
      <c r="AQ13" s="64" t="str">
        <f t="shared" si="12"/>
        <v>複製の儀式</v>
      </c>
    </row>
    <row r="14" spans="1:43" s="4" customFormat="1" x14ac:dyDescent="0.15">
      <c r="A14" s="9">
        <v>12</v>
      </c>
      <c r="B14" s="45" t="str">
        <f t="shared" ref="B14:K14" si="13">B7</f>
        <v>筋力Slv</v>
      </c>
      <c r="C14" s="10" t="str">
        <f t="shared" si="13"/>
        <v>ｴｲヴﾝの偵察兵</v>
      </c>
      <c r="D14" s="10" t="str">
        <f t="shared" si="13"/>
        <v>ﾏﾙﾄﾞｩの頭蓋狩り</v>
      </c>
      <c r="E14" s="10" t="str">
        <f t="shared" si="13"/>
        <v>ｱﾀﾙｶのｲﾌﾘｰﾄ</v>
      </c>
      <c r="F14" s="10" t="str">
        <f t="shared" si="13"/>
        <v>甲鱗のﾜｰﾑ</v>
      </c>
      <c r="G14" s="10" t="str">
        <f t="shared" si="13"/>
        <v>薄れ馬</v>
      </c>
      <c r="H14" s="10" t="str">
        <f t="shared" si="13"/>
        <v>氷河の壊し屋</v>
      </c>
      <c r="I14" s="10" t="str">
        <f t="shared" si="13"/>
        <v>朽ちゆくﾈｽﾞﾐ</v>
      </c>
      <c r="J14" s="10" t="str">
        <f t="shared" si="13"/>
        <v>ｱｸﾛｽの兵長</v>
      </c>
      <c r="K14" s="60" t="str">
        <f t="shared" si="13"/>
        <v>確約の神主</v>
      </c>
      <c r="L14" s="13" t="str">
        <f t="shared" ref="L14:U14" si="14">L8</f>
        <v>哀悼のｽﾗﾙ</v>
      </c>
      <c r="M14" s="10" t="str">
        <f t="shared" si="14"/>
        <v>凍結燃焼の奇魔</v>
      </c>
      <c r="N14" s="10" t="str">
        <f t="shared" si="14"/>
        <v>よろめく殻</v>
      </c>
      <c r="O14" s="10" t="str">
        <f t="shared" si="14"/>
        <v>二度裂き</v>
      </c>
      <c r="P14" s="10" t="str">
        <f t="shared" si="14"/>
        <v>超者の意向</v>
      </c>
      <c r="Q14" s="10" t="str">
        <f t="shared" si="14"/>
        <v>重要人物のﾍﾟｯﾄ</v>
      </c>
      <c r="R14" s="10" t="str">
        <f t="shared" si="14"/>
        <v>ｲｾﾞｯﾄの時術師</v>
      </c>
      <c r="S14" s="10" t="str">
        <f t="shared" si="14"/>
        <v>ｺﾞﾙｺﾞﾝの凝視</v>
      </c>
      <c r="T14" s="10" t="str">
        <f t="shared" si="14"/>
        <v>戦乱の閃光</v>
      </c>
      <c r="U14" s="9" t="str">
        <f t="shared" si="14"/>
        <v>天上の待ち伏せ</v>
      </c>
      <c r="V14" s="45" t="str">
        <f t="shared" si="5"/>
        <v>ﾎﾞﾛｽの導き石</v>
      </c>
      <c r="W14" s="68" t="s">
        <v>727</v>
      </c>
      <c r="X14" s="66" t="str">
        <f t="shared" ref="X14:AQ14" si="15">X5</f>
        <v>影の中の貪り</v>
      </c>
      <c r="Y14" s="10" t="str">
        <f t="shared" si="15"/>
        <v>増え続ける荒廃</v>
      </c>
      <c r="Z14" s="10" t="str">
        <f t="shared" si="15"/>
        <v>胆液の鼠</v>
      </c>
      <c r="AA14" s="10" t="str">
        <f t="shared" si="15"/>
        <v>忌まわしい笑い</v>
      </c>
      <c r="AB14" s="10" t="str">
        <f t="shared" si="15"/>
        <v>幽霊の変わり身</v>
      </c>
      <c r="AC14" s="10" t="str">
        <f t="shared" si="15"/>
        <v>悪意に満ちた蘇りし者</v>
      </c>
      <c r="AD14" s="10" t="str">
        <f t="shared" si="15"/>
        <v>蔑み</v>
      </c>
      <c r="AE14" s="10" t="str">
        <f t="shared" si="15"/>
        <v>膿の神</v>
      </c>
      <c r="AF14" s="10" t="str">
        <f t="shared" si="15"/>
        <v>吸血Slv</v>
      </c>
      <c r="AG14" s="29" t="str">
        <f t="shared" si="15"/>
        <v>隷属</v>
      </c>
      <c r="AH14" s="19" t="str">
        <f t="shared" si="15"/>
        <v>英雄の破滅</v>
      </c>
      <c r="AI14" s="42" t="str">
        <f t="shared" si="15"/>
        <v>法務官の手</v>
      </c>
      <c r="AJ14" s="42" t="str">
        <f t="shared" si="15"/>
        <v>精霊信者の剣</v>
      </c>
      <c r="AK14" s="42" t="str">
        <f t="shared" si="15"/>
        <v>ｽｶｰｽﾀﾞｸﾞの高僧</v>
      </c>
      <c r="AL14" s="42" t="str">
        <f t="shared" si="15"/>
        <v>奸謀</v>
      </c>
      <c r="AM14" s="42" t="str">
        <f t="shared" si="15"/>
        <v>疫病Slv</v>
      </c>
      <c r="AN14" s="42" t="str">
        <f t="shared" si="15"/>
        <v>魂の捕縛</v>
      </c>
      <c r="AO14" s="42" t="str">
        <f t="shared" si="15"/>
        <v>飢えたるもの､卑堕硫</v>
      </c>
      <c r="AP14" s="42" t="str">
        <f t="shared" si="15"/>
        <v>黒の太陽の頂点</v>
      </c>
      <c r="AQ14" s="64" t="str">
        <f t="shared" si="15"/>
        <v>墓忍び</v>
      </c>
    </row>
    <row r="15" spans="1:43" s="4" customFormat="1" x14ac:dyDescent="0.15">
      <c r="A15" s="9">
        <v>13</v>
      </c>
      <c r="B15" s="45" t="str">
        <f t="shared" ref="B15:K15" si="16">B8</f>
        <v>二人戦術</v>
      </c>
      <c r="C15" s="10" t="str">
        <f t="shared" si="16"/>
        <v>否認</v>
      </c>
      <c r="D15" s="10" t="str">
        <f t="shared" si="16"/>
        <v>ﾌｧｲﾚｸｼｱ化</v>
      </c>
      <c r="E15" s="10" t="str">
        <f t="shared" si="16"/>
        <v>ﾗｯﾊﾟの一吹き</v>
      </c>
      <c r="F15" s="10" t="str">
        <f t="shared" si="16"/>
        <v>木霊の手の内</v>
      </c>
      <c r="G15" s="10" t="str">
        <f t="shared" si="16"/>
        <v>三つぞろいの霊魂</v>
      </c>
      <c r="H15" s="10" t="str">
        <f t="shared" si="16"/>
        <v>掴み掛かる水流</v>
      </c>
      <c r="I15" s="10" t="str">
        <f t="shared" si="16"/>
        <v>死の重み</v>
      </c>
      <c r="J15" s="10" t="str">
        <f t="shared" si="16"/>
        <v>沸き立つ大地</v>
      </c>
      <c r="K15" s="60" t="str">
        <f t="shared" si="16"/>
        <v>刻みを継ぐもの</v>
      </c>
      <c r="L15" s="13" t="str">
        <f t="shared" ref="L15:U15" si="17">L9</f>
        <v>血清Slv</v>
      </c>
      <c r="M15" s="10" t="str">
        <f t="shared" si="17"/>
        <v>陰影Slv</v>
      </c>
      <c r="N15" s="10" t="str">
        <f t="shared" si="17"/>
        <v>激情Slv</v>
      </c>
      <c r="O15" s="10" t="str">
        <f t="shared" si="17"/>
        <v>双頭Slv</v>
      </c>
      <c r="P15" s="10" t="str">
        <f t="shared" si="17"/>
        <v>悪性Slv</v>
      </c>
      <c r="Q15" s="10" t="str">
        <f t="shared" si="17"/>
        <v>横這Slv</v>
      </c>
      <c r="R15" s="10" t="str">
        <f t="shared" si="17"/>
        <v>催眠Slv</v>
      </c>
      <c r="S15" s="10" t="str">
        <f t="shared" si="17"/>
        <v>基底Slv</v>
      </c>
      <c r="T15" s="10" t="str">
        <f t="shared" si="17"/>
        <v>誘導Slv</v>
      </c>
      <c r="U15" s="9" t="str">
        <f t="shared" si="17"/>
        <v>宝革Slv</v>
      </c>
      <c r="V15" s="45" t="str">
        <f t="shared" si="5"/>
        <v>ｼﾐｯｸの導き石</v>
      </c>
      <c r="W15" s="68" t="s">
        <v>157</v>
      </c>
      <c r="X15" s="66" t="str">
        <f t="shared" ref="X15:AQ15" si="18">X6</f>
        <v>残忍な稲妻</v>
      </c>
      <c r="Y15" s="10" t="str">
        <f t="shared" si="18"/>
        <v>紅蓮地獄</v>
      </c>
      <c r="Z15" s="10" t="str">
        <f t="shared" si="18"/>
        <v>憤怒Slv</v>
      </c>
      <c r="AA15" s="10" t="str">
        <f t="shared" si="18"/>
        <v>変わり身の狂戦士</v>
      </c>
      <c r="AB15" s="10" t="str">
        <f t="shared" si="18"/>
        <v>手綱取り</v>
      </c>
      <c r="AC15" s="10" t="str">
        <f t="shared" si="18"/>
        <v>攻撃の元型</v>
      </c>
      <c r="AD15" s="10" t="str">
        <f t="shared" si="18"/>
        <v>捨て身の儀式</v>
      </c>
      <c r="AE15" s="10" t="str">
        <f t="shared" si="18"/>
        <v>血暴れの巨人</v>
      </c>
      <c r="AF15" s="10" t="str">
        <f t="shared" si="18"/>
        <v>溶岩核の精霊</v>
      </c>
      <c r="AG15" s="29" t="str">
        <f t="shared" si="18"/>
        <v>嵐血の狂戦士</v>
      </c>
      <c r="AH15" s="19" t="str">
        <f t="shared" si="18"/>
        <v>白熱の魂炊き</v>
      </c>
      <c r="AI15" s="42" t="str">
        <f t="shared" si="18"/>
        <v>怒りの反射</v>
      </c>
      <c r="AJ15" s="42" t="str">
        <f t="shared" si="18"/>
        <v>士気溢れる徴集兵</v>
      </c>
      <c r="AK15" s="42" t="str">
        <f t="shared" si="18"/>
        <v>ﾀﾐﾖｳの日誌</v>
      </c>
      <c r="AL15" s="42" t="str">
        <f t="shared" si="18"/>
        <v>卑血の芙巳子</v>
      </c>
      <c r="AM15" s="42" t="str">
        <f t="shared" si="18"/>
        <v>ﾐｼﾞｳﾑの迫撃砲</v>
      </c>
      <c r="AN15" s="42" t="str">
        <f t="shared" si="18"/>
        <v>ｼヴ山のﾄﾞﾗｺﾞﾝ</v>
      </c>
      <c r="AO15" s="42" t="str">
        <f t="shared" si="18"/>
        <v>悪魔火</v>
      </c>
      <c r="AP15" s="42" t="str">
        <f t="shared" si="18"/>
        <v>菅草Slv</v>
      </c>
      <c r="AQ15" s="64" t="str">
        <f t="shared" si="18"/>
        <v>心魂破</v>
      </c>
    </row>
    <row r="16" spans="1:43" s="4" customFormat="1" x14ac:dyDescent="0.15">
      <c r="A16" s="9">
        <v>14</v>
      </c>
      <c r="B16" s="45" t="str">
        <f t="shared" ref="B16:K16" si="19">B9</f>
        <v>安全な道</v>
      </c>
      <c r="C16" s="10" t="str">
        <f t="shared" si="19"/>
        <v>閉所恐怖症</v>
      </c>
      <c r="D16" s="10" t="str">
        <f t="shared" si="19"/>
        <v>影切り</v>
      </c>
      <c r="E16" s="10" t="str">
        <f t="shared" si="19"/>
        <v>感電の弧炎</v>
      </c>
      <c r="F16" s="10" t="str">
        <f t="shared" si="19"/>
        <v>ﾋﾟｽﾀｽの一撃</v>
      </c>
      <c r="G16" s="10" t="str">
        <f t="shared" si="19"/>
        <v>必殺の一射</v>
      </c>
      <c r="H16" s="10" t="str">
        <f t="shared" si="19"/>
        <v>未達の目</v>
      </c>
      <c r="I16" s="10" t="str">
        <f t="shared" si="19"/>
        <v>闇への追放</v>
      </c>
      <c r="J16" s="10" t="str">
        <f t="shared" si="19"/>
        <v>氷河の光線</v>
      </c>
      <c r="K16" s="60" t="str">
        <f t="shared" si="19"/>
        <v>不屈の自然</v>
      </c>
      <c r="L16" s="13" t="str">
        <f t="shared" ref="L16:U16" si="20">L10</f>
        <v>絞首</v>
      </c>
      <c r="M16" s="10" t="str">
        <f t="shared" si="20"/>
        <v>ｾﾞｸﾀｰ祭殿の探検</v>
      </c>
      <c r="N16" s="10" t="str">
        <f t="shared" si="20"/>
        <v>新緑の安息所</v>
      </c>
      <c r="O16" s="10" t="str">
        <f t="shared" si="20"/>
        <v>天羅至の叫び</v>
      </c>
      <c r="P16" s="10" t="str">
        <f t="shared" si="20"/>
        <v>目的のための燃料</v>
      </c>
      <c r="Q16" s="10" t="str">
        <f t="shared" si="20"/>
        <v>血の訴え</v>
      </c>
      <c r="R16" s="10" t="str">
        <f t="shared" si="20"/>
        <v>ﾊﾟｰﾌｫﾛｽの激怒</v>
      </c>
      <c r="S16" s="10" t="str">
        <f t="shared" si="20"/>
        <v>剛力化</v>
      </c>
      <c r="T16" s="10" t="str">
        <f t="shared" si="20"/>
        <v>天使の贈り物</v>
      </c>
      <c r="U16" s="9" t="str">
        <f t="shared" si="20"/>
        <v>計算された放逐</v>
      </c>
      <c r="V16" s="45" t="str">
        <f t="shared" si="5"/>
        <v>心鍛のｺﾞｰﾚﾑ</v>
      </c>
      <c r="W16" s="68" t="s">
        <v>159</v>
      </c>
      <c r="X16" s="66" t="str">
        <f t="shared" ref="X16:AQ16" si="21">X7</f>
        <v>実験体</v>
      </c>
      <c r="Y16" s="10" t="str">
        <f t="shared" si="21"/>
        <v>変わり身のﾀｲﾀﾝ</v>
      </c>
      <c r="Z16" s="10" t="str">
        <f t="shared" si="21"/>
        <v>大軍の功績</v>
      </c>
      <c r="AA16" s="10" t="str">
        <f t="shared" si="21"/>
        <v>樹海の胴</v>
      </c>
      <c r="AB16" s="10" t="str">
        <f t="shared" si="21"/>
        <v>ｶﾙ･ｼｽﾏの風</v>
      </c>
      <c r="AC16" s="10" t="str">
        <f t="shared" si="21"/>
        <v>脊柱噛み</v>
      </c>
      <c r="AD16" s="10" t="str">
        <f t="shared" si="21"/>
        <v>増力Slv</v>
      </c>
      <c r="AE16" s="10" t="str">
        <f t="shared" si="21"/>
        <v>杉の力</v>
      </c>
      <c r="AF16" s="10" t="str">
        <f t="shared" si="21"/>
        <v>爆発的植生</v>
      </c>
      <c r="AG16" s="29" t="str">
        <f t="shared" si="21"/>
        <v>ｱﾅの戦闘魔道士</v>
      </c>
      <c r="AH16" s="19" t="str">
        <f t="shared" si="21"/>
        <v>起源の波</v>
      </c>
      <c r="AI16" s="42" t="str">
        <f t="shared" si="21"/>
        <v>極楽鳥</v>
      </c>
      <c r="AJ16" s="42" t="str">
        <f t="shared" si="21"/>
        <v>硬化した鱗</v>
      </c>
      <c r="AK16" s="42" t="str">
        <f t="shared" si="21"/>
        <v>放浪する森林</v>
      </c>
      <c r="AL16" s="42" t="str">
        <f t="shared" si="21"/>
        <v>真面目な身代わり</v>
      </c>
      <c r="AM16" s="42" t="str">
        <f t="shared" si="21"/>
        <v>菌類Slv</v>
      </c>
      <c r="AN16" s="42" t="str">
        <f t="shared" si="21"/>
        <v>ｾﾃｯｻ式戦術</v>
      </c>
      <c r="AO16" s="42" t="str">
        <f t="shared" si="21"/>
        <v>ｺﾞﾙｶﾞﾘの墓ﾄﾛｰﾙ</v>
      </c>
      <c r="AP16" s="42" t="str">
        <f t="shared" si="21"/>
        <v>ﾆｯｻの復興</v>
      </c>
      <c r="AQ16" s="64" t="str">
        <f t="shared" si="21"/>
        <v>ﾌｧｲﾚｸｼｱの群れの王</v>
      </c>
    </row>
    <row r="17" spans="1:43" s="4" customFormat="1" x14ac:dyDescent="0.15">
      <c r="A17" s="9">
        <v>15</v>
      </c>
      <c r="B17" s="45" t="str">
        <f t="shared" ref="B17:K17" si="22">B10</f>
        <v>狐の刃遣い</v>
      </c>
      <c r="C17" s="10" t="str">
        <f t="shared" si="22"/>
        <v>かき鳴らし鳥</v>
      </c>
      <c r="D17" s="10" t="str">
        <f t="shared" si="22"/>
        <v>疫病のとげ刺し</v>
      </c>
      <c r="E17" s="10" t="str">
        <f t="shared" si="22"/>
        <v>戦に狂える浪人</v>
      </c>
      <c r="F17" s="10" t="str">
        <f t="shared" si="22"/>
        <v>荒廃のﾏﾝﾊﾞ</v>
      </c>
      <c r="G17" s="10" t="str">
        <f t="shared" si="22"/>
        <v>霧のﾆﾌﾞﾘｽ</v>
      </c>
      <c r="H17" s="10" t="str">
        <f t="shared" si="22"/>
        <v>上昇気流の精霊</v>
      </c>
      <c r="I17" s="10" t="str">
        <f t="shared" si="22"/>
        <v>ｸﾞﾚｲﾌﾞﾃﾞｨｶﾞｰ</v>
      </c>
      <c r="J17" s="10" t="str">
        <f t="shared" si="22"/>
        <v>煙束ね</v>
      </c>
      <c r="K17" s="60" t="str">
        <f t="shared" si="22"/>
        <v>黄金の木立ちの蛇</v>
      </c>
      <c r="L17" s="13" t="str">
        <f t="shared" ref="L17:U17" si="23">L11</f>
        <v>弱者狩り</v>
      </c>
      <c r="M17" s="10" t="str">
        <f t="shared" si="23"/>
        <v>信仰の足枷</v>
      </c>
      <c r="N17" s="10" t="str">
        <f t="shared" si="23"/>
        <v>輝く光波</v>
      </c>
      <c r="O17" s="10" t="str">
        <f t="shared" si="23"/>
        <v>骨読み</v>
      </c>
      <c r="P17" s="10" t="str">
        <f t="shared" si="23"/>
        <v>構造のひずみ</v>
      </c>
      <c r="Q17" s="10" t="str">
        <f t="shared" si="23"/>
        <v>帰化</v>
      </c>
      <c r="R17" s="10" t="str">
        <f t="shared" si="23"/>
        <v>真っ逆さま</v>
      </c>
      <c r="S17" s="10" t="str">
        <f t="shared" si="23"/>
        <v>着実な進歩</v>
      </c>
      <c r="T17" s="10" t="str">
        <f t="shared" si="23"/>
        <v>忌まわしい容貌</v>
      </c>
      <c r="U17" s="9" t="str">
        <f t="shared" si="23"/>
        <v>信仰無き物あさり</v>
      </c>
      <c r="V17" s="45" t="str">
        <f t="shared" si="5"/>
        <v>ｳﾙ=ｺﾞｰﾚﾑの目</v>
      </c>
      <c r="W17" s="68" t="s">
        <v>163</v>
      </c>
      <c r="X17" s="66" t="str">
        <f t="shared" ref="X17:AQ17" si="24">X8</f>
        <v>乳白Slv</v>
      </c>
      <c r="Y17" s="10" t="str">
        <f t="shared" si="24"/>
        <v>狂気Slv</v>
      </c>
      <c r="Z17" s="10" t="str">
        <f t="shared" si="24"/>
        <v>霊炎Slv</v>
      </c>
      <c r="AA17" s="10" t="str">
        <f t="shared" si="24"/>
        <v>火跡Slv</v>
      </c>
      <c r="AB17" s="10" t="str">
        <f t="shared" si="24"/>
        <v>調和Slv</v>
      </c>
      <c r="AC17" s="10" t="str">
        <f t="shared" si="24"/>
        <v>壊死Slv</v>
      </c>
      <c r="AD17" s="10" t="str">
        <f t="shared" si="24"/>
        <v>熱狂Slv</v>
      </c>
      <c r="AE17" s="10" t="str">
        <f t="shared" si="24"/>
        <v>暗心Slv</v>
      </c>
      <c r="AF17" s="10" t="str">
        <f t="shared" si="24"/>
        <v>焼灼Slv</v>
      </c>
      <c r="AG17" s="29" t="str">
        <f t="shared" si="24"/>
        <v>休眠Slv</v>
      </c>
      <c r="AH17" s="19" t="str">
        <f t="shared" si="24"/>
        <v>空砕きの呼び声</v>
      </c>
      <c r="AI17" s="42" t="str">
        <f t="shared" si="24"/>
        <v>ｵﾙｿﾞﾌの御曹子､ﾃｲｻ</v>
      </c>
      <c r="AJ17" s="42" t="str">
        <f t="shared" si="24"/>
        <v>花崗岩の凝視</v>
      </c>
      <c r="AK17" s="42" t="str">
        <f t="shared" si="24"/>
        <v>炎まといの報復者</v>
      </c>
      <c r="AL17" s="42" t="str">
        <f t="shared" si="24"/>
        <v>ｵﾌﾞｾﾞﾀﾞｰﾄの救済</v>
      </c>
      <c r="AM17" s="42" t="str">
        <f t="shared" si="24"/>
        <v>もう一人の自分</v>
      </c>
      <c r="AN17" s="42" t="str">
        <f t="shared" si="24"/>
        <v>対抗変転</v>
      </c>
      <c r="AO17" s="42" t="str">
        <f t="shared" si="24"/>
        <v>ｼﾞｬﾗﾄﾞの命令</v>
      </c>
      <c r="AP17" s="42" t="str">
        <f t="shared" si="24"/>
        <v>軍勢の集結</v>
      </c>
      <c r="AQ17" s="64" t="str">
        <f t="shared" si="24"/>
        <v>白日の下に</v>
      </c>
    </row>
    <row r="18" spans="1:43" s="4" customFormat="1" ht="14.25" thickBot="1" x14ac:dyDescent="0.2">
      <c r="A18" s="9">
        <v>16</v>
      </c>
      <c r="B18" s="45" t="str">
        <f t="shared" ref="B18:K18" si="25">B11</f>
        <v>蛾乗りの侍</v>
      </c>
      <c r="C18" s="10" t="str">
        <f t="shared" si="25"/>
        <v>すがりつくｲｿｷﾞﾝﾁｬｸ</v>
      </c>
      <c r="D18" s="10" t="str">
        <f t="shared" si="25"/>
        <v>黒割れのｺﾞﾌﾞﾘﾝ</v>
      </c>
      <c r="E18" s="10" t="str">
        <f t="shared" si="25"/>
        <v>熱血漢の聖戦士</v>
      </c>
      <c r="F18" s="10" t="str">
        <f t="shared" si="25"/>
        <v>嚢胞抱え</v>
      </c>
      <c r="G18" s="10" t="str">
        <f t="shared" si="25"/>
        <v>月明かりの徘徊者</v>
      </c>
      <c r="H18" s="10" t="str">
        <f t="shared" si="25"/>
        <v>分離主義者の虚空魔道士</v>
      </c>
      <c r="I18" s="10" t="str">
        <f t="shared" si="25"/>
        <v>とどめの一刺しのﾌｪｱﾘｰ</v>
      </c>
      <c r="J18" s="10" t="str">
        <f t="shared" si="25"/>
        <v>鋳塊かじり</v>
      </c>
      <c r="K18" s="60" t="str">
        <f t="shared" si="25"/>
        <v>彼方地のｴﾙﾌ</v>
      </c>
      <c r="L18" s="13" t="str">
        <f t="shared" ref="L18:U18" si="26">L12</f>
        <v>盲目の狩人</v>
      </c>
      <c r="M18" s="10" t="str">
        <f t="shared" si="26"/>
        <v>裏返し</v>
      </c>
      <c r="N18" s="10" t="str">
        <f t="shared" si="26"/>
        <v>神性の贈り物</v>
      </c>
      <c r="O18" s="10" t="str">
        <f t="shared" si="26"/>
        <v>ヴｨｰｱｼｰﾉの初太刀</v>
      </c>
      <c r="P18" s="10" t="str">
        <f t="shared" si="26"/>
        <v>罠顎のｹﾙﾋﾟｰ</v>
      </c>
      <c r="Q18" s="10" t="str">
        <f t="shared" si="26"/>
        <v>御身の刃</v>
      </c>
      <c r="R18" s="10" t="str">
        <f t="shared" si="26"/>
        <v>天主の勢力</v>
      </c>
      <c r="S18" s="10" t="str">
        <f t="shared" si="26"/>
        <v>忌まわしい回収</v>
      </c>
      <c r="T18" s="10" t="str">
        <f t="shared" si="26"/>
        <v>ﾎﾞﾛｽの補充兵</v>
      </c>
      <c r="U18" s="9" t="str">
        <f t="shared" si="26"/>
        <v>生体変化</v>
      </c>
      <c r="V18" s="45" t="str">
        <f t="shared" si="5"/>
        <v>空に届くﾏﾝﾀ</v>
      </c>
      <c r="W18" s="68" t="s">
        <v>164</v>
      </c>
      <c r="X18" s="66" t="str">
        <f t="shared" ref="X18:AQ18" si="27">X9</f>
        <v>大食の雛</v>
      </c>
      <c r="Y18" s="10" t="str">
        <f t="shared" si="27"/>
        <v>ｲｾﾞｯﾄの魔除け</v>
      </c>
      <c r="Z18" s="10" t="str">
        <f t="shared" si="27"/>
        <v>有毒の雛</v>
      </c>
      <c r="AA18" s="10" t="str">
        <f t="shared" si="27"/>
        <v>先導者のらせん</v>
      </c>
      <c r="AB18" s="10" t="str">
        <f t="shared" si="27"/>
        <v>頑丈な雛</v>
      </c>
      <c r="AC18" s="10" t="str">
        <f t="shared" si="27"/>
        <v>屈辱</v>
      </c>
      <c r="AD18" s="10" t="str">
        <f t="shared" si="27"/>
        <v>明敏な雛</v>
      </c>
      <c r="AE18" s="10" t="str">
        <f t="shared" si="27"/>
        <v>死の激情</v>
      </c>
      <c r="AF18" s="10" t="str">
        <f t="shared" si="27"/>
        <v>好戦的な雛</v>
      </c>
      <c r="AG18" s="29" t="str">
        <f t="shared" si="27"/>
        <v>空乗りのｴﾙﾌ</v>
      </c>
      <c r="AH18" s="20" t="str">
        <f t="shared" si="27"/>
        <v>ﾏﾅの合流点</v>
      </c>
      <c r="AI18" s="62" t="str">
        <f t="shared" si="27"/>
        <v>ｽﾘヴｧｰの巣</v>
      </c>
      <c r="AJ18" s="62" t="str">
        <f t="shared" si="27"/>
        <v>狩るものヴｫﾗｼｭ</v>
      </c>
      <c r="AK18" s="62" t="str">
        <f t="shared" si="27"/>
        <v>ﾆｸｿｽ</v>
      </c>
      <c r="AL18" s="62" t="str">
        <f t="shared" si="27"/>
        <v>戦の大聖堂</v>
      </c>
      <c r="AM18" s="62" t="str">
        <f t="shared" si="27"/>
        <v>墨蛾の生息地</v>
      </c>
      <c r="AN18" s="62" t="str">
        <f t="shared" si="27"/>
        <v>夢見るものｲﾝﾃｯﾄ</v>
      </c>
      <c r="AO18" s="62" t="str">
        <f t="shared" si="27"/>
        <v>壊滅させるものﾇｰﾏｯﾄ</v>
      </c>
      <c r="AP18" s="62" t="str">
        <f t="shared" si="27"/>
        <v>収穫するものﾃﾈﾌﾞ</v>
      </c>
      <c r="AQ18" s="65" t="str">
        <f t="shared" si="27"/>
        <v>報復するものｵﾛｽ</v>
      </c>
    </row>
    <row r="19" spans="1:43" s="4" customFormat="1" x14ac:dyDescent="0.15">
      <c r="A19" s="9">
        <v>17</v>
      </c>
      <c r="B19" s="45" t="str">
        <f t="shared" ref="B19:K19" si="28">B12</f>
        <v>狐の明け刃</v>
      </c>
      <c r="C19" s="10" t="str">
        <f t="shared" si="28"/>
        <v>ﾍﾘｳﾑ噴射獣</v>
      </c>
      <c r="D19" s="10" t="str">
        <f t="shared" si="28"/>
        <v>吐毒Slv</v>
      </c>
      <c r="E19" s="10" t="str">
        <f t="shared" si="28"/>
        <v>霜剣山の呪刃</v>
      </c>
      <c r="F19" s="10" t="str">
        <f t="shared" si="28"/>
        <v>荒廃後家蜘蛛</v>
      </c>
      <c r="G19" s="10" t="str">
        <f t="shared" si="28"/>
        <v>ﾑｰｱﾗﾝﾄﾞの流れ者</v>
      </c>
      <c r="H19" s="10" t="str">
        <f t="shared" si="28"/>
        <v>熟考漂い</v>
      </c>
      <c r="I19" s="10" t="str">
        <f t="shared" si="28"/>
        <v>遠沼の亡霊</v>
      </c>
      <c r="J19" s="10" t="str">
        <f t="shared" si="28"/>
        <v>反抗するｵｰｶﾞ</v>
      </c>
      <c r="K19" s="60" t="str">
        <f t="shared" si="28"/>
        <v>道壊しﾜｰﾑ</v>
      </c>
      <c r="L19" s="13" t="str">
        <f t="shared" ref="L19:U19" si="29">L13</f>
        <v>亡霊招き</v>
      </c>
      <c r="M19" s="10" t="str">
        <f t="shared" si="29"/>
        <v>本質の反発</v>
      </c>
      <c r="N19" s="10" t="str">
        <f t="shared" si="29"/>
        <v>冒涜するﾊｯｸﾞ</v>
      </c>
      <c r="O19" s="10" t="str">
        <f t="shared" si="29"/>
        <v>貴神の神罰</v>
      </c>
      <c r="P19" s="10" t="str">
        <f t="shared" si="29"/>
        <v>ヴｨｸﾞの水植物</v>
      </c>
      <c r="Q19" s="10" t="str">
        <f t="shared" si="29"/>
        <v>酷評</v>
      </c>
      <c r="R19" s="10" t="str">
        <f t="shared" si="29"/>
        <v>ｺﾞﾌﾞﾘﾝの電術師</v>
      </c>
      <c r="S19" s="10" t="str">
        <f t="shared" si="29"/>
        <v>水路の蠍</v>
      </c>
      <c r="T19" s="10" t="str">
        <f t="shared" si="29"/>
        <v>ｳｫｼﾞｪｸの矛槍兵</v>
      </c>
      <c r="U19" s="9" t="str">
        <f t="shared" si="29"/>
        <v>とぐろ巻きの巫女</v>
      </c>
      <c r="V19" s="45" t="str">
        <f t="shared" ref="V19:V42" si="30">V11</f>
        <v>ｵﾙｿﾞﾌの導き石</v>
      </c>
      <c r="W19" s="68" t="s">
        <v>165</v>
      </c>
      <c r="X19" s="66" t="str">
        <f t="shared" ref="X19:AG19" si="31">X10</f>
        <v>ｾﾗの天使</v>
      </c>
      <c r="Y19" s="10" t="str">
        <f t="shared" si="31"/>
        <v>利得+損失</v>
      </c>
      <c r="Z19" s="10" t="str">
        <f t="shared" si="31"/>
        <v>雲変化</v>
      </c>
      <c r="AA19" s="10" t="str">
        <f t="shared" si="31"/>
        <v>変化+点火</v>
      </c>
      <c r="AB19" s="10" t="str">
        <f t="shared" si="31"/>
        <v>戦慄の復活</v>
      </c>
      <c r="AC19" s="10" t="str">
        <f t="shared" si="31"/>
        <v>有害+不潔</v>
      </c>
      <c r="AD19" s="10" t="str">
        <f t="shared" si="31"/>
        <v>山崎兄弟</v>
      </c>
      <c r="AE19" s="10" t="str">
        <f t="shared" si="31"/>
        <v>摩耗+損耗</v>
      </c>
      <c r="AF19" s="10" t="str">
        <f t="shared" si="31"/>
        <v>怒りの発散</v>
      </c>
      <c r="AG19" s="29" t="str">
        <f t="shared" si="31"/>
        <v>投与+享受</v>
      </c>
      <c r="AK19" s="11"/>
      <c r="AL19" s="11"/>
      <c r="AM19" s="11"/>
      <c r="AN19" s="11"/>
      <c r="AO19" s="11"/>
      <c r="AP19" s="11"/>
    </row>
    <row r="20" spans="1:43" s="4" customFormat="1" x14ac:dyDescent="0.15">
      <c r="A20" s="27">
        <v>18</v>
      </c>
      <c r="B20" s="45" t="str">
        <f t="shared" ref="B20:K20" si="32">B13</f>
        <v>突風の漂い</v>
      </c>
      <c r="C20" s="10" t="str">
        <f t="shared" si="32"/>
        <v>ﾏｰﾌｫｰｸの物あさり</v>
      </c>
      <c r="D20" s="10" t="str">
        <f t="shared" si="32"/>
        <v>毒の屍賊</v>
      </c>
      <c r="E20" s="10" t="str">
        <f t="shared" si="32"/>
        <v>鉱夫の破滅</v>
      </c>
      <c r="F20" s="10" t="str">
        <f t="shared" si="32"/>
        <v>反射Slv</v>
      </c>
      <c r="G20" s="10" t="str">
        <f t="shared" si="32"/>
        <v>探検の猛禽</v>
      </c>
      <c r="H20" s="10" t="str">
        <f t="shared" si="32"/>
        <v>同期Slv</v>
      </c>
      <c r="I20" s="10" t="str">
        <f t="shared" si="32"/>
        <v>小走りの死神</v>
      </c>
      <c r="J20" s="10" t="str">
        <f t="shared" si="32"/>
        <v>乱打Slv</v>
      </c>
      <c r="K20" s="60" t="str">
        <f t="shared" si="32"/>
        <v>順応する跳ね顎</v>
      </c>
      <c r="L20" s="13" t="str">
        <f t="shared" ref="L20:U20" si="33">L14</f>
        <v>哀悼のｽﾗﾙ</v>
      </c>
      <c r="M20" s="10" t="str">
        <f t="shared" si="33"/>
        <v>凍結燃焼の奇魔</v>
      </c>
      <c r="N20" s="10" t="str">
        <f t="shared" si="33"/>
        <v>よろめく殻</v>
      </c>
      <c r="O20" s="10" t="str">
        <f t="shared" si="33"/>
        <v>二度裂き</v>
      </c>
      <c r="P20" s="10" t="str">
        <f t="shared" si="33"/>
        <v>超者の意向</v>
      </c>
      <c r="Q20" s="10" t="str">
        <f t="shared" si="33"/>
        <v>重要人物のﾍﾟｯﾄ</v>
      </c>
      <c r="R20" s="10" t="str">
        <f t="shared" si="33"/>
        <v>ｲｾﾞｯﾄの時術師</v>
      </c>
      <c r="S20" s="10" t="str">
        <f t="shared" si="33"/>
        <v>ｺﾞﾙｺﾞﾝの凝視</v>
      </c>
      <c r="T20" s="10" t="str">
        <f t="shared" si="33"/>
        <v>戦乱の閃光</v>
      </c>
      <c r="U20" s="9" t="str">
        <f t="shared" si="33"/>
        <v>天上の待ち伏せ</v>
      </c>
      <c r="V20" s="45" t="str">
        <f t="shared" si="30"/>
        <v>ｲｾﾞｯﾄの導き石</v>
      </c>
      <c r="W20" s="68" t="s">
        <v>166</v>
      </c>
      <c r="X20" s="66" t="str">
        <f t="shared" ref="X20:AG20" si="34">X11</f>
        <v>永遠溢れの杯</v>
      </c>
      <c r="Y20" s="10" t="str">
        <f t="shared" si="34"/>
        <v>ｱﾌﾞｻﾞﾝ土地</v>
      </c>
      <c r="Z20" s="10" t="str">
        <f t="shared" si="34"/>
        <v>隕石</v>
      </c>
      <c r="AA20" s="10" t="str">
        <f t="shared" si="34"/>
        <v>ｼﾞｪｽｶｲ土地</v>
      </c>
      <c r="AB20" s="10" t="str">
        <f t="shared" si="34"/>
        <v>生体融合外骨格</v>
      </c>
      <c r="AC20" s="10" t="str">
        <f t="shared" si="34"/>
        <v>ｽｩﾙﾀｲ土地</v>
      </c>
      <c r="AD20" s="10" t="str">
        <f t="shared" si="34"/>
        <v>信号の邪魔者</v>
      </c>
      <c r="AE20" s="10" t="str">
        <f t="shared" si="34"/>
        <v>ﾏﾙﾄﾞｩ土地</v>
      </c>
      <c r="AF20" s="10" t="str">
        <f t="shared" si="34"/>
        <v>ﾏﾅ力の鎚鉾</v>
      </c>
      <c r="AG20" s="29" t="str">
        <f t="shared" si="34"/>
        <v>ﾃｨﾑｰﾙ土地</v>
      </c>
    </row>
    <row r="21" spans="1:43" s="4" customFormat="1" x14ac:dyDescent="0.15">
      <c r="A21" s="9">
        <v>19</v>
      </c>
      <c r="B21" s="45" t="str">
        <f t="shared" ref="B21:K21" si="35">B14</f>
        <v>筋力Slv</v>
      </c>
      <c r="C21" s="10" t="str">
        <f t="shared" si="35"/>
        <v>ｴｲヴﾝの偵察兵</v>
      </c>
      <c r="D21" s="10" t="str">
        <f t="shared" si="35"/>
        <v>ﾏﾙﾄﾞｩの頭蓋狩り</v>
      </c>
      <c r="E21" s="10" t="str">
        <f t="shared" si="35"/>
        <v>ｱﾀﾙｶのｲﾌﾘｰﾄ</v>
      </c>
      <c r="F21" s="10" t="str">
        <f t="shared" si="35"/>
        <v>甲鱗のﾜｰﾑ</v>
      </c>
      <c r="G21" s="10" t="str">
        <f t="shared" si="35"/>
        <v>薄れ馬</v>
      </c>
      <c r="H21" s="10" t="str">
        <f t="shared" si="35"/>
        <v>氷河の壊し屋</v>
      </c>
      <c r="I21" s="10" t="str">
        <f t="shared" si="35"/>
        <v>朽ちゆくﾈｽﾞﾐ</v>
      </c>
      <c r="J21" s="10" t="str">
        <f t="shared" si="35"/>
        <v>ｱｸﾛｽの兵長</v>
      </c>
      <c r="K21" s="60" t="str">
        <f t="shared" si="35"/>
        <v>確約の神主</v>
      </c>
      <c r="L21" s="13" t="str">
        <f t="shared" ref="L21:U21" si="36">L15</f>
        <v>血清Slv</v>
      </c>
      <c r="M21" s="10" t="str">
        <f t="shared" si="36"/>
        <v>陰影Slv</v>
      </c>
      <c r="N21" s="10" t="str">
        <f t="shared" si="36"/>
        <v>激情Slv</v>
      </c>
      <c r="O21" s="10" t="str">
        <f t="shared" si="36"/>
        <v>双頭Slv</v>
      </c>
      <c r="P21" s="10" t="str">
        <f t="shared" si="36"/>
        <v>悪性Slv</v>
      </c>
      <c r="Q21" s="10" t="str">
        <f t="shared" si="36"/>
        <v>横這Slv</v>
      </c>
      <c r="R21" s="10" t="str">
        <f t="shared" si="36"/>
        <v>催眠Slv</v>
      </c>
      <c r="S21" s="10" t="str">
        <f t="shared" si="36"/>
        <v>基底Slv</v>
      </c>
      <c r="T21" s="10" t="str">
        <f t="shared" si="36"/>
        <v>誘導Slv</v>
      </c>
      <c r="U21" s="9" t="str">
        <f t="shared" si="36"/>
        <v>宝革Slv</v>
      </c>
      <c r="V21" s="45" t="str">
        <f t="shared" si="30"/>
        <v>ｺﾞﾙｶﾞﾘの導き石</v>
      </c>
      <c r="W21" s="68" t="s">
        <v>167</v>
      </c>
      <c r="X21" s="66" t="str">
        <f t="shared" ref="X21:AG21" si="37">X12</f>
        <v>糾弾</v>
      </c>
      <c r="Y21" s="10" t="str">
        <f t="shared" si="37"/>
        <v>宮殿の野の神</v>
      </c>
      <c r="Z21" s="10" t="str">
        <f t="shared" si="37"/>
        <v>名誉の手</v>
      </c>
      <c r="AA21" s="10" t="str">
        <f t="shared" si="37"/>
        <v>変わり身の勇士</v>
      </c>
      <c r="AB21" s="10" t="str">
        <f t="shared" si="37"/>
        <v>羽軸Slv</v>
      </c>
      <c r="AC21" s="10" t="str">
        <f t="shared" si="37"/>
        <v>義理に縛られし者､長雄</v>
      </c>
      <c r="AD21" s="10" t="str">
        <f t="shared" si="37"/>
        <v>蝋燭の輝き</v>
      </c>
      <c r="AE21" s="10" t="str">
        <f t="shared" si="37"/>
        <v>取り囲む地割れ</v>
      </c>
      <c r="AF21" s="10" t="str">
        <f t="shared" si="37"/>
        <v>未練ある魂</v>
      </c>
      <c r="AG21" s="29" t="str">
        <f t="shared" si="37"/>
        <v>払拭の光</v>
      </c>
    </row>
    <row r="22" spans="1:43" s="4" customFormat="1" x14ac:dyDescent="0.15">
      <c r="A22" s="9">
        <v>20</v>
      </c>
      <c r="B22" s="45" t="str">
        <f t="shared" ref="B22:K22" si="38">B15</f>
        <v>二人戦術</v>
      </c>
      <c r="C22" s="10" t="str">
        <f t="shared" si="38"/>
        <v>否認</v>
      </c>
      <c r="D22" s="10" t="str">
        <f t="shared" si="38"/>
        <v>ﾌｧｲﾚｸｼｱ化</v>
      </c>
      <c r="E22" s="10" t="str">
        <f t="shared" si="38"/>
        <v>ﾗｯﾊﾟの一吹き</v>
      </c>
      <c r="F22" s="10" t="str">
        <f t="shared" si="38"/>
        <v>木霊の手の内</v>
      </c>
      <c r="G22" s="10" t="str">
        <f t="shared" si="38"/>
        <v>三つぞろいの霊魂</v>
      </c>
      <c r="H22" s="10" t="str">
        <f t="shared" si="38"/>
        <v>掴み掛かる水流</v>
      </c>
      <c r="I22" s="10" t="str">
        <f t="shared" si="38"/>
        <v>死の重み</v>
      </c>
      <c r="J22" s="10" t="str">
        <f t="shared" si="38"/>
        <v>沸き立つ大地</v>
      </c>
      <c r="K22" s="60" t="str">
        <f t="shared" si="38"/>
        <v>刻みを継ぐもの</v>
      </c>
      <c r="L22" s="13" t="str">
        <f t="shared" ref="L22:U22" si="39">L16</f>
        <v>絞首</v>
      </c>
      <c r="M22" s="10" t="str">
        <f t="shared" si="39"/>
        <v>ｾﾞｸﾀｰ祭殿の探検</v>
      </c>
      <c r="N22" s="10" t="str">
        <f t="shared" si="39"/>
        <v>新緑の安息所</v>
      </c>
      <c r="O22" s="10" t="str">
        <f t="shared" si="39"/>
        <v>天羅至の叫び</v>
      </c>
      <c r="P22" s="10" t="str">
        <f t="shared" si="39"/>
        <v>目的のための燃料</v>
      </c>
      <c r="Q22" s="10" t="str">
        <f t="shared" si="39"/>
        <v>血の訴え</v>
      </c>
      <c r="R22" s="10" t="str">
        <f t="shared" si="39"/>
        <v>ﾊﾟｰﾌｫﾛｽの激怒</v>
      </c>
      <c r="S22" s="10" t="str">
        <f t="shared" si="39"/>
        <v>剛力化</v>
      </c>
      <c r="T22" s="10" t="str">
        <f t="shared" si="39"/>
        <v>天使の贈り物</v>
      </c>
      <c r="U22" s="9" t="str">
        <f t="shared" si="39"/>
        <v>計算された放逐</v>
      </c>
      <c r="V22" s="45" t="str">
        <f t="shared" si="30"/>
        <v>ﾎﾞﾛｽの導き石</v>
      </c>
      <c r="W22" s="68" t="s">
        <v>163</v>
      </c>
      <c r="X22" s="66" t="str">
        <f t="shared" ref="X22:AG22" si="40">X13</f>
        <v>念動Slv</v>
      </c>
      <c r="Y22" s="10" t="str">
        <f t="shared" si="40"/>
        <v>ｼﾙﾑｶﾞﾙの魔術師</v>
      </c>
      <c r="Z22" s="10" t="str">
        <f t="shared" si="40"/>
        <v>拭い捨て</v>
      </c>
      <c r="AA22" s="10" t="str">
        <f t="shared" si="40"/>
        <v>意思の激突</v>
      </c>
      <c r="AB22" s="10" t="str">
        <f t="shared" si="40"/>
        <v>ｻﾌｧｲｱのﾄﾞﾚｲｸ</v>
      </c>
      <c r="AC22" s="10" t="str">
        <f t="shared" si="40"/>
        <v>思考の鈍化</v>
      </c>
      <c r="AD22" s="10" t="str">
        <f t="shared" si="40"/>
        <v>沿岸の発見</v>
      </c>
      <c r="AE22" s="10" t="str">
        <f t="shared" si="40"/>
        <v>ｱﾒｰﾊﾞの変わり身</v>
      </c>
      <c r="AF22" s="10" t="str">
        <f t="shared" si="40"/>
        <v>ﾃｾﾞﾚｯﾄの計略</v>
      </c>
      <c r="AG22" s="29" t="str">
        <f t="shared" si="40"/>
        <v>潮力の精霊</v>
      </c>
    </row>
    <row r="23" spans="1:43" s="4" customFormat="1" x14ac:dyDescent="0.15">
      <c r="A23" s="9">
        <v>21</v>
      </c>
      <c r="B23" s="45" t="str">
        <f t="shared" ref="B23:K23" si="41">B16</f>
        <v>安全な道</v>
      </c>
      <c r="C23" s="10" t="str">
        <f t="shared" si="41"/>
        <v>閉所恐怖症</v>
      </c>
      <c r="D23" s="10" t="str">
        <f t="shared" si="41"/>
        <v>影切り</v>
      </c>
      <c r="E23" s="10" t="str">
        <f t="shared" si="41"/>
        <v>感電の弧炎</v>
      </c>
      <c r="F23" s="10" t="str">
        <f t="shared" si="41"/>
        <v>ﾋﾟｽﾀｽの一撃</v>
      </c>
      <c r="G23" s="10" t="str">
        <f t="shared" si="41"/>
        <v>必殺の一射</v>
      </c>
      <c r="H23" s="10" t="str">
        <f t="shared" si="41"/>
        <v>未達の目</v>
      </c>
      <c r="I23" s="10" t="str">
        <f t="shared" si="41"/>
        <v>闇への追放</v>
      </c>
      <c r="J23" s="10" t="str">
        <f t="shared" si="41"/>
        <v>氷河の光線</v>
      </c>
      <c r="K23" s="60" t="str">
        <f t="shared" si="41"/>
        <v>不屈の自然</v>
      </c>
      <c r="L23" s="13" t="str">
        <f t="shared" ref="L23:U23" si="42">L17</f>
        <v>弱者狩り</v>
      </c>
      <c r="M23" s="10" t="str">
        <f t="shared" si="42"/>
        <v>信仰の足枷</v>
      </c>
      <c r="N23" s="10" t="str">
        <f t="shared" si="42"/>
        <v>輝く光波</v>
      </c>
      <c r="O23" s="10" t="str">
        <f t="shared" si="42"/>
        <v>骨読み</v>
      </c>
      <c r="P23" s="10" t="str">
        <f t="shared" si="42"/>
        <v>構造のひずみ</v>
      </c>
      <c r="Q23" s="10" t="str">
        <f t="shared" si="42"/>
        <v>帰化</v>
      </c>
      <c r="R23" s="10" t="str">
        <f t="shared" si="42"/>
        <v>真っ逆さま</v>
      </c>
      <c r="S23" s="10" t="str">
        <f t="shared" si="42"/>
        <v>着実な進歩</v>
      </c>
      <c r="T23" s="10" t="str">
        <f t="shared" si="42"/>
        <v>忌まわしい容貌</v>
      </c>
      <c r="U23" s="9" t="str">
        <f t="shared" si="42"/>
        <v>信仰無き物あさり</v>
      </c>
      <c r="V23" s="45" t="str">
        <f t="shared" si="30"/>
        <v>ｼﾐｯｸの導き石</v>
      </c>
      <c r="W23" s="68" t="s">
        <v>164</v>
      </c>
      <c r="X23" s="66" t="str">
        <f t="shared" ref="X23:AG23" si="43">X14</f>
        <v>影の中の貪り</v>
      </c>
      <c r="Y23" s="10" t="str">
        <f t="shared" si="43"/>
        <v>増え続ける荒廃</v>
      </c>
      <c r="Z23" s="10" t="str">
        <f t="shared" si="43"/>
        <v>胆液の鼠</v>
      </c>
      <c r="AA23" s="10" t="str">
        <f t="shared" si="43"/>
        <v>忌まわしい笑い</v>
      </c>
      <c r="AB23" s="10" t="str">
        <f t="shared" si="43"/>
        <v>幽霊の変わり身</v>
      </c>
      <c r="AC23" s="10" t="str">
        <f t="shared" si="43"/>
        <v>悪意に満ちた蘇りし者</v>
      </c>
      <c r="AD23" s="10" t="str">
        <f t="shared" si="43"/>
        <v>蔑み</v>
      </c>
      <c r="AE23" s="10" t="str">
        <f t="shared" si="43"/>
        <v>膿の神</v>
      </c>
      <c r="AF23" s="10" t="str">
        <f t="shared" si="43"/>
        <v>吸血Slv</v>
      </c>
      <c r="AG23" s="29" t="str">
        <f t="shared" si="43"/>
        <v>隷属</v>
      </c>
    </row>
    <row r="24" spans="1:43" s="4" customFormat="1" x14ac:dyDescent="0.15">
      <c r="A24" s="9">
        <v>22</v>
      </c>
      <c r="B24" s="45" t="str">
        <f t="shared" ref="B24:K24" si="44">B17</f>
        <v>狐の刃遣い</v>
      </c>
      <c r="C24" s="10" t="str">
        <f t="shared" si="44"/>
        <v>かき鳴らし鳥</v>
      </c>
      <c r="D24" s="10" t="str">
        <f t="shared" si="44"/>
        <v>疫病のとげ刺し</v>
      </c>
      <c r="E24" s="10" t="str">
        <f t="shared" si="44"/>
        <v>戦に狂える浪人</v>
      </c>
      <c r="F24" s="10" t="str">
        <f t="shared" si="44"/>
        <v>荒廃のﾏﾝﾊﾞ</v>
      </c>
      <c r="G24" s="10" t="str">
        <f t="shared" si="44"/>
        <v>霧のﾆﾌﾞﾘｽ</v>
      </c>
      <c r="H24" s="10" t="str">
        <f t="shared" si="44"/>
        <v>上昇気流の精霊</v>
      </c>
      <c r="I24" s="10" t="str">
        <f t="shared" si="44"/>
        <v>ｸﾞﾚｲﾌﾞﾃﾞｨｶﾞｰ</v>
      </c>
      <c r="J24" s="10" t="str">
        <f t="shared" si="44"/>
        <v>煙束ね</v>
      </c>
      <c r="K24" s="60" t="str">
        <f t="shared" si="44"/>
        <v>黄金の木立ちの蛇</v>
      </c>
      <c r="L24" s="13" t="str">
        <f t="shared" ref="L24:U24" si="45">L18</f>
        <v>盲目の狩人</v>
      </c>
      <c r="M24" s="10" t="str">
        <f t="shared" si="45"/>
        <v>裏返し</v>
      </c>
      <c r="N24" s="10" t="str">
        <f t="shared" si="45"/>
        <v>神性の贈り物</v>
      </c>
      <c r="O24" s="10" t="str">
        <f t="shared" si="45"/>
        <v>ヴｨｰｱｼｰﾉの初太刀</v>
      </c>
      <c r="P24" s="10" t="str">
        <f t="shared" si="45"/>
        <v>罠顎のｹﾙﾋﾟｰ</v>
      </c>
      <c r="Q24" s="10" t="str">
        <f t="shared" si="45"/>
        <v>御身の刃</v>
      </c>
      <c r="R24" s="10" t="str">
        <f t="shared" si="45"/>
        <v>天主の勢力</v>
      </c>
      <c r="S24" s="10" t="str">
        <f t="shared" si="45"/>
        <v>忌まわしい回収</v>
      </c>
      <c r="T24" s="10" t="str">
        <f t="shared" si="45"/>
        <v>ﾎﾞﾛｽの補充兵</v>
      </c>
      <c r="U24" s="9" t="str">
        <f t="shared" si="45"/>
        <v>生体変化</v>
      </c>
      <c r="V24" s="45" t="str">
        <f t="shared" si="30"/>
        <v>心鍛のｺﾞｰﾚﾑ</v>
      </c>
      <c r="W24" s="68" t="s">
        <v>165</v>
      </c>
      <c r="X24" s="66" t="str">
        <f t="shared" ref="X24:AG24" si="46">X15</f>
        <v>残忍な稲妻</v>
      </c>
      <c r="Y24" s="10" t="str">
        <f t="shared" si="46"/>
        <v>紅蓮地獄</v>
      </c>
      <c r="Z24" s="10" t="str">
        <f t="shared" si="46"/>
        <v>憤怒Slv</v>
      </c>
      <c r="AA24" s="10" t="str">
        <f t="shared" si="46"/>
        <v>変わり身の狂戦士</v>
      </c>
      <c r="AB24" s="10" t="str">
        <f t="shared" si="46"/>
        <v>手綱取り</v>
      </c>
      <c r="AC24" s="10" t="str">
        <f t="shared" si="46"/>
        <v>攻撃の元型</v>
      </c>
      <c r="AD24" s="10" t="str">
        <f t="shared" si="46"/>
        <v>捨て身の儀式</v>
      </c>
      <c r="AE24" s="10" t="str">
        <f t="shared" si="46"/>
        <v>血暴れの巨人</v>
      </c>
      <c r="AF24" s="10" t="str">
        <f t="shared" si="46"/>
        <v>溶岩核の精霊</v>
      </c>
      <c r="AG24" s="29" t="str">
        <f t="shared" si="46"/>
        <v>嵐血の狂戦士</v>
      </c>
    </row>
    <row r="25" spans="1:43" s="4" customFormat="1" x14ac:dyDescent="0.15">
      <c r="A25" s="9">
        <v>23</v>
      </c>
      <c r="B25" s="45" t="str">
        <f t="shared" ref="B25:K25" si="47">B18</f>
        <v>蛾乗りの侍</v>
      </c>
      <c r="C25" s="10" t="str">
        <f t="shared" si="47"/>
        <v>すがりつくｲｿｷﾞﾝﾁｬｸ</v>
      </c>
      <c r="D25" s="10" t="str">
        <f t="shared" si="47"/>
        <v>黒割れのｺﾞﾌﾞﾘﾝ</v>
      </c>
      <c r="E25" s="10" t="str">
        <f t="shared" si="47"/>
        <v>熱血漢の聖戦士</v>
      </c>
      <c r="F25" s="10" t="str">
        <f t="shared" si="47"/>
        <v>嚢胞抱え</v>
      </c>
      <c r="G25" s="10" t="str">
        <f t="shared" si="47"/>
        <v>月明かりの徘徊者</v>
      </c>
      <c r="H25" s="10" t="str">
        <f t="shared" si="47"/>
        <v>分離主義者の虚空魔道士</v>
      </c>
      <c r="I25" s="10" t="str">
        <f t="shared" si="47"/>
        <v>とどめの一刺しのﾌｪｱﾘｰ</v>
      </c>
      <c r="J25" s="10" t="str">
        <f t="shared" si="47"/>
        <v>鋳塊かじり</v>
      </c>
      <c r="K25" s="60" t="str">
        <f t="shared" si="47"/>
        <v>彼方地のｴﾙﾌ</v>
      </c>
      <c r="L25" s="13" t="str">
        <f t="shared" ref="L25:U25" si="48">L19</f>
        <v>亡霊招き</v>
      </c>
      <c r="M25" s="10" t="str">
        <f t="shared" si="48"/>
        <v>本質の反発</v>
      </c>
      <c r="N25" s="10" t="str">
        <f t="shared" si="48"/>
        <v>冒涜するﾊｯｸﾞ</v>
      </c>
      <c r="O25" s="10" t="str">
        <f t="shared" si="48"/>
        <v>貴神の神罰</v>
      </c>
      <c r="P25" s="10" t="str">
        <f t="shared" si="48"/>
        <v>ヴｨｸﾞの水植物</v>
      </c>
      <c r="Q25" s="10" t="str">
        <f t="shared" si="48"/>
        <v>酷評</v>
      </c>
      <c r="R25" s="10" t="str">
        <f t="shared" si="48"/>
        <v>ｺﾞﾌﾞﾘﾝの電術師</v>
      </c>
      <c r="S25" s="10" t="str">
        <f t="shared" si="48"/>
        <v>水路の蠍</v>
      </c>
      <c r="T25" s="10" t="str">
        <f t="shared" si="48"/>
        <v>ｳｫｼﾞｪｸの矛槍兵</v>
      </c>
      <c r="U25" s="9" t="str">
        <f t="shared" si="48"/>
        <v>とぐろ巻きの巫女</v>
      </c>
      <c r="V25" s="45" t="str">
        <f t="shared" si="30"/>
        <v>ｳﾙ=ｺﾞｰﾚﾑの目</v>
      </c>
      <c r="W25" s="68" t="s">
        <v>166</v>
      </c>
      <c r="X25" s="66" t="str">
        <f t="shared" ref="X25:AG25" si="49">X16</f>
        <v>実験体</v>
      </c>
      <c r="Y25" s="10" t="str">
        <f t="shared" si="49"/>
        <v>変わり身のﾀｲﾀﾝ</v>
      </c>
      <c r="Z25" s="10" t="str">
        <f t="shared" si="49"/>
        <v>大軍の功績</v>
      </c>
      <c r="AA25" s="10" t="str">
        <f t="shared" si="49"/>
        <v>樹海の胴</v>
      </c>
      <c r="AB25" s="10" t="str">
        <f t="shared" si="49"/>
        <v>ｶﾙ･ｼｽﾏの風</v>
      </c>
      <c r="AC25" s="10" t="str">
        <f t="shared" si="49"/>
        <v>脊柱噛み</v>
      </c>
      <c r="AD25" s="10" t="str">
        <f t="shared" si="49"/>
        <v>増力Slv</v>
      </c>
      <c r="AE25" s="10" t="str">
        <f t="shared" si="49"/>
        <v>杉の力</v>
      </c>
      <c r="AF25" s="10" t="str">
        <f t="shared" si="49"/>
        <v>爆発的植生</v>
      </c>
      <c r="AG25" s="29" t="str">
        <f t="shared" si="49"/>
        <v>ｱﾅの戦闘魔道士</v>
      </c>
    </row>
    <row r="26" spans="1:43" s="4" customFormat="1" x14ac:dyDescent="0.15">
      <c r="A26" s="9">
        <v>24</v>
      </c>
      <c r="B26" s="45" t="str">
        <f t="shared" ref="B26:K26" si="50">B19</f>
        <v>狐の明け刃</v>
      </c>
      <c r="C26" s="10" t="str">
        <f t="shared" si="50"/>
        <v>ﾍﾘｳﾑ噴射獣</v>
      </c>
      <c r="D26" s="10" t="str">
        <f t="shared" si="50"/>
        <v>吐毒Slv</v>
      </c>
      <c r="E26" s="10" t="str">
        <f t="shared" si="50"/>
        <v>霜剣山の呪刃</v>
      </c>
      <c r="F26" s="10" t="str">
        <f t="shared" si="50"/>
        <v>荒廃後家蜘蛛</v>
      </c>
      <c r="G26" s="10" t="str">
        <f t="shared" si="50"/>
        <v>ﾑｰｱﾗﾝﾄﾞの流れ者</v>
      </c>
      <c r="H26" s="10" t="str">
        <f t="shared" si="50"/>
        <v>熟考漂い</v>
      </c>
      <c r="I26" s="10" t="str">
        <f t="shared" si="50"/>
        <v>遠沼の亡霊</v>
      </c>
      <c r="J26" s="10" t="str">
        <f t="shared" si="50"/>
        <v>反抗するｵｰｶﾞ</v>
      </c>
      <c r="K26" s="60" t="str">
        <f t="shared" si="50"/>
        <v>道壊しﾜｰﾑ</v>
      </c>
      <c r="L26" s="13" t="str">
        <f t="shared" ref="L26:U26" si="51">L20</f>
        <v>哀悼のｽﾗﾙ</v>
      </c>
      <c r="M26" s="10" t="str">
        <f t="shared" si="51"/>
        <v>凍結燃焼の奇魔</v>
      </c>
      <c r="N26" s="10" t="str">
        <f t="shared" si="51"/>
        <v>よろめく殻</v>
      </c>
      <c r="O26" s="10" t="str">
        <f t="shared" si="51"/>
        <v>二度裂き</v>
      </c>
      <c r="P26" s="10" t="str">
        <f t="shared" si="51"/>
        <v>超者の意向</v>
      </c>
      <c r="Q26" s="10" t="str">
        <f t="shared" si="51"/>
        <v>重要人物のﾍﾟｯﾄ</v>
      </c>
      <c r="R26" s="10" t="str">
        <f t="shared" si="51"/>
        <v>ｲｾﾞｯﾄの時術師</v>
      </c>
      <c r="S26" s="10" t="str">
        <f t="shared" si="51"/>
        <v>ｺﾞﾙｺﾞﾝの凝視</v>
      </c>
      <c r="T26" s="10" t="str">
        <f t="shared" si="51"/>
        <v>戦乱の閃光</v>
      </c>
      <c r="U26" s="9" t="str">
        <f t="shared" si="51"/>
        <v>天上の待ち伏せ</v>
      </c>
      <c r="V26" s="45" t="str">
        <f t="shared" si="30"/>
        <v>空に届くﾏﾝﾀ</v>
      </c>
      <c r="W26" s="68" t="s">
        <v>167</v>
      </c>
      <c r="X26" s="66" t="str">
        <f t="shared" ref="X26:AG26" si="52">X17</f>
        <v>乳白Slv</v>
      </c>
      <c r="Y26" s="10" t="str">
        <f t="shared" si="52"/>
        <v>狂気Slv</v>
      </c>
      <c r="Z26" s="10" t="str">
        <f t="shared" si="52"/>
        <v>霊炎Slv</v>
      </c>
      <c r="AA26" s="10" t="str">
        <f t="shared" si="52"/>
        <v>火跡Slv</v>
      </c>
      <c r="AB26" s="10" t="str">
        <f t="shared" si="52"/>
        <v>調和Slv</v>
      </c>
      <c r="AC26" s="10" t="str">
        <f t="shared" si="52"/>
        <v>壊死Slv</v>
      </c>
      <c r="AD26" s="10" t="str">
        <f t="shared" si="52"/>
        <v>熱狂Slv</v>
      </c>
      <c r="AE26" s="10" t="str">
        <f t="shared" si="52"/>
        <v>暗心Slv</v>
      </c>
      <c r="AF26" s="10" t="str">
        <f t="shared" si="52"/>
        <v>焼灼Slv</v>
      </c>
      <c r="AG26" s="29" t="str">
        <f t="shared" si="52"/>
        <v>休眠Slv</v>
      </c>
    </row>
    <row r="27" spans="1:43" s="4" customFormat="1" x14ac:dyDescent="0.15">
      <c r="A27" s="9">
        <v>25</v>
      </c>
      <c r="B27" s="45" t="str">
        <f t="shared" ref="B27:K27" si="53">B20</f>
        <v>突風の漂い</v>
      </c>
      <c r="C27" s="10" t="str">
        <f t="shared" si="53"/>
        <v>ﾏｰﾌｫｰｸの物あさり</v>
      </c>
      <c r="D27" s="10" t="str">
        <f t="shared" si="53"/>
        <v>毒の屍賊</v>
      </c>
      <c r="E27" s="10" t="str">
        <f t="shared" si="53"/>
        <v>鉱夫の破滅</v>
      </c>
      <c r="F27" s="10" t="str">
        <f t="shared" si="53"/>
        <v>反射Slv</v>
      </c>
      <c r="G27" s="10" t="str">
        <f t="shared" si="53"/>
        <v>探検の猛禽</v>
      </c>
      <c r="H27" s="10" t="str">
        <f t="shared" si="53"/>
        <v>同期Slv</v>
      </c>
      <c r="I27" s="10" t="str">
        <f t="shared" si="53"/>
        <v>小走りの死神</v>
      </c>
      <c r="J27" s="10" t="str">
        <f t="shared" si="53"/>
        <v>乱打Slv</v>
      </c>
      <c r="K27" s="60" t="str">
        <f t="shared" si="53"/>
        <v>順応する跳ね顎</v>
      </c>
      <c r="L27" s="13" t="str">
        <f>Q3</f>
        <v>横這Slv</v>
      </c>
      <c r="M27" s="10" t="str">
        <f t="shared" ref="M27:P27" si="54">R3</f>
        <v>催眠Slv</v>
      </c>
      <c r="N27" s="10" t="str">
        <f t="shared" si="54"/>
        <v>基底Slv</v>
      </c>
      <c r="O27" s="10" t="str">
        <f t="shared" si="54"/>
        <v>誘導Slv</v>
      </c>
      <c r="P27" s="10" t="str">
        <f t="shared" si="54"/>
        <v>宝革Slv</v>
      </c>
      <c r="Q27" s="10" t="str">
        <f>L3</f>
        <v>血清Slv</v>
      </c>
      <c r="R27" s="10" t="str">
        <f t="shared" ref="R27:T27" si="55">M3</f>
        <v>陰影Slv</v>
      </c>
      <c r="S27" s="10" t="str">
        <f t="shared" si="55"/>
        <v>激情Slv</v>
      </c>
      <c r="T27" s="10" t="str">
        <f t="shared" si="55"/>
        <v>双頭Slv</v>
      </c>
      <c r="U27" s="9" t="str">
        <f>P3</f>
        <v>悪性Slv</v>
      </c>
      <c r="V27" s="45" t="str">
        <f t="shared" si="30"/>
        <v>ｵﾙｿﾞﾌの導き石</v>
      </c>
      <c r="W27" s="68" t="s">
        <v>726</v>
      </c>
      <c r="X27" s="66" t="str">
        <f t="shared" ref="X27:AG27" si="56">X18</f>
        <v>大食の雛</v>
      </c>
      <c r="Y27" s="10" t="str">
        <f t="shared" si="56"/>
        <v>ｲｾﾞｯﾄの魔除け</v>
      </c>
      <c r="Z27" s="10" t="str">
        <f t="shared" si="56"/>
        <v>有毒の雛</v>
      </c>
      <c r="AA27" s="10" t="str">
        <f t="shared" si="56"/>
        <v>先導者のらせん</v>
      </c>
      <c r="AB27" s="10" t="str">
        <f t="shared" si="56"/>
        <v>頑丈な雛</v>
      </c>
      <c r="AC27" s="10" t="str">
        <f t="shared" si="56"/>
        <v>屈辱</v>
      </c>
      <c r="AD27" s="10" t="str">
        <f t="shared" si="56"/>
        <v>明敏な雛</v>
      </c>
      <c r="AE27" s="10" t="str">
        <f t="shared" si="56"/>
        <v>死の激情</v>
      </c>
      <c r="AF27" s="10" t="str">
        <f t="shared" si="56"/>
        <v>好戦的な雛</v>
      </c>
      <c r="AG27" s="29" t="str">
        <f t="shared" si="56"/>
        <v>空乗りのｴﾙﾌ</v>
      </c>
    </row>
    <row r="28" spans="1:43" s="4" customFormat="1" x14ac:dyDescent="0.15">
      <c r="A28" s="9">
        <v>26</v>
      </c>
      <c r="B28" s="45" t="str">
        <f t="shared" ref="B28:K28" si="57">B21</f>
        <v>筋力Slv</v>
      </c>
      <c r="C28" s="10" t="str">
        <f t="shared" si="57"/>
        <v>ｴｲヴﾝの偵察兵</v>
      </c>
      <c r="D28" s="10" t="str">
        <f t="shared" si="57"/>
        <v>ﾏﾙﾄﾞｩの頭蓋狩り</v>
      </c>
      <c r="E28" s="10" t="str">
        <f t="shared" si="57"/>
        <v>ｱﾀﾙｶのｲﾌﾘｰﾄ</v>
      </c>
      <c r="F28" s="10" t="str">
        <f t="shared" si="57"/>
        <v>甲鱗のﾜｰﾑ</v>
      </c>
      <c r="G28" s="10" t="str">
        <f t="shared" si="57"/>
        <v>薄れ馬</v>
      </c>
      <c r="H28" s="10" t="str">
        <f t="shared" si="57"/>
        <v>氷河の壊し屋</v>
      </c>
      <c r="I28" s="10" t="str">
        <f t="shared" si="57"/>
        <v>朽ちゆくﾈｽﾞﾐ</v>
      </c>
      <c r="J28" s="10" t="str">
        <f t="shared" si="57"/>
        <v>ｱｸﾛｽの兵長</v>
      </c>
      <c r="K28" s="60" t="str">
        <f t="shared" si="57"/>
        <v>確約の神主</v>
      </c>
      <c r="L28" s="13" t="str">
        <f t="shared" ref="L28:L32" si="58">Q4</f>
        <v>血の訴え</v>
      </c>
      <c r="M28" s="10" t="str">
        <f t="shared" ref="M28:M32" si="59">R4</f>
        <v>ﾊﾟｰﾌｫﾛｽの激怒</v>
      </c>
      <c r="N28" s="10" t="str">
        <f t="shared" ref="N28:N32" si="60">S4</f>
        <v>剛力化</v>
      </c>
      <c r="O28" s="10" t="str">
        <f t="shared" ref="O28:O32" si="61">T4</f>
        <v>天使の贈り物</v>
      </c>
      <c r="P28" s="10" t="str">
        <f t="shared" ref="P28:P32" si="62">U4</f>
        <v>計算された放逐</v>
      </c>
      <c r="Q28" s="10" t="str">
        <f t="shared" ref="Q28:Q32" si="63">L4</f>
        <v>絞首</v>
      </c>
      <c r="R28" s="10" t="str">
        <f t="shared" ref="R28:R32" si="64">M4</f>
        <v>ｾﾞｸﾀｰ祭殿の探検</v>
      </c>
      <c r="S28" s="10" t="str">
        <f t="shared" ref="S28:S32" si="65">N4</f>
        <v>新緑の安息所</v>
      </c>
      <c r="T28" s="10" t="str">
        <f t="shared" ref="T28:U32" si="66">O4</f>
        <v>天羅至の叫び</v>
      </c>
      <c r="U28" s="9" t="str">
        <f t="shared" si="66"/>
        <v>目的のための燃料</v>
      </c>
      <c r="V28" s="45" t="str">
        <f t="shared" si="30"/>
        <v>ｲｾﾞｯﾄの導き石</v>
      </c>
      <c r="W28" s="68" t="s">
        <v>727</v>
      </c>
      <c r="X28" s="66" t="str">
        <f t="shared" ref="X28:AG28" si="67">X19</f>
        <v>ｾﾗの天使</v>
      </c>
      <c r="Y28" s="10" t="str">
        <f t="shared" si="67"/>
        <v>利得+損失</v>
      </c>
      <c r="Z28" s="10" t="str">
        <f t="shared" si="67"/>
        <v>雲変化</v>
      </c>
      <c r="AA28" s="10" t="str">
        <f t="shared" si="67"/>
        <v>変化+点火</v>
      </c>
      <c r="AB28" s="10" t="str">
        <f t="shared" si="67"/>
        <v>戦慄の復活</v>
      </c>
      <c r="AC28" s="10" t="str">
        <f t="shared" si="67"/>
        <v>有害+不潔</v>
      </c>
      <c r="AD28" s="10" t="str">
        <f t="shared" si="67"/>
        <v>山崎兄弟</v>
      </c>
      <c r="AE28" s="10" t="str">
        <f t="shared" si="67"/>
        <v>摩耗+損耗</v>
      </c>
      <c r="AF28" s="10" t="str">
        <f t="shared" si="67"/>
        <v>怒りの発散</v>
      </c>
      <c r="AG28" s="29" t="str">
        <f t="shared" si="67"/>
        <v>投与+享受</v>
      </c>
    </row>
    <row r="29" spans="1:43" s="4" customFormat="1" x14ac:dyDescent="0.15">
      <c r="A29" s="27">
        <v>27</v>
      </c>
      <c r="B29" s="45" t="str">
        <f t="shared" ref="B29:K29" si="68">B22</f>
        <v>二人戦術</v>
      </c>
      <c r="C29" s="10" t="str">
        <f t="shared" si="68"/>
        <v>否認</v>
      </c>
      <c r="D29" s="10" t="str">
        <f t="shared" si="68"/>
        <v>ﾌｧｲﾚｸｼｱ化</v>
      </c>
      <c r="E29" s="10" t="str">
        <f t="shared" si="68"/>
        <v>ﾗｯﾊﾟの一吹き</v>
      </c>
      <c r="F29" s="10" t="str">
        <f t="shared" si="68"/>
        <v>木霊の手の内</v>
      </c>
      <c r="G29" s="10" t="str">
        <f t="shared" si="68"/>
        <v>三つぞろいの霊魂</v>
      </c>
      <c r="H29" s="10" t="str">
        <f t="shared" si="68"/>
        <v>掴み掛かる水流</v>
      </c>
      <c r="I29" s="10" t="str">
        <f t="shared" si="68"/>
        <v>死の重み</v>
      </c>
      <c r="J29" s="10" t="str">
        <f t="shared" si="68"/>
        <v>沸き立つ大地</v>
      </c>
      <c r="K29" s="60" t="str">
        <f t="shared" si="68"/>
        <v>刻みを継ぐもの</v>
      </c>
      <c r="L29" s="13" t="str">
        <f t="shared" si="58"/>
        <v>帰化</v>
      </c>
      <c r="M29" s="10" t="str">
        <f t="shared" si="59"/>
        <v>真っ逆さま</v>
      </c>
      <c r="N29" s="10" t="str">
        <f t="shared" si="60"/>
        <v>着実な進歩</v>
      </c>
      <c r="O29" s="10" t="str">
        <f t="shared" si="61"/>
        <v>忌まわしい容貌</v>
      </c>
      <c r="P29" s="10" t="str">
        <f t="shared" si="62"/>
        <v>信仰無き物あさり</v>
      </c>
      <c r="Q29" s="10" t="str">
        <f t="shared" si="63"/>
        <v>弱者狩り</v>
      </c>
      <c r="R29" s="10" t="str">
        <f t="shared" si="64"/>
        <v>信仰の足枷</v>
      </c>
      <c r="S29" s="10" t="str">
        <f t="shared" si="65"/>
        <v>輝く光波</v>
      </c>
      <c r="T29" s="10" t="str">
        <f t="shared" si="66"/>
        <v>骨読み</v>
      </c>
      <c r="U29" s="9" t="str">
        <f t="shared" ref="U29:U32" si="69">P5</f>
        <v>構造のひずみ</v>
      </c>
      <c r="V29" s="45" t="str">
        <f t="shared" si="30"/>
        <v>ｺﾞﾙｶﾞﾘの導き石</v>
      </c>
      <c r="W29" s="68" t="s">
        <v>157</v>
      </c>
      <c r="X29" s="66" t="str">
        <f t="shared" ref="X29:AG29" si="70">X20</f>
        <v>永遠溢れの杯</v>
      </c>
      <c r="Y29" s="10" t="str">
        <f t="shared" si="70"/>
        <v>ｱﾌﾞｻﾞﾝ土地</v>
      </c>
      <c r="Z29" s="10" t="str">
        <f t="shared" si="70"/>
        <v>隕石</v>
      </c>
      <c r="AA29" s="10" t="str">
        <f t="shared" si="70"/>
        <v>ｼﾞｪｽｶｲ土地</v>
      </c>
      <c r="AB29" s="10" t="str">
        <f t="shared" si="70"/>
        <v>生体融合外骨格</v>
      </c>
      <c r="AC29" s="10" t="str">
        <f t="shared" si="70"/>
        <v>ｽｩﾙﾀｲ土地</v>
      </c>
      <c r="AD29" s="10" t="str">
        <f t="shared" si="70"/>
        <v>信号の邪魔者</v>
      </c>
      <c r="AE29" s="10" t="str">
        <f t="shared" si="70"/>
        <v>ﾏﾙﾄﾞｩ土地</v>
      </c>
      <c r="AF29" s="10" t="str">
        <f t="shared" si="70"/>
        <v>ﾏﾅ力の鎚鉾</v>
      </c>
      <c r="AG29" s="29" t="str">
        <f t="shared" si="70"/>
        <v>ﾃｨﾑｰﾙ土地</v>
      </c>
    </row>
    <row r="30" spans="1:43" s="4" customFormat="1" x14ac:dyDescent="0.15">
      <c r="A30" s="9">
        <v>28</v>
      </c>
      <c r="B30" s="45" t="str">
        <f t="shared" ref="B30:K30" si="71">B23</f>
        <v>安全な道</v>
      </c>
      <c r="C30" s="10" t="str">
        <f t="shared" si="71"/>
        <v>閉所恐怖症</v>
      </c>
      <c r="D30" s="10" t="str">
        <f t="shared" si="71"/>
        <v>影切り</v>
      </c>
      <c r="E30" s="10" t="str">
        <f t="shared" si="71"/>
        <v>感電の弧炎</v>
      </c>
      <c r="F30" s="10" t="str">
        <f t="shared" si="71"/>
        <v>ﾋﾟｽﾀｽの一撃</v>
      </c>
      <c r="G30" s="10" t="str">
        <f t="shared" si="71"/>
        <v>必殺の一射</v>
      </c>
      <c r="H30" s="10" t="str">
        <f t="shared" si="71"/>
        <v>未達の目</v>
      </c>
      <c r="I30" s="10" t="str">
        <f t="shared" si="71"/>
        <v>闇への追放</v>
      </c>
      <c r="J30" s="10" t="str">
        <f t="shared" si="71"/>
        <v>氷河の光線</v>
      </c>
      <c r="K30" s="60" t="str">
        <f t="shared" si="71"/>
        <v>不屈の自然</v>
      </c>
      <c r="L30" s="13" t="str">
        <f t="shared" si="58"/>
        <v>御身の刃</v>
      </c>
      <c r="M30" s="10" t="str">
        <f t="shared" si="59"/>
        <v>天主の勢力</v>
      </c>
      <c r="N30" s="10" t="str">
        <f t="shared" si="60"/>
        <v>忌まわしい回収</v>
      </c>
      <c r="O30" s="10" t="str">
        <f t="shared" si="61"/>
        <v>ﾎﾞﾛｽの補充兵</v>
      </c>
      <c r="P30" s="10" t="str">
        <f t="shared" si="62"/>
        <v>生体変化</v>
      </c>
      <c r="Q30" s="10" t="str">
        <f t="shared" si="63"/>
        <v>盲目の狩人</v>
      </c>
      <c r="R30" s="10" t="str">
        <f t="shared" si="64"/>
        <v>裏返し</v>
      </c>
      <c r="S30" s="10" t="str">
        <f t="shared" si="65"/>
        <v>神性の贈り物</v>
      </c>
      <c r="T30" s="10" t="str">
        <f t="shared" si="66"/>
        <v>ヴｨｰｱｼｰﾉの初太刀</v>
      </c>
      <c r="U30" s="9" t="str">
        <f t="shared" si="69"/>
        <v>罠顎のｹﾙﾋﾟｰ</v>
      </c>
      <c r="V30" s="45" t="str">
        <f t="shared" si="30"/>
        <v>ﾎﾞﾛｽの導き石</v>
      </c>
      <c r="W30" s="68" t="s">
        <v>159</v>
      </c>
      <c r="X30" s="66" t="str">
        <f t="shared" ref="X30:AG30" si="72">X21</f>
        <v>糾弾</v>
      </c>
      <c r="Y30" s="10" t="str">
        <f t="shared" si="72"/>
        <v>宮殿の野の神</v>
      </c>
      <c r="Z30" s="10" t="str">
        <f t="shared" si="72"/>
        <v>名誉の手</v>
      </c>
      <c r="AA30" s="10" t="str">
        <f t="shared" si="72"/>
        <v>変わり身の勇士</v>
      </c>
      <c r="AB30" s="10" t="str">
        <f t="shared" si="72"/>
        <v>羽軸Slv</v>
      </c>
      <c r="AC30" s="10" t="str">
        <f t="shared" si="72"/>
        <v>義理に縛られし者､長雄</v>
      </c>
      <c r="AD30" s="10" t="str">
        <f t="shared" si="72"/>
        <v>蝋燭の輝き</v>
      </c>
      <c r="AE30" s="10" t="str">
        <f t="shared" si="72"/>
        <v>取り囲む地割れ</v>
      </c>
      <c r="AF30" s="10" t="str">
        <f t="shared" si="72"/>
        <v>未練ある魂</v>
      </c>
      <c r="AG30" s="29" t="str">
        <f t="shared" si="72"/>
        <v>払拭の光</v>
      </c>
    </row>
    <row r="31" spans="1:43" s="4" customFormat="1" x14ac:dyDescent="0.15">
      <c r="A31" s="9">
        <v>29</v>
      </c>
      <c r="B31" s="13" t="str">
        <f>G3</f>
        <v>霧のﾆﾌﾞﾘｽ</v>
      </c>
      <c r="C31" s="10" t="str">
        <f t="shared" ref="C31:F31" si="73">H3</f>
        <v>上昇気流の精霊</v>
      </c>
      <c r="D31" s="10" t="str">
        <f t="shared" si="73"/>
        <v>ｸﾞﾚｲﾌﾞﾃﾞｨｶﾞｰ</v>
      </c>
      <c r="E31" s="10" t="str">
        <f t="shared" si="73"/>
        <v>煙束ね</v>
      </c>
      <c r="F31" s="10" t="str">
        <f t="shared" si="73"/>
        <v>黄金の木立ちの蛇</v>
      </c>
      <c r="G31" s="10" t="str">
        <f>B3</f>
        <v>狐の刃遣い</v>
      </c>
      <c r="H31" s="10" t="str">
        <f t="shared" ref="H31:K31" si="74">C3</f>
        <v>かき鳴らし鳥</v>
      </c>
      <c r="I31" s="10" t="str">
        <f t="shared" si="74"/>
        <v>疫病のとげ刺し</v>
      </c>
      <c r="J31" s="10" t="str">
        <f t="shared" si="74"/>
        <v>戦に狂える浪人</v>
      </c>
      <c r="K31" s="9" t="str">
        <f t="shared" si="74"/>
        <v>荒廃のﾏﾝﾊﾞ</v>
      </c>
      <c r="L31" s="13" t="str">
        <f t="shared" si="58"/>
        <v>酷評</v>
      </c>
      <c r="M31" s="10" t="str">
        <f t="shared" si="59"/>
        <v>ｺﾞﾌﾞﾘﾝの電術師</v>
      </c>
      <c r="N31" s="10" t="str">
        <f t="shared" si="60"/>
        <v>水路の蠍</v>
      </c>
      <c r="O31" s="10" t="str">
        <f t="shared" si="61"/>
        <v>ｳｫｼﾞｪｸの矛槍兵</v>
      </c>
      <c r="P31" s="10" t="str">
        <f t="shared" si="62"/>
        <v>とぐろ巻きの巫女</v>
      </c>
      <c r="Q31" s="10" t="str">
        <f t="shared" si="63"/>
        <v>亡霊招き</v>
      </c>
      <c r="R31" s="10" t="str">
        <f t="shared" si="64"/>
        <v>本質の反発</v>
      </c>
      <c r="S31" s="10" t="str">
        <f t="shared" si="65"/>
        <v>冒涜するﾊｯｸﾞ</v>
      </c>
      <c r="T31" s="10" t="str">
        <f t="shared" si="66"/>
        <v>貴神の神罰</v>
      </c>
      <c r="U31" s="9" t="str">
        <f t="shared" si="69"/>
        <v>ヴｨｸﾞの水植物</v>
      </c>
      <c r="V31" s="45" t="str">
        <f t="shared" si="30"/>
        <v>ｼﾐｯｸの導き石</v>
      </c>
      <c r="W31" s="68" t="s">
        <v>163</v>
      </c>
      <c r="X31" s="66" t="str">
        <f t="shared" ref="X31:AG31" si="75">X22</f>
        <v>念動Slv</v>
      </c>
      <c r="Y31" s="10" t="str">
        <f t="shared" si="75"/>
        <v>ｼﾙﾑｶﾞﾙの魔術師</v>
      </c>
      <c r="Z31" s="10" t="str">
        <f t="shared" si="75"/>
        <v>拭い捨て</v>
      </c>
      <c r="AA31" s="10" t="str">
        <f t="shared" si="75"/>
        <v>意思の激突</v>
      </c>
      <c r="AB31" s="10" t="str">
        <f t="shared" si="75"/>
        <v>ｻﾌｧｲｱのﾄﾞﾚｲｸ</v>
      </c>
      <c r="AC31" s="10" t="str">
        <f t="shared" si="75"/>
        <v>思考の鈍化</v>
      </c>
      <c r="AD31" s="10" t="str">
        <f t="shared" si="75"/>
        <v>沿岸の発見</v>
      </c>
      <c r="AE31" s="10" t="str">
        <f t="shared" si="75"/>
        <v>ｱﾒｰﾊﾞの変わり身</v>
      </c>
      <c r="AF31" s="10" t="str">
        <f t="shared" si="75"/>
        <v>ﾃｾﾞﾚｯﾄの計略</v>
      </c>
      <c r="AG31" s="29" t="str">
        <f t="shared" si="75"/>
        <v>潮力の精霊</v>
      </c>
    </row>
    <row r="32" spans="1:43" s="4" customFormat="1" ht="14.25" thickBot="1" x14ac:dyDescent="0.2">
      <c r="A32" s="9">
        <v>30</v>
      </c>
      <c r="B32" s="13" t="str">
        <f t="shared" ref="B32:B37" si="76">G4</f>
        <v>月明かりの徘徊者</v>
      </c>
      <c r="C32" s="10" t="str">
        <f t="shared" ref="C32:C37" si="77">H4</f>
        <v>分離主義者の虚空魔道士</v>
      </c>
      <c r="D32" s="10" t="str">
        <f t="shared" ref="D32:D37" si="78">I4</f>
        <v>とどめの一刺しのﾌｪｱﾘｰ</v>
      </c>
      <c r="E32" s="10" t="str">
        <f t="shared" ref="E32:E37" si="79">J4</f>
        <v>鋳塊かじり</v>
      </c>
      <c r="F32" s="10" t="str">
        <f t="shared" ref="F32:F37" si="80">K4</f>
        <v>彼方地のｴﾙﾌ</v>
      </c>
      <c r="G32" s="10" t="str">
        <f t="shared" ref="G32:G37" si="81">B4</f>
        <v>蛾乗りの侍</v>
      </c>
      <c r="H32" s="10" t="str">
        <f t="shared" ref="H32:H37" si="82">C4</f>
        <v>すがりつくｲｿｷﾞﾝﾁｬｸ</v>
      </c>
      <c r="I32" s="10" t="str">
        <f t="shared" ref="I32:I37" si="83">D4</f>
        <v>黒割れのｺﾞﾌﾞﾘﾝ</v>
      </c>
      <c r="J32" s="10" t="str">
        <f t="shared" ref="J32:J37" si="84">E4</f>
        <v>熱血漢の聖戦士</v>
      </c>
      <c r="K32" s="9" t="str">
        <f t="shared" ref="K32:K37" si="85">F4</f>
        <v>嚢胞抱え</v>
      </c>
      <c r="L32" s="7" t="str">
        <f t="shared" si="58"/>
        <v>重要人物のﾍﾟｯﾄ</v>
      </c>
      <c r="M32" s="8" t="str">
        <f t="shared" si="59"/>
        <v>ｲｾﾞｯﾄの時術師</v>
      </c>
      <c r="N32" s="8" t="str">
        <f t="shared" si="60"/>
        <v>ｺﾞﾙｺﾞﾝの凝視</v>
      </c>
      <c r="O32" s="8" t="str">
        <f t="shared" si="61"/>
        <v>戦乱の閃光</v>
      </c>
      <c r="P32" s="8" t="str">
        <f t="shared" si="62"/>
        <v>天上の待ち伏せ</v>
      </c>
      <c r="Q32" s="8" t="str">
        <f t="shared" si="63"/>
        <v>哀悼のｽﾗﾙ</v>
      </c>
      <c r="R32" s="8" t="str">
        <f t="shared" si="64"/>
        <v>凍結燃焼の奇魔</v>
      </c>
      <c r="S32" s="8" t="str">
        <f t="shared" si="65"/>
        <v>よろめく殻</v>
      </c>
      <c r="T32" s="8" t="str">
        <f t="shared" si="66"/>
        <v>二度裂き</v>
      </c>
      <c r="U32" s="47" t="str">
        <f t="shared" si="69"/>
        <v>超者の意向</v>
      </c>
      <c r="V32" s="45" t="str">
        <f t="shared" si="30"/>
        <v>心鍛のｺﾞｰﾚﾑ</v>
      </c>
      <c r="W32" s="68" t="s">
        <v>164</v>
      </c>
      <c r="X32" s="66" t="str">
        <f t="shared" ref="X32:AG32" si="86">X23</f>
        <v>影の中の貪り</v>
      </c>
      <c r="Y32" s="10" t="str">
        <f t="shared" si="86"/>
        <v>増え続ける荒廃</v>
      </c>
      <c r="Z32" s="10" t="str">
        <f t="shared" si="86"/>
        <v>胆液の鼠</v>
      </c>
      <c r="AA32" s="10" t="str">
        <f t="shared" si="86"/>
        <v>忌まわしい笑い</v>
      </c>
      <c r="AB32" s="10" t="str">
        <f t="shared" si="86"/>
        <v>幽霊の変わり身</v>
      </c>
      <c r="AC32" s="10" t="str">
        <f t="shared" si="86"/>
        <v>悪意に満ちた蘇りし者</v>
      </c>
      <c r="AD32" s="10" t="str">
        <f t="shared" si="86"/>
        <v>蔑み</v>
      </c>
      <c r="AE32" s="10" t="str">
        <f t="shared" si="86"/>
        <v>膿の神</v>
      </c>
      <c r="AF32" s="10" t="str">
        <f t="shared" si="86"/>
        <v>吸血Slv</v>
      </c>
      <c r="AG32" s="29" t="str">
        <f t="shared" si="86"/>
        <v>隷属</v>
      </c>
    </row>
    <row r="33" spans="1:33" s="4" customFormat="1" x14ac:dyDescent="0.15">
      <c r="A33" s="9">
        <v>31</v>
      </c>
      <c r="B33" s="13" t="str">
        <f t="shared" si="76"/>
        <v>ﾑｰｱﾗﾝﾄﾞの流れ者</v>
      </c>
      <c r="C33" s="10" t="str">
        <f t="shared" si="77"/>
        <v>熟考漂い</v>
      </c>
      <c r="D33" s="10" t="str">
        <f t="shared" si="78"/>
        <v>遠沼の亡霊</v>
      </c>
      <c r="E33" s="10" t="str">
        <f t="shared" si="79"/>
        <v>反抗するｵｰｶﾞ</v>
      </c>
      <c r="F33" s="10" t="str">
        <f t="shared" si="80"/>
        <v>道壊しﾜｰﾑ</v>
      </c>
      <c r="G33" s="10" t="str">
        <f t="shared" si="81"/>
        <v>狐の明け刃</v>
      </c>
      <c r="H33" s="10" t="str">
        <f t="shared" si="82"/>
        <v>ﾍﾘｳﾑ噴射獣</v>
      </c>
      <c r="I33" s="10" t="str">
        <f t="shared" si="83"/>
        <v>吐毒Slv</v>
      </c>
      <c r="J33" s="10" t="str">
        <f t="shared" si="84"/>
        <v>霜剣山の呪刃</v>
      </c>
      <c r="K33" s="29" t="str">
        <f t="shared" si="85"/>
        <v>荒廃後家蜘蛛</v>
      </c>
      <c r="L33" s="31"/>
      <c r="V33" s="45" t="str">
        <f t="shared" si="30"/>
        <v>ｳﾙ=ｺﾞｰﾚﾑの目</v>
      </c>
      <c r="W33" s="68" t="s">
        <v>165</v>
      </c>
      <c r="X33" s="66" t="str">
        <f t="shared" ref="X33:AG33" si="87">X24</f>
        <v>残忍な稲妻</v>
      </c>
      <c r="Y33" s="10" t="str">
        <f t="shared" si="87"/>
        <v>紅蓮地獄</v>
      </c>
      <c r="Z33" s="10" t="str">
        <f t="shared" si="87"/>
        <v>憤怒Slv</v>
      </c>
      <c r="AA33" s="10" t="str">
        <f t="shared" si="87"/>
        <v>変わり身の狂戦士</v>
      </c>
      <c r="AB33" s="10" t="str">
        <f t="shared" si="87"/>
        <v>手綱取り</v>
      </c>
      <c r="AC33" s="10" t="str">
        <f t="shared" si="87"/>
        <v>攻撃の元型</v>
      </c>
      <c r="AD33" s="10" t="str">
        <f t="shared" si="87"/>
        <v>捨て身の儀式</v>
      </c>
      <c r="AE33" s="10" t="str">
        <f t="shared" si="87"/>
        <v>血暴れの巨人</v>
      </c>
      <c r="AF33" s="10" t="str">
        <f t="shared" si="87"/>
        <v>溶岩核の精霊</v>
      </c>
      <c r="AG33" s="29" t="str">
        <f t="shared" si="87"/>
        <v>嵐血の狂戦士</v>
      </c>
    </row>
    <row r="34" spans="1:33" s="4" customFormat="1" x14ac:dyDescent="0.15">
      <c r="A34" s="9">
        <v>32</v>
      </c>
      <c r="B34" s="13" t="str">
        <f t="shared" si="76"/>
        <v>探検の猛禽</v>
      </c>
      <c r="C34" s="10" t="str">
        <f t="shared" si="77"/>
        <v>同期Slv</v>
      </c>
      <c r="D34" s="10" t="str">
        <f t="shared" si="78"/>
        <v>小走りの死神</v>
      </c>
      <c r="E34" s="10" t="str">
        <f t="shared" si="79"/>
        <v>乱打Slv</v>
      </c>
      <c r="F34" s="10" t="str">
        <f t="shared" si="80"/>
        <v>順応する跳ね顎</v>
      </c>
      <c r="G34" s="10" t="str">
        <f t="shared" si="81"/>
        <v>突風の漂い</v>
      </c>
      <c r="H34" s="10" t="str">
        <f t="shared" si="82"/>
        <v>ﾏｰﾌｫｰｸの物あさり</v>
      </c>
      <c r="I34" s="10" t="str">
        <f t="shared" si="83"/>
        <v>毒の屍賊</v>
      </c>
      <c r="J34" s="10" t="str">
        <f t="shared" si="84"/>
        <v>鉱夫の破滅</v>
      </c>
      <c r="K34" s="29" t="str">
        <f t="shared" si="85"/>
        <v>反射Slv</v>
      </c>
      <c r="L34" s="31"/>
      <c r="V34" s="45" t="str">
        <f t="shared" si="30"/>
        <v>空に届くﾏﾝﾀ</v>
      </c>
      <c r="W34" s="68" t="s">
        <v>166</v>
      </c>
      <c r="X34" s="66" t="str">
        <f t="shared" ref="X34:AG34" si="88">X25</f>
        <v>実験体</v>
      </c>
      <c r="Y34" s="10" t="str">
        <f t="shared" si="88"/>
        <v>変わり身のﾀｲﾀﾝ</v>
      </c>
      <c r="Z34" s="10" t="str">
        <f t="shared" si="88"/>
        <v>大軍の功績</v>
      </c>
      <c r="AA34" s="10" t="str">
        <f t="shared" si="88"/>
        <v>樹海の胴</v>
      </c>
      <c r="AB34" s="10" t="str">
        <f t="shared" si="88"/>
        <v>ｶﾙ･ｼｽﾏの風</v>
      </c>
      <c r="AC34" s="10" t="str">
        <f t="shared" si="88"/>
        <v>脊柱噛み</v>
      </c>
      <c r="AD34" s="10" t="str">
        <f t="shared" si="88"/>
        <v>増力Slv</v>
      </c>
      <c r="AE34" s="10" t="str">
        <f t="shared" si="88"/>
        <v>杉の力</v>
      </c>
      <c r="AF34" s="10" t="str">
        <f t="shared" si="88"/>
        <v>爆発的植生</v>
      </c>
      <c r="AG34" s="29" t="str">
        <f t="shared" si="88"/>
        <v>ｱﾅの戦闘魔道士</v>
      </c>
    </row>
    <row r="35" spans="1:33" s="4" customFormat="1" x14ac:dyDescent="0.15">
      <c r="A35" s="9">
        <v>33</v>
      </c>
      <c r="B35" s="13" t="str">
        <f t="shared" si="76"/>
        <v>薄れ馬</v>
      </c>
      <c r="C35" s="10" t="str">
        <f t="shared" si="77"/>
        <v>氷河の壊し屋</v>
      </c>
      <c r="D35" s="10" t="str">
        <f t="shared" si="78"/>
        <v>朽ちゆくﾈｽﾞﾐ</v>
      </c>
      <c r="E35" s="10" t="str">
        <f t="shared" si="79"/>
        <v>ｱｸﾛｽの兵長</v>
      </c>
      <c r="F35" s="10" t="str">
        <f t="shared" si="80"/>
        <v>確約の神主</v>
      </c>
      <c r="G35" s="10" t="str">
        <f t="shared" si="81"/>
        <v>筋力Slv</v>
      </c>
      <c r="H35" s="10" t="str">
        <f t="shared" si="82"/>
        <v>ｴｲヴﾝの偵察兵</v>
      </c>
      <c r="I35" s="10" t="str">
        <f t="shared" si="83"/>
        <v>ﾏﾙﾄﾞｩの頭蓋狩り</v>
      </c>
      <c r="J35" s="10" t="str">
        <f t="shared" si="84"/>
        <v>ｱﾀﾙｶのｲﾌﾘｰﾄ</v>
      </c>
      <c r="K35" s="29" t="str">
        <f t="shared" si="85"/>
        <v>甲鱗のﾜｰﾑ</v>
      </c>
      <c r="L35" s="31"/>
      <c r="V35" s="45" t="str">
        <f t="shared" si="30"/>
        <v>ｵﾙｿﾞﾌの導き石</v>
      </c>
      <c r="W35" s="68" t="s">
        <v>167</v>
      </c>
      <c r="X35" s="66" t="str">
        <f t="shared" ref="X35:AG35" si="89">X26</f>
        <v>乳白Slv</v>
      </c>
      <c r="Y35" s="10" t="str">
        <f t="shared" si="89"/>
        <v>狂気Slv</v>
      </c>
      <c r="Z35" s="10" t="str">
        <f t="shared" si="89"/>
        <v>霊炎Slv</v>
      </c>
      <c r="AA35" s="10" t="str">
        <f t="shared" si="89"/>
        <v>火跡Slv</v>
      </c>
      <c r="AB35" s="10" t="str">
        <f t="shared" si="89"/>
        <v>調和Slv</v>
      </c>
      <c r="AC35" s="10" t="str">
        <f t="shared" si="89"/>
        <v>壊死Slv</v>
      </c>
      <c r="AD35" s="10" t="str">
        <f t="shared" si="89"/>
        <v>熱狂Slv</v>
      </c>
      <c r="AE35" s="10" t="str">
        <f t="shared" si="89"/>
        <v>暗心Slv</v>
      </c>
      <c r="AF35" s="10" t="str">
        <f t="shared" si="89"/>
        <v>焼灼Slv</v>
      </c>
      <c r="AG35" s="29" t="str">
        <f t="shared" si="89"/>
        <v>休眠Slv</v>
      </c>
    </row>
    <row r="36" spans="1:33" s="4" customFormat="1" x14ac:dyDescent="0.15">
      <c r="A36" s="9">
        <v>34</v>
      </c>
      <c r="B36" s="13" t="str">
        <f t="shared" si="76"/>
        <v>三つぞろいの霊魂</v>
      </c>
      <c r="C36" s="10" t="str">
        <f t="shared" si="77"/>
        <v>掴み掛かる水流</v>
      </c>
      <c r="D36" s="10" t="str">
        <f t="shared" si="78"/>
        <v>死の重み</v>
      </c>
      <c r="E36" s="10" t="str">
        <f t="shared" si="79"/>
        <v>沸き立つ大地</v>
      </c>
      <c r="F36" s="10" t="str">
        <f t="shared" si="80"/>
        <v>刻みを継ぐもの</v>
      </c>
      <c r="G36" s="10" t="str">
        <f t="shared" si="81"/>
        <v>二人戦術</v>
      </c>
      <c r="H36" s="10" t="str">
        <f t="shared" si="82"/>
        <v>否認</v>
      </c>
      <c r="I36" s="10" t="str">
        <f t="shared" si="83"/>
        <v>ﾌｧｲﾚｸｼｱ化</v>
      </c>
      <c r="J36" s="10" t="str">
        <f t="shared" si="84"/>
        <v>ﾗｯﾊﾟの一吹き</v>
      </c>
      <c r="K36" s="29" t="str">
        <f t="shared" si="85"/>
        <v>木霊の手の内</v>
      </c>
      <c r="L36" s="31"/>
      <c r="V36" s="45" t="str">
        <f t="shared" si="30"/>
        <v>ｲｾﾞｯﾄの導き石</v>
      </c>
      <c r="W36" s="68" t="s">
        <v>163</v>
      </c>
      <c r="X36" s="66" t="str">
        <f t="shared" ref="X36:AG36" si="90">X27</f>
        <v>大食の雛</v>
      </c>
      <c r="Y36" s="10" t="str">
        <f t="shared" si="90"/>
        <v>ｲｾﾞｯﾄの魔除け</v>
      </c>
      <c r="Z36" s="10" t="str">
        <f t="shared" si="90"/>
        <v>有毒の雛</v>
      </c>
      <c r="AA36" s="10" t="str">
        <f t="shared" si="90"/>
        <v>先導者のらせん</v>
      </c>
      <c r="AB36" s="10" t="str">
        <f t="shared" si="90"/>
        <v>頑丈な雛</v>
      </c>
      <c r="AC36" s="10" t="str">
        <f t="shared" si="90"/>
        <v>屈辱</v>
      </c>
      <c r="AD36" s="10" t="str">
        <f t="shared" si="90"/>
        <v>明敏な雛</v>
      </c>
      <c r="AE36" s="10" t="str">
        <f t="shared" si="90"/>
        <v>死の激情</v>
      </c>
      <c r="AF36" s="10" t="str">
        <f t="shared" si="90"/>
        <v>好戦的な雛</v>
      </c>
      <c r="AG36" s="29" t="str">
        <f t="shared" si="90"/>
        <v>空乗りのｴﾙﾌ</v>
      </c>
    </row>
    <row r="37" spans="1:33" s="4" customFormat="1" ht="14.25" thickBot="1" x14ac:dyDescent="0.2">
      <c r="A37" s="9">
        <v>35</v>
      </c>
      <c r="B37" s="7" t="str">
        <f t="shared" si="76"/>
        <v>必殺の一射</v>
      </c>
      <c r="C37" s="8" t="str">
        <f t="shared" si="77"/>
        <v>未達の目</v>
      </c>
      <c r="D37" s="8" t="str">
        <f t="shared" si="78"/>
        <v>闇への追放</v>
      </c>
      <c r="E37" s="8" t="str">
        <f t="shared" si="79"/>
        <v>氷河の光線</v>
      </c>
      <c r="F37" s="8" t="str">
        <f t="shared" si="80"/>
        <v>不屈の自然</v>
      </c>
      <c r="G37" s="8" t="str">
        <f t="shared" si="81"/>
        <v>安全な道</v>
      </c>
      <c r="H37" s="8" t="str">
        <f t="shared" si="82"/>
        <v>閉所恐怖症</v>
      </c>
      <c r="I37" s="8" t="str">
        <f t="shared" si="83"/>
        <v>影切り</v>
      </c>
      <c r="J37" s="8" t="str">
        <f t="shared" si="84"/>
        <v>感電の弧炎</v>
      </c>
      <c r="K37" s="30" t="str">
        <f t="shared" si="85"/>
        <v>ﾋﾟｽﾀｽの一撃</v>
      </c>
      <c r="L37" s="31"/>
      <c r="V37" s="45" t="str">
        <f t="shared" si="30"/>
        <v>ｺﾞﾙｶﾞﾘの導き石</v>
      </c>
      <c r="W37" s="68" t="s">
        <v>164</v>
      </c>
      <c r="X37" s="66" t="str">
        <f t="shared" ref="X37:AG37" si="91">X28</f>
        <v>ｾﾗの天使</v>
      </c>
      <c r="Y37" s="10" t="str">
        <f t="shared" si="91"/>
        <v>利得+損失</v>
      </c>
      <c r="Z37" s="10" t="str">
        <f t="shared" si="91"/>
        <v>雲変化</v>
      </c>
      <c r="AA37" s="10" t="str">
        <f t="shared" si="91"/>
        <v>変化+点火</v>
      </c>
      <c r="AB37" s="10" t="str">
        <f t="shared" si="91"/>
        <v>戦慄の復活</v>
      </c>
      <c r="AC37" s="10" t="str">
        <f t="shared" si="91"/>
        <v>有害+不潔</v>
      </c>
      <c r="AD37" s="10" t="str">
        <f t="shared" si="91"/>
        <v>山崎兄弟</v>
      </c>
      <c r="AE37" s="10" t="str">
        <f t="shared" si="91"/>
        <v>摩耗+損耗</v>
      </c>
      <c r="AF37" s="10" t="str">
        <f t="shared" si="91"/>
        <v>怒りの発散</v>
      </c>
      <c r="AG37" s="29" t="str">
        <f t="shared" si="91"/>
        <v>投与+享受</v>
      </c>
    </row>
    <row r="38" spans="1:33" s="4" customFormat="1" x14ac:dyDescent="0.15">
      <c r="V38" s="45" t="str">
        <f t="shared" si="30"/>
        <v>ﾎﾞﾛｽの導き石</v>
      </c>
      <c r="W38" s="68" t="s">
        <v>165</v>
      </c>
      <c r="X38" s="66" t="str">
        <f t="shared" ref="X38:AG38" si="92">X29</f>
        <v>永遠溢れの杯</v>
      </c>
      <c r="Y38" s="10" t="str">
        <f t="shared" si="92"/>
        <v>ｱﾌﾞｻﾞﾝ土地</v>
      </c>
      <c r="Z38" s="10" t="str">
        <f t="shared" si="92"/>
        <v>隕石</v>
      </c>
      <c r="AA38" s="10" t="str">
        <f t="shared" si="92"/>
        <v>ｼﾞｪｽｶｲ土地</v>
      </c>
      <c r="AB38" s="10" t="str">
        <f t="shared" si="92"/>
        <v>生体融合外骨格</v>
      </c>
      <c r="AC38" s="10" t="str">
        <f t="shared" si="92"/>
        <v>ｽｩﾙﾀｲ土地</v>
      </c>
      <c r="AD38" s="10" t="str">
        <f t="shared" si="92"/>
        <v>信号の邪魔者</v>
      </c>
      <c r="AE38" s="10" t="str">
        <f t="shared" si="92"/>
        <v>ﾏﾙﾄﾞｩ土地</v>
      </c>
      <c r="AF38" s="10" t="str">
        <f t="shared" si="92"/>
        <v>ﾏﾅ力の鎚鉾</v>
      </c>
      <c r="AG38" s="29" t="str">
        <f t="shared" si="92"/>
        <v>ﾃｨﾑｰﾙ土地</v>
      </c>
    </row>
    <row r="39" spans="1:33" s="4" customForma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V39" s="45" t="str">
        <f t="shared" si="30"/>
        <v>ｼﾐｯｸの導き石</v>
      </c>
      <c r="W39" s="68" t="s">
        <v>166</v>
      </c>
    </row>
    <row r="40" spans="1:33" s="4" customForma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V40" s="45" t="str">
        <f t="shared" si="30"/>
        <v>心鍛のｺﾞｰﾚﾑ</v>
      </c>
      <c r="W40" s="68" t="s">
        <v>167</v>
      </c>
    </row>
    <row r="41" spans="1:33" s="4" customFormat="1" x14ac:dyDescent="0.15">
      <c r="A41"/>
      <c r="B41"/>
      <c r="D41"/>
      <c r="E41"/>
      <c r="F41"/>
      <c r="G41"/>
      <c r="V41" s="45" t="str">
        <f t="shared" si="30"/>
        <v>ｳﾙ=ｺﾞｰﾚﾑの目</v>
      </c>
      <c r="W41" s="68" t="s">
        <v>726</v>
      </c>
    </row>
    <row r="42" spans="1:33" s="4" customFormat="1" x14ac:dyDescent="0.15">
      <c r="A42"/>
      <c r="B42"/>
      <c r="D42"/>
      <c r="E42"/>
      <c r="F42"/>
      <c r="V42" s="45" t="str">
        <f t="shared" si="30"/>
        <v>空に届くﾏﾝﾀ</v>
      </c>
      <c r="W42" s="68" t="s">
        <v>727</v>
      </c>
    </row>
    <row r="43" spans="1:33" s="4" customFormat="1" x14ac:dyDescent="0.15">
      <c r="A43"/>
      <c r="B43"/>
      <c r="D43"/>
      <c r="E43"/>
      <c r="F43"/>
      <c r="V43" s="45"/>
      <c r="W43" s="68" t="s">
        <v>157</v>
      </c>
    </row>
    <row r="44" spans="1:33" s="4" customFormat="1" x14ac:dyDescent="0.15">
      <c r="A44"/>
      <c r="B44"/>
      <c r="D44"/>
      <c r="E44"/>
      <c r="F44"/>
      <c r="V44" s="45"/>
      <c r="W44" s="68" t="s">
        <v>159</v>
      </c>
    </row>
    <row r="45" spans="1:33" s="4" customFormat="1" x14ac:dyDescent="0.15">
      <c r="A45"/>
      <c r="B45"/>
      <c r="D45"/>
      <c r="E45"/>
      <c r="F45"/>
      <c r="V45" s="45"/>
      <c r="W45" s="68" t="s">
        <v>163</v>
      </c>
    </row>
    <row r="46" spans="1:33" s="4" customFormat="1" x14ac:dyDescent="0.15">
      <c r="A46"/>
      <c r="B46"/>
      <c r="D46"/>
      <c r="E46"/>
      <c r="F46"/>
      <c r="V46" s="45"/>
      <c r="W46" s="68" t="s">
        <v>164</v>
      </c>
    </row>
    <row r="47" spans="1:33" s="4" customFormat="1" x14ac:dyDescent="0.15">
      <c r="A47"/>
      <c r="B47"/>
      <c r="D47"/>
      <c r="E47"/>
      <c r="F47"/>
      <c r="V47" s="45"/>
      <c r="W47" s="68" t="s">
        <v>165</v>
      </c>
    </row>
    <row r="48" spans="1:33" s="4" customFormat="1" x14ac:dyDescent="0.15">
      <c r="A48"/>
      <c r="B48"/>
      <c r="D48"/>
      <c r="E48"/>
      <c r="F48"/>
      <c r="V48" s="45"/>
      <c r="W48" s="68" t="s">
        <v>166</v>
      </c>
    </row>
    <row r="49" spans="1:43" s="4" customFormat="1" x14ac:dyDescent="0.15">
      <c r="A49"/>
      <c r="B49"/>
      <c r="D49"/>
      <c r="E49"/>
      <c r="F49"/>
      <c r="V49" s="45"/>
      <c r="W49" s="68" t="s">
        <v>167</v>
      </c>
    </row>
    <row r="50" spans="1:43" s="4" customFormat="1" x14ac:dyDescent="0.15">
      <c r="A50"/>
      <c r="B50"/>
      <c r="D50"/>
      <c r="E50"/>
      <c r="F50"/>
      <c r="V50" s="45"/>
      <c r="W50" s="68" t="s">
        <v>163</v>
      </c>
    </row>
    <row r="51" spans="1:43" s="4" customFormat="1" ht="14.25" thickBot="1" x14ac:dyDescent="0.2">
      <c r="A51"/>
      <c r="B51"/>
      <c r="D51"/>
      <c r="E51"/>
      <c r="F51"/>
      <c r="V51" s="46"/>
      <c r="W51" s="68" t="s">
        <v>164</v>
      </c>
    </row>
    <row r="52" spans="1:43" s="4" customFormat="1" x14ac:dyDescent="0.15">
      <c r="A52"/>
      <c r="B52"/>
      <c r="D52"/>
      <c r="E52"/>
      <c r="F52"/>
      <c r="W52" s="68" t="s">
        <v>165</v>
      </c>
    </row>
    <row r="53" spans="1:43" s="4" customFormat="1" x14ac:dyDescent="0.15">
      <c r="A53"/>
      <c r="B53"/>
      <c r="D53"/>
      <c r="E53"/>
      <c r="F53"/>
      <c r="W53" s="68" t="s">
        <v>166</v>
      </c>
    </row>
    <row r="54" spans="1:43" s="4" customFormat="1" x14ac:dyDescent="0.15">
      <c r="A54"/>
      <c r="B54"/>
      <c r="D54"/>
      <c r="E54"/>
      <c r="F54"/>
      <c r="W54" s="68" t="s">
        <v>167</v>
      </c>
    </row>
    <row r="55" spans="1:43" s="4" customFormat="1" x14ac:dyDescent="0.15">
      <c r="A55"/>
      <c r="B55"/>
      <c r="D55"/>
      <c r="E55"/>
      <c r="F55"/>
      <c r="W55" s="68" t="s">
        <v>726</v>
      </c>
    </row>
    <row r="56" spans="1:43" s="4" customFormat="1" x14ac:dyDescent="0.15">
      <c r="A56"/>
      <c r="B56"/>
      <c r="D56"/>
      <c r="E56"/>
      <c r="F56"/>
      <c r="W56" s="68" t="s">
        <v>727</v>
      </c>
    </row>
    <row r="57" spans="1:43" s="4" customFormat="1" x14ac:dyDescent="0.15">
      <c r="A57"/>
      <c r="B57"/>
      <c r="D57"/>
      <c r="E57"/>
      <c r="F57"/>
      <c r="W57" s="68" t="s">
        <v>157</v>
      </c>
    </row>
    <row r="58" spans="1:43" s="4" customFormat="1" x14ac:dyDescent="0.15">
      <c r="A58"/>
      <c r="B58"/>
      <c r="D58"/>
      <c r="E58"/>
      <c r="F58"/>
      <c r="W58" s="68" t="s">
        <v>159</v>
      </c>
      <c r="AK58" s="4" t="str">
        <f t="shared" ref="AK58:AP63" si="93">ASC(AK20)</f>
        <v/>
      </c>
      <c r="AL58" s="4" t="str">
        <f t="shared" si="93"/>
        <v/>
      </c>
      <c r="AM58" s="4" t="str">
        <f t="shared" si="93"/>
        <v/>
      </c>
      <c r="AN58" s="4" t="str">
        <f t="shared" si="93"/>
        <v/>
      </c>
      <c r="AO58" s="4" t="str">
        <f t="shared" si="93"/>
        <v/>
      </c>
      <c r="AP58" s="4" t="str">
        <f t="shared" si="93"/>
        <v/>
      </c>
      <c r="AQ58" s="4" t="str">
        <f t="shared" ref="AQ58" si="94">ASC(AQ20)</f>
        <v/>
      </c>
    </row>
    <row r="59" spans="1:43" s="4" customFormat="1" x14ac:dyDescent="0.15">
      <c r="A59"/>
      <c r="B59"/>
      <c r="D59"/>
      <c r="E59"/>
      <c r="F59"/>
      <c r="W59" s="68" t="s">
        <v>163</v>
      </c>
      <c r="AK59" s="4" t="str">
        <f t="shared" si="93"/>
        <v/>
      </c>
      <c r="AL59" s="4" t="str">
        <f t="shared" si="93"/>
        <v/>
      </c>
      <c r="AM59" s="4" t="str">
        <f t="shared" si="93"/>
        <v/>
      </c>
      <c r="AN59" s="4" t="str">
        <f t="shared" si="93"/>
        <v/>
      </c>
      <c r="AO59" s="4" t="str">
        <f t="shared" si="93"/>
        <v/>
      </c>
      <c r="AP59" s="4" t="str">
        <f t="shared" si="93"/>
        <v/>
      </c>
      <c r="AQ59" s="4" t="str">
        <f t="shared" ref="AQ59" si="95">ASC(AQ21)</f>
        <v/>
      </c>
    </row>
    <row r="60" spans="1:43" s="4" customFormat="1" x14ac:dyDescent="0.15">
      <c r="A60"/>
      <c r="B60"/>
      <c r="D60"/>
      <c r="E60"/>
      <c r="F60"/>
      <c r="W60" s="68" t="s">
        <v>164</v>
      </c>
      <c r="AK60" s="4" t="str">
        <f t="shared" si="93"/>
        <v/>
      </c>
      <c r="AL60" s="4" t="str">
        <f t="shared" si="93"/>
        <v/>
      </c>
      <c r="AM60" s="4" t="str">
        <f t="shared" si="93"/>
        <v/>
      </c>
      <c r="AN60" s="4" t="str">
        <f t="shared" si="93"/>
        <v/>
      </c>
      <c r="AO60" s="4" t="str">
        <f t="shared" si="93"/>
        <v/>
      </c>
      <c r="AP60" s="4" t="str">
        <f t="shared" si="93"/>
        <v/>
      </c>
      <c r="AQ60" s="4" t="str">
        <f t="shared" ref="AQ60" si="96">ASC(AQ22)</f>
        <v/>
      </c>
    </row>
    <row r="61" spans="1:43" s="4" customFormat="1" x14ac:dyDescent="0.15">
      <c r="A61"/>
      <c r="B61"/>
      <c r="D61"/>
      <c r="E61"/>
      <c r="F61"/>
      <c r="W61" s="68" t="s">
        <v>165</v>
      </c>
      <c r="AK61" s="4" t="str">
        <f t="shared" si="93"/>
        <v/>
      </c>
      <c r="AL61" s="4" t="str">
        <f t="shared" si="93"/>
        <v/>
      </c>
      <c r="AM61" s="4" t="str">
        <f t="shared" si="93"/>
        <v/>
      </c>
      <c r="AN61" s="4" t="str">
        <f t="shared" si="93"/>
        <v/>
      </c>
      <c r="AO61" s="4" t="str">
        <f t="shared" si="93"/>
        <v/>
      </c>
      <c r="AP61" s="4" t="str">
        <f t="shared" si="93"/>
        <v/>
      </c>
      <c r="AQ61" s="4" t="str">
        <f t="shared" ref="AQ61" si="97">ASC(AQ23)</f>
        <v/>
      </c>
    </row>
    <row r="62" spans="1:43" s="4" customFormat="1" x14ac:dyDescent="0.15">
      <c r="A62"/>
      <c r="B62"/>
      <c r="D62"/>
      <c r="E62"/>
      <c r="F62"/>
      <c r="W62" s="68" t="s">
        <v>166</v>
      </c>
      <c r="AK62" s="4" t="str">
        <f t="shared" si="93"/>
        <v/>
      </c>
      <c r="AL62" s="4" t="str">
        <f t="shared" si="93"/>
        <v/>
      </c>
      <c r="AM62" s="4" t="str">
        <f t="shared" si="93"/>
        <v/>
      </c>
      <c r="AN62" s="4" t="str">
        <f t="shared" si="93"/>
        <v/>
      </c>
      <c r="AO62" s="4" t="str">
        <f t="shared" si="93"/>
        <v/>
      </c>
      <c r="AP62" s="4" t="str">
        <f t="shared" si="93"/>
        <v/>
      </c>
      <c r="AQ62" s="4" t="str">
        <f t="shared" ref="AQ62" si="98">ASC(AQ24)</f>
        <v/>
      </c>
    </row>
    <row r="63" spans="1:43" s="4" customFormat="1" x14ac:dyDescent="0.15">
      <c r="A63"/>
      <c r="B63"/>
      <c r="D63"/>
      <c r="E63"/>
      <c r="F63"/>
      <c r="W63" s="68" t="s">
        <v>167</v>
      </c>
      <c r="AK63" s="4" t="str">
        <f t="shared" si="93"/>
        <v/>
      </c>
      <c r="AL63" s="4" t="str">
        <f t="shared" si="93"/>
        <v/>
      </c>
      <c r="AM63" s="4" t="str">
        <f t="shared" si="93"/>
        <v/>
      </c>
      <c r="AN63" s="4" t="str">
        <f t="shared" si="93"/>
        <v/>
      </c>
      <c r="AO63" s="4" t="str">
        <f t="shared" si="93"/>
        <v/>
      </c>
      <c r="AP63" s="4" t="str">
        <f t="shared" si="93"/>
        <v/>
      </c>
      <c r="AQ63" s="4" t="str">
        <f t="shared" ref="AQ63" si="99">ASC(AQ25)</f>
        <v/>
      </c>
    </row>
    <row r="64" spans="1:43" s="4" customFormat="1" x14ac:dyDescent="0.15">
      <c r="A64"/>
      <c r="B64"/>
      <c r="D64"/>
      <c r="E64"/>
      <c r="F64"/>
      <c r="W64" s="68" t="s">
        <v>163</v>
      </c>
      <c r="AI64" s="4" t="str">
        <f t="shared" ref="AI64:AI72" si="100">ASC(AN37)</f>
        <v/>
      </c>
      <c r="AJ64" s="4" t="str">
        <f t="shared" ref="AJ64:AJ72" si="101">ASC(AO37)</f>
        <v/>
      </c>
      <c r="AK64" s="4" t="str">
        <f t="shared" ref="AK64:AK72" si="102">ASC(AP37)</f>
        <v/>
      </c>
      <c r="AL64" s="4" t="str">
        <f t="shared" ref="AL64:AL72" si="103">ASC(AQ37)</f>
        <v/>
      </c>
      <c r="AM64" s="4" t="str">
        <f t="shared" ref="AM64:AM72" si="104">ASC(AR37)</f>
        <v/>
      </c>
      <c r="AN64" s="4" t="str">
        <f t="shared" ref="AN64:AN72" si="105">ASC(AI37)</f>
        <v/>
      </c>
      <c r="AO64" s="4" t="str">
        <f t="shared" ref="AO64:AO72" si="106">ASC(AJ37)</f>
        <v/>
      </c>
      <c r="AP64" s="4" t="str">
        <f t="shared" ref="AP64:AP72" si="107">ASC(AK37)</f>
        <v/>
      </c>
      <c r="AQ64" s="4" t="str">
        <f t="shared" ref="AQ64:AQ72" si="108">ASC(AL37)</f>
        <v/>
      </c>
    </row>
    <row r="65" spans="1:43" s="4" customFormat="1" x14ac:dyDescent="0.15">
      <c r="A65"/>
      <c r="B65"/>
      <c r="D65"/>
      <c r="E65"/>
      <c r="F65"/>
      <c r="W65" s="68" t="s">
        <v>164</v>
      </c>
      <c r="AI65" s="4" t="str">
        <f t="shared" si="100"/>
        <v/>
      </c>
      <c r="AJ65" s="4" t="str">
        <f t="shared" si="101"/>
        <v/>
      </c>
      <c r="AK65" s="4" t="str">
        <f t="shared" si="102"/>
        <v/>
      </c>
      <c r="AL65" s="4" t="str">
        <f t="shared" si="103"/>
        <v/>
      </c>
      <c r="AM65" s="4" t="str">
        <f t="shared" si="104"/>
        <v/>
      </c>
      <c r="AN65" s="4" t="str">
        <f t="shared" si="105"/>
        <v/>
      </c>
      <c r="AO65" s="4" t="str">
        <f t="shared" si="106"/>
        <v/>
      </c>
      <c r="AP65" s="4" t="str">
        <f t="shared" si="107"/>
        <v/>
      </c>
      <c r="AQ65" s="4" t="str">
        <f t="shared" si="108"/>
        <v/>
      </c>
    </row>
    <row r="66" spans="1:43" s="4" customFormat="1" x14ac:dyDescent="0.15">
      <c r="A66"/>
      <c r="B66"/>
      <c r="D66"/>
      <c r="E66"/>
      <c r="F66"/>
      <c r="W66" s="68" t="s">
        <v>165</v>
      </c>
      <c r="AI66" s="4" t="str">
        <f t="shared" si="100"/>
        <v/>
      </c>
      <c r="AJ66" s="4" t="str">
        <f t="shared" si="101"/>
        <v/>
      </c>
      <c r="AK66" s="4" t="str">
        <f t="shared" si="102"/>
        <v/>
      </c>
      <c r="AL66" s="4" t="str">
        <f t="shared" si="103"/>
        <v/>
      </c>
      <c r="AM66" s="4" t="str">
        <f t="shared" si="104"/>
        <v/>
      </c>
      <c r="AN66" s="4" t="str">
        <f t="shared" si="105"/>
        <v/>
      </c>
      <c r="AO66" s="4" t="str">
        <f t="shared" si="106"/>
        <v/>
      </c>
      <c r="AP66" s="4" t="str">
        <f t="shared" si="107"/>
        <v/>
      </c>
      <c r="AQ66" s="4" t="str">
        <f t="shared" si="108"/>
        <v/>
      </c>
    </row>
    <row r="67" spans="1:43" s="4" customFormat="1" x14ac:dyDescent="0.15">
      <c r="A67"/>
      <c r="B67"/>
      <c r="D67"/>
      <c r="E67"/>
      <c r="F67"/>
      <c r="W67" s="68" t="s">
        <v>166</v>
      </c>
      <c r="AI67" s="4" t="str">
        <f t="shared" si="100"/>
        <v/>
      </c>
      <c r="AJ67" s="4" t="str">
        <f t="shared" si="101"/>
        <v/>
      </c>
      <c r="AK67" s="4" t="str">
        <f t="shared" si="102"/>
        <v/>
      </c>
      <c r="AL67" s="4" t="str">
        <f t="shared" si="103"/>
        <v/>
      </c>
      <c r="AM67" s="4" t="str">
        <f t="shared" si="104"/>
        <v/>
      </c>
      <c r="AN67" s="4" t="str">
        <f t="shared" si="105"/>
        <v/>
      </c>
      <c r="AO67" s="4" t="str">
        <f t="shared" si="106"/>
        <v/>
      </c>
      <c r="AP67" s="4" t="str">
        <f t="shared" si="107"/>
        <v/>
      </c>
      <c r="AQ67" s="4" t="str">
        <f t="shared" si="108"/>
        <v/>
      </c>
    </row>
    <row r="68" spans="1:43" s="4" customFormat="1" x14ac:dyDescent="0.15">
      <c r="A68"/>
      <c r="B68"/>
      <c r="D68"/>
      <c r="E68"/>
      <c r="F68"/>
      <c r="W68" s="68" t="s">
        <v>167</v>
      </c>
      <c r="AI68" s="4" t="str">
        <f t="shared" si="100"/>
        <v/>
      </c>
      <c r="AJ68" s="4" t="str">
        <f t="shared" si="101"/>
        <v/>
      </c>
      <c r="AK68" s="4" t="str">
        <f t="shared" si="102"/>
        <v/>
      </c>
      <c r="AL68" s="4" t="str">
        <f t="shared" si="103"/>
        <v/>
      </c>
      <c r="AM68" s="4" t="str">
        <f t="shared" si="104"/>
        <v/>
      </c>
      <c r="AN68" s="4" t="str">
        <f t="shared" si="105"/>
        <v/>
      </c>
      <c r="AO68" s="4" t="str">
        <f t="shared" si="106"/>
        <v/>
      </c>
      <c r="AP68" s="4" t="str">
        <f t="shared" si="107"/>
        <v/>
      </c>
      <c r="AQ68" s="4" t="str">
        <f t="shared" si="108"/>
        <v/>
      </c>
    </row>
    <row r="69" spans="1:43" s="4" customFormat="1" x14ac:dyDescent="0.15">
      <c r="A69"/>
      <c r="B69"/>
      <c r="D69"/>
      <c r="E69"/>
      <c r="F69"/>
      <c r="W69" s="68" t="s">
        <v>726</v>
      </c>
      <c r="AI69" s="4" t="str">
        <f t="shared" si="100"/>
        <v/>
      </c>
      <c r="AJ69" s="4" t="str">
        <f t="shared" si="101"/>
        <v/>
      </c>
      <c r="AK69" s="4" t="str">
        <f t="shared" si="102"/>
        <v/>
      </c>
      <c r="AL69" s="4" t="str">
        <f t="shared" si="103"/>
        <v/>
      </c>
      <c r="AM69" s="4" t="str">
        <f t="shared" si="104"/>
        <v/>
      </c>
      <c r="AN69" s="4" t="str">
        <f t="shared" si="105"/>
        <v/>
      </c>
      <c r="AO69" s="4" t="str">
        <f t="shared" si="106"/>
        <v/>
      </c>
      <c r="AP69" s="4" t="str">
        <f t="shared" si="107"/>
        <v/>
      </c>
      <c r="AQ69" s="4" t="str">
        <f t="shared" si="108"/>
        <v/>
      </c>
    </row>
    <row r="70" spans="1:43" s="4" customFormat="1" x14ac:dyDescent="0.15">
      <c r="A70"/>
      <c r="B70"/>
      <c r="D70"/>
      <c r="E70"/>
      <c r="F70"/>
      <c r="W70" s="68" t="s">
        <v>727</v>
      </c>
      <c r="AI70" s="4" t="str">
        <f t="shared" si="100"/>
        <v/>
      </c>
      <c r="AJ70" s="4" t="str">
        <f t="shared" si="101"/>
        <v/>
      </c>
      <c r="AK70" s="4" t="str">
        <f t="shared" si="102"/>
        <v/>
      </c>
      <c r="AL70" s="4" t="str">
        <f t="shared" si="103"/>
        <v/>
      </c>
      <c r="AM70" s="4" t="str">
        <f t="shared" si="104"/>
        <v/>
      </c>
      <c r="AN70" s="4" t="str">
        <f t="shared" si="105"/>
        <v/>
      </c>
      <c r="AO70" s="4" t="str">
        <f t="shared" si="106"/>
        <v/>
      </c>
      <c r="AP70" s="4" t="str">
        <f t="shared" si="107"/>
        <v/>
      </c>
      <c r="AQ70" s="4" t="str">
        <f t="shared" si="108"/>
        <v/>
      </c>
    </row>
    <row r="71" spans="1:43" s="4" customFormat="1" x14ac:dyDescent="0.15">
      <c r="A71"/>
      <c r="B71"/>
      <c r="D71"/>
      <c r="E71"/>
      <c r="F71"/>
      <c r="L71"/>
      <c r="M71"/>
      <c r="W71" s="68" t="s">
        <v>157</v>
      </c>
      <c r="AI71" s="4" t="str">
        <f t="shared" si="100"/>
        <v/>
      </c>
      <c r="AJ71" s="4" t="str">
        <f t="shared" si="101"/>
        <v/>
      </c>
      <c r="AK71" s="4" t="str">
        <f t="shared" si="102"/>
        <v/>
      </c>
      <c r="AL71" s="4" t="str">
        <f t="shared" si="103"/>
        <v/>
      </c>
      <c r="AM71" s="4" t="str">
        <f t="shared" si="104"/>
        <v/>
      </c>
      <c r="AN71" s="4" t="str">
        <f t="shared" si="105"/>
        <v/>
      </c>
      <c r="AO71" s="4" t="str">
        <f t="shared" si="106"/>
        <v/>
      </c>
      <c r="AP71" s="4" t="str">
        <f t="shared" si="107"/>
        <v/>
      </c>
      <c r="AQ71" s="4" t="str">
        <f t="shared" si="108"/>
        <v/>
      </c>
    </row>
    <row r="72" spans="1:43" s="4" customFormat="1" ht="14.25" thickBot="1" x14ac:dyDescent="0.2">
      <c r="A72"/>
      <c r="B72"/>
      <c r="D72"/>
      <c r="E72"/>
      <c r="F72"/>
      <c r="L72"/>
      <c r="M72"/>
      <c r="W72" s="69" t="s">
        <v>159</v>
      </c>
      <c r="AI72" s="4" t="str">
        <f t="shared" si="100"/>
        <v/>
      </c>
      <c r="AJ72" s="4" t="str">
        <f t="shared" si="101"/>
        <v/>
      </c>
      <c r="AK72" s="4" t="str">
        <f t="shared" si="102"/>
        <v/>
      </c>
      <c r="AL72" s="4" t="str">
        <f t="shared" si="103"/>
        <v/>
      </c>
      <c r="AM72" s="4" t="str">
        <f t="shared" si="104"/>
        <v/>
      </c>
      <c r="AN72" s="4" t="str">
        <f t="shared" si="105"/>
        <v/>
      </c>
      <c r="AO72" s="4" t="str">
        <f t="shared" si="106"/>
        <v/>
      </c>
      <c r="AP72" s="4" t="str">
        <f t="shared" si="107"/>
        <v/>
      </c>
      <c r="AQ72" s="4" t="str">
        <f t="shared" si="108"/>
        <v/>
      </c>
    </row>
    <row r="73" spans="1:43" s="4" customFormat="1" x14ac:dyDescent="0.15">
      <c r="A73"/>
      <c r="B73"/>
      <c r="D73"/>
      <c r="E73"/>
      <c r="F73"/>
      <c r="L73"/>
      <c r="M73"/>
      <c r="AI73" s="4" t="str">
        <f t="shared" ref="AI73:AP74" si="109">ASC(AI35)</f>
        <v/>
      </c>
      <c r="AJ73" s="4" t="str">
        <f t="shared" si="109"/>
        <v/>
      </c>
      <c r="AK73" s="4" t="str">
        <f t="shared" si="109"/>
        <v/>
      </c>
      <c r="AL73" s="4" t="str">
        <f t="shared" si="109"/>
        <v/>
      </c>
      <c r="AM73" s="4" t="str">
        <f t="shared" si="109"/>
        <v/>
      </c>
      <c r="AN73" s="4" t="str">
        <f t="shared" si="109"/>
        <v/>
      </c>
      <c r="AO73" s="4" t="str">
        <f t="shared" si="109"/>
        <v/>
      </c>
      <c r="AP73" s="4" t="str">
        <f t="shared" si="109"/>
        <v/>
      </c>
      <c r="AQ73" s="4" t="str">
        <f t="shared" ref="AQ73" si="110">ASC(AQ35)</f>
        <v/>
      </c>
    </row>
    <row r="74" spans="1:43" s="4" customFormat="1" x14ac:dyDescent="0.15">
      <c r="A74"/>
      <c r="B74"/>
      <c r="D74"/>
      <c r="E74"/>
      <c r="F74"/>
      <c r="L74"/>
      <c r="M74"/>
      <c r="AI74" s="4" t="str">
        <f t="shared" si="109"/>
        <v/>
      </c>
      <c r="AJ74" s="4" t="str">
        <f t="shared" si="109"/>
        <v/>
      </c>
      <c r="AK74" s="4" t="str">
        <f t="shared" si="109"/>
        <v/>
      </c>
      <c r="AL74" s="4" t="str">
        <f t="shared" si="109"/>
        <v/>
      </c>
      <c r="AM74" s="4" t="str">
        <f t="shared" si="109"/>
        <v/>
      </c>
      <c r="AN74" s="4" t="str">
        <f t="shared" si="109"/>
        <v/>
      </c>
      <c r="AO74" s="4" t="str">
        <f t="shared" si="109"/>
        <v/>
      </c>
      <c r="AP74" s="4" t="str">
        <f t="shared" si="109"/>
        <v/>
      </c>
      <c r="AQ74" s="4" t="str">
        <f t="shared" ref="AQ74" si="111">ASC(AQ36)</f>
        <v/>
      </c>
    </row>
    <row r="75" spans="1:43" s="4" customFormat="1" x14ac:dyDescent="0.15">
      <c r="A75"/>
      <c r="B75"/>
      <c r="D75"/>
      <c r="E75"/>
      <c r="F75"/>
      <c r="L75"/>
      <c r="M75"/>
      <c r="AI75" s="4" t="e">
        <f>ASC(#REF!)</f>
        <v>#REF!</v>
      </c>
      <c r="AJ75" s="4" t="e">
        <f>ASC(#REF!)</f>
        <v>#REF!</v>
      </c>
      <c r="AK75" s="4" t="e">
        <f>ASC(#REF!)</f>
        <v>#REF!</v>
      </c>
      <c r="AL75" s="4" t="e">
        <f>ASC(#REF!)</f>
        <v>#REF!</v>
      </c>
      <c r="AM75" s="4" t="e">
        <f>ASC(#REF!)</f>
        <v>#REF!</v>
      </c>
      <c r="AN75" s="4" t="e">
        <f>ASC(#REF!)</f>
        <v>#REF!</v>
      </c>
      <c r="AO75" s="4" t="e">
        <f>ASC(#REF!)</f>
        <v>#REF!</v>
      </c>
      <c r="AP75" s="4" t="e">
        <f>ASC(#REF!)</f>
        <v>#REF!</v>
      </c>
      <c r="AQ75" s="4" t="e">
        <f>ASC(#REF!)</f>
        <v>#REF!</v>
      </c>
    </row>
    <row r="76" spans="1:43" s="4" customForma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AI76" s="4" t="e">
        <f>ASC(#REF!)</f>
        <v>#REF!</v>
      </c>
      <c r="AJ76" s="4" t="e">
        <f>ASC(#REF!)</f>
        <v>#REF!</v>
      </c>
      <c r="AK76" s="4" t="e">
        <f>ASC(#REF!)</f>
        <v>#REF!</v>
      </c>
      <c r="AL76" s="4" t="e">
        <f>ASC(#REF!)</f>
        <v>#REF!</v>
      </c>
      <c r="AM76" s="4" t="e">
        <f>ASC(#REF!)</f>
        <v>#REF!</v>
      </c>
      <c r="AN76" s="4" t="e">
        <f>ASC(#REF!)</f>
        <v>#REF!</v>
      </c>
      <c r="AO76" s="4" t="e">
        <f>ASC(#REF!)</f>
        <v>#REF!</v>
      </c>
      <c r="AP76" s="4" t="e">
        <f>ASC(#REF!)</f>
        <v>#REF!</v>
      </c>
      <c r="AQ76" s="4" t="e">
        <f>ASC(#REF!)</f>
        <v>#REF!</v>
      </c>
    </row>
    <row r="77" spans="1:43" s="4" customForma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AI77" s="4" t="e">
        <f>ASC(#REF!)</f>
        <v>#REF!</v>
      </c>
      <c r="AJ77" s="4" t="e">
        <f>ASC(#REF!)</f>
        <v>#REF!</v>
      </c>
      <c r="AK77" s="4" t="e">
        <f>ASC(#REF!)</f>
        <v>#REF!</v>
      </c>
      <c r="AL77" s="4" t="e">
        <f>ASC(#REF!)</f>
        <v>#REF!</v>
      </c>
      <c r="AM77" s="4" t="e">
        <f>ASC(#REF!)</f>
        <v>#REF!</v>
      </c>
      <c r="AN77" s="4" t="e">
        <f>ASC(#REF!)</f>
        <v>#REF!</v>
      </c>
      <c r="AO77" s="4" t="e">
        <f>ASC(#REF!)</f>
        <v>#REF!</v>
      </c>
      <c r="AP77" s="4" t="e">
        <f>ASC(#REF!)</f>
        <v>#REF!</v>
      </c>
      <c r="AQ77" s="4" t="e">
        <f>ASC(#REF!)</f>
        <v>#REF!</v>
      </c>
    </row>
    <row r="78" spans="1:43" s="4" customForma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</row>
    <row r="79" spans="1:43" s="4" customForma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</row>
    <row r="80" spans="1:43" s="4" customForma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</row>
    <row r="81" spans="1:13" s="4" customForma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</row>
    <row r="82" spans="1:13" s="4" customForma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</row>
    <row r="83" spans="1:13" s="4" customForma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</row>
    <row r="84" spans="1:13" s="4" customForma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</row>
    <row r="85" spans="1:13" s="4" customForma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</row>
    <row r="86" spans="1:13" s="4" customForma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</row>
    <row r="87" spans="1:13" s="4" customForma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</row>
    <row r="88" spans="1:13" s="4" customForma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</row>
    <row r="89" spans="1:13" s="4" customForma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</row>
    <row r="90" spans="1:13" s="4" customForma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</row>
    <row r="91" spans="1:13" s="4" customForma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</row>
    <row r="92" spans="1:13" s="4" customForma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</row>
    <row r="93" spans="1:13" s="4" customForma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</row>
    <row r="94" spans="1:13" s="4" customForma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</row>
    <row r="95" spans="1:13" s="4" customForma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</row>
    <row r="96" spans="1:13" s="4" customForma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</row>
    <row r="97" spans="1:13" s="4" customForma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</row>
    <row r="98" spans="1:13" s="4" customForma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</row>
    <row r="99" spans="1:13" s="4" customForma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</row>
    <row r="100" spans="1:13" s="4" customForma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</row>
    <row r="101" spans="1:13" s="4" customForma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</row>
    <row r="102" spans="1:13" s="4" customForma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</row>
    <row r="103" spans="1:13" s="4" customForma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</row>
    <row r="104" spans="1:13" s="4" customForma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</row>
    <row r="105" spans="1:13" s="4" customForma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</row>
    <row r="106" spans="1:13" s="4" customForma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</row>
    <row r="107" spans="1:13" s="4" customForma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</row>
    <row r="108" spans="1:13" s="4" customForma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</row>
    <row r="109" spans="1:13" s="4" customForma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</row>
    <row r="110" spans="1:13" s="4" customForma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</row>
    <row r="111" spans="1:13" s="4" customForma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</row>
    <row r="112" spans="1:13" s="4" customForma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</row>
    <row r="113" spans="1:13" s="4" customForma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</row>
    <row r="114" spans="1:13" s="4" customForma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</row>
    <row r="115" spans="1:13" s="4" customForma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</row>
    <row r="116" spans="1:13" s="4" customForma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</row>
    <row r="117" spans="1:13" s="4" customForma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</row>
    <row r="118" spans="1:13" s="4" customForma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</row>
    <row r="119" spans="1:13" s="4" customForma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</row>
    <row r="120" spans="1:13" s="4" customForma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</row>
    <row r="121" spans="1:13" s="4" customForma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</row>
    <row r="122" spans="1:13" s="4" customForma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</row>
    <row r="123" spans="1:13" s="4" customForma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</row>
    <row r="124" spans="1:13" s="4" customForma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</row>
    <row r="125" spans="1:13" s="4" customForma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</row>
    <row r="126" spans="1:13" s="4" customForma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</row>
    <row r="127" spans="1:13" s="4" customForma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</row>
    <row r="128" spans="1:13" s="4" customForma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</row>
    <row r="129" spans="1:22" s="4" customForma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</row>
    <row r="130" spans="1:22" s="4" customForma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</row>
    <row r="131" spans="1:22" s="4" customForma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</row>
    <row r="132" spans="1:22" s="4" customForma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</row>
    <row r="133" spans="1:22" s="4" customForma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V13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R865"/>
  <sheetViews>
    <sheetView tabSelected="1" topLeftCell="A28" zoomScale="85" zoomScaleNormal="85" workbookViewId="0">
      <selection activeCell="Q54" sqref="Q54"/>
    </sheetView>
  </sheetViews>
  <sheetFormatPr defaultRowHeight="13.5" x14ac:dyDescent="0.15"/>
  <cols>
    <col min="1" max="3" width="3.5" bestFit="1" customWidth="1"/>
    <col min="4" max="4" width="13.375" customWidth="1"/>
    <col min="5" max="6" width="2.5" bestFit="1" customWidth="1"/>
    <col min="7" max="7" width="3.25" customWidth="1"/>
    <col min="8" max="8" width="7.5" style="4" customWidth="1"/>
  </cols>
  <sheetData>
    <row r="1" spans="1:44" ht="14.25" thickBot="1" x14ac:dyDescent="0.2">
      <c r="A1" s="34">
        <v>12</v>
      </c>
      <c r="D1">
        <v>1</v>
      </c>
      <c r="G1">
        <f>MAX(G2:G7)</f>
        <v>70</v>
      </c>
      <c r="H1" t="b">
        <f>Sheet5!G4</f>
        <v>1</v>
      </c>
      <c r="I1">
        <v>1</v>
      </c>
      <c r="J1">
        <v>2</v>
      </c>
      <c r="K1" s="4">
        <v>3</v>
      </c>
      <c r="L1" s="4">
        <v>4</v>
      </c>
      <c r="M1" s="4">
        <v>5</v>
      </c>
      <c r="N1" s="4">
        <v>6</v>
      </c>
      <c r="O1" s="4">
        <v>7</v>
      </c>
      <c r="P1" s="4">
        <v>8</v>
      </c>
      <c r="Q1" s="4">
        <v>9</v>
      </c>
      <c r="R1" s="4">
        <v>10</v>
      </c>
      <c r="S1" s="4">
        <v>11</v>
      </c>
      <c r="T1" s="4">
        <v>12</v>
      </c>
      <c r="U1" s="4">
        <v>13</v>
      </c>
      <c r="V1" s="4">
        <v>14</v>
      </c>
      <c r="W1" s="4">
        <v>15</v>
      </c>
      <c r="X1" s="4">
        <v>16</v>
      </c>
      <c r="Y1" s="4">
        <v>17</v>
      </c>
      <c r="Z1" s="4">
        <v>18</v>
      </c>
      <c r="AA1" s="4">
        <v>19</v>
      </c>
      <c r="AB1" s="4">
        <v>20</v>
      </c>
      <c r="AC1" s="4">
        <v>21</v>
      </c>
      <c r="AD1" s="4">
        <v>22</v>
      </c>
      <c r="AE1" s="4">
        <v>23</v>
      </c>
      <c r="AF1" s="4">
        <v>24</v>
      </c>
      <c r="AG1" s="4">
        <v>25</v>
      </c>
      <c r="AH1" s="4">
        <v>26</v>
      </c>
      <c r="AI1" s="4">
        <v>27</v>
      </c>
      <c r="AJ1" s="4">
        <v>28</v>
      </c>
      <c r="AK1" s="4">
        <v>29</v>
      </c>
      <c r="AL1" s="4">
        <v>30</v>
      </c>
      <c r="AM1" s="4">
        <v>31</v>
      </c>
      <c r="AN1" s="4">
        <v>32</v>
      </c>
      <c r="AO1" s="4">
        <v>33</v>
      </c>
      <c r="AP1" s="4">
        <v>34</v>
      </c>
      <c r="AQ1" s="4">
        <v>35</v>
      </c>
      <c r="AR1" s="4">
        <v>36</v>
      </c>
    </row>
    <row r="2" spans="1:44" x14ac:dyDescent="0.15">
      <c r="A2">
        <v>1</v>
      </c>
      <c r="B2" s="26">
        <v>9</v>
      </c>
      <c r="C2">
        <v>3</v>
      </c>
      <c r="D2" t="str">
        <f>INDEX(Sheet1!$B:$AQ,テスト!C2+2,テスト!B2)</f>
        <v>反抗するｵｰｶﾞ</v>
      </c>
      <c r="E2">
        <f>COUNTIF($D$2:$D$16,D2)</f>
        <v>1</v>
      </c>
      <c r="G2" s="10">
        <f>COUNTA(Sheet1!B:B)-2</f>
        <v>35</v>
      </c>
      <c r="H2" s="4">
        <f>MAX(D:D)</f>
        <v>36</v>
      </c>
      <c r="I2" t="s">
        <v>421</v>
      </c>
      <c r="J2" t="s">
        <v>39</v>
      </c>
      <c r="K2" s="4" t="s">
        <v>79</v>
      </c>
      <c r="L2" t="s">
        <v>119</v>
      </c>
      <c r="M2" t="s">
        <v>675</v>
      </c>
      <c r="N2" t="s">
        <v>126</v>
      </c>
      <c r="O2" t="s">
        <v>18</v>
      </c>
      <c r="P2" t="s">
        <v>59</v>
      </c>
      <c r="Q2" t="s">
        <v>429</v>
      </c>
      <c r="R2" t="s">
        <v>249</v>
      </c>
      <c r="S2" t="s">
        <v>9</v>
      </c>
      <c r="T2" t="s">
        <v>53</v>
      </c>
      <c r="U2" t="s">
        <v>427</v>
      </c>
      <c r="V2" t="s">
        <v>104</v>
      </c>
      <c r="W2" t="s">
        <v>58</v>
      </c>
      <c r="X2" t="s">
        <v>423</v>
      </c>
      <c r="Y2" t="s">
        <v>58</v>
      </c>
      <c r="Z2" t="s">
        <v>76</v>
      </c>
      <c r="AA2" t="s">
        <v>124</v>
      </c>
      <c r="AB2" t="s">
        <v>20</v>
      </c>
      <c r="AC2" t="s">
        <v>59</v>
      </c>
      <c r="AD2" t="s">
        <v>103</v>
      </c>
      <c r="AE2" t="s">
        <v>249</v>
      </c>
      <c r="AF2" t="s">
        <v>659</v>
      </c>
      <c r="AG2" t="s">
        <v>47</v>
      </c>
      <c r="AH2" t="s">
        <v>642</v>
      </c>
      <c r="AI2" t="s">
        <v>88</v>
      </c>
      <c r="AJ2" t="s">
        <v>422</v>
      </c>
      <c r="AK2" t="s">
        <v>425</v>
      </c>
      <c r="AL2" t="s">
        <v>69</v>
      </c>
      <c r="AM2" t="s">
        <v>703</v>
      </c>
      <c r="AN2" t="s">
        <v>113</v>
      </c>
      <c r="AO2" t="s">
        <v>703</v>
      </c>
      <c r="AP2" t="s">
        <v>124</v>
      </c>
      <c r="AQ2" t="s">
        <v>421</v>
      </c>
      <c r="AR2" t="s">
        <v>676</v>
      </c>
    </row>
    <row r="3" spans="1:44" x14ac:dyDescent="0.15">
      <c r="A3">
        <v>1</v>
      </c>
      <c r="B3" s="26">
        <f>IF(B2&gt;9,1,B2+1)</f>
        <v>10</v>
      </c>
      <c r="C3" s="4">
        <v>10</v>
      </c>
      <c r="D3" s="4" t="str">
        <f>INDEX(Sheet1!$B:$AQ,テスト!C3+2,テスト!B3)</f>
        <v>道壊しﾜｰﾑ</v>
      </c>
      <c r="E3" s="4">
        <f t="shared" ref="E3:E15" si="0">COUNTIF($D$2:$D$16,D3)</f>
        <v>1</v>
      </c>
      <c r="G3" s="10">
        <f>COUNTA(Sheet1!L:L)-2</f>
        <v>30</v>
      </c>
      <c r="I3" t="s">
        <v>428</v>
      </c>
      <c r="J3" t="s">
        <v>69</v>
      </c>
      <c r="K3" s="4" t="s">
        <v>102</v>
      </c>
      <c r="L3" t="s">
        <v>413</v>
      </c>
      <c r="M3" t="s">
        <v>83</v>
      </c>
      <c r="N3" t="s">
        <v>408</v>
      </c>
      <c r="O3" t="s">
        <v>41</v>
      </c>
      <c r="P3" t="s">
        <v>82</v>
      </c>
      <c r="Q3" t="s">
        <v>427</v>
      </c>
      <c r="R3" t="s">
        <v>675</v>
      </c>
      <c r="S3" t="s">
        <v>60</v>
      </c>
      <c r="T3" t="s">
        <v>76</v>
      </c>
      <c r="U3" t="s">
        <v>28</v>
      </c>
      <c r="V3" t="s">
        <v>125</v>
      </c>
      <c r="W3" t="s">
        <v>676</v>
      </c>
      <c r="X3" t="s">
        <v>9</v>
      </c>
      <c r="Y3" t="s">
        <v>85</v>
      </c>
      <c r="Z3" t="s">
        <v>92</v>
      </c>
      <c r="AA3" t="s">
        <v>26</v>
      </c>
      <c r="AB3" t="s">
        <v>47</v>
      </c>
      <c r="AC3" t="s">
        <v>85</v>
      </c>
      <c r="AD3" t="s">
        <v>428</v>
      </c>
      <c r="AE3" t="s">
        <v>58</v>
      </c>
      <c r="AF3" t="s">
        <v>248</v>
      </c>
      <c r="AG3" t="s">
        <v>676</v>
      </c>
      <c r="AH3" t="s">
        <v>103</v>
      </c>
      <c r="AI3" t="s">
        <v>659</v>
      </c>
      <c r="AJ3" t="s">
        <v>413</v>
      </c>
      <c r="AK3" t="s">
        <v>104</v>
      </c>
      <c r="AL3" t="s">
        <v>90</v>
      </c>
      <c r="AM3" t="s">
        <v>97</v>
      </c>
      <c r="AN3" t="s">
        <v>9</v>
      </c>
      <c r="AO3" t="s">
        <v>420</v>
      </c>
      <c r="AP3" t="s">
        <v>27</v>
      </c>
      <c r="AQ3" t="s">
        <v>113</v>
      </c>
      <c r="AR3" t="s">
        <v>92</v>
      </c>
    </row>
    <row r="4" spans="1:44" x14ac:dyDescent="0.15">
      <c r="A4">
        <v>1</v>
      </c>
      <c r="B4" s="26">
        <f t="shared" ref="B4:B6" si="1">IF(B3&gt;9,1,B3+1)</f>
        <v>1</v>
      </c>
      <c r="C4" s="4">
        <v>25</v>
      </c>
      <c r="D4" s="4" t="str">
        <f>INDEX(Sheet1!$B:$AQ,テスト!C4+2,テスト!B4)</f>
        <v>突風の漂い</v>
      </c>
      <c r="E4" s="4">
        <f t="shared" si="0"/>
        <v>1</v>
      </c>
      <c r="G4" s="10">
        <f>COUNTA(Sheet1!V:V)-2</f>
        <v>40</v>
      </c>
      <c r="I4" t="s">
        <v>12</v>
      </c>
      <c r="J4" t="s">
        <v>102</v>
      </c>
      <c r="K4" s="4" t="s">
        <v>423</v>
      </c>
      <c r="L4" t="s">
        <v>417</v>
      </c>
      <c r="M4" t="s">
        <v>253</v>
      </c>
      <c r="N4" t="s">
        <v>675</v>
      </c>
      <c r="O4" t="s">
        <v>79</v>
      </c>
      <c r="P4" t="s">
        <v>254</v>
      </c>
      <c r="Q4" t="s">
        <v>20</v>
      </c>
      <c r="R4" t="s">
        <v>64</v>
      </c>
      <c r="S4" t="s">
        <v>62</v>
      </c>
      <c r="T4" t="s">
        <v>429</v>
      </c>
      <c r="U4" t="s">
        <v>59</v>
      </c>
      <c r="V4" t="s">
        <v>648</v>
      </c>
      <c r="W4" t="s">
        <v>97</v>
      </c>
      <c r="X4" t="s">
        <v>41</v>
      </c>
      <c r="Y4" t="s">
        <v>253</v>
      </c>
      <c r="Z4" t="s">
        <v>656</v>
      </c>
      <c r="AA4" t="s">
        <v>53</v>
      </c>
      <c r="AB4" t="s">
        <v>703</v>
      </c>
      <c r="AC4" t="s">
        <v>103</v>
      </c>
      <c r="AD4" t="s">
        <v>674</v>
      </c>
      <c r="AE4" t="s">
        <v>82</v>
      </c>
      <c r="AF4" t="s">
        <v>417</v>
      </c>
      <c r="AG4" t="s">
        <v>97</v>
      </c>
      <c r="AH4" t="s">
        <v>423</v>
      </c>
      <c r="AI4" t="s">
        <v>248</v>
      </c>
      <c r="AJ4" t="s">
        <v>250</v>
      </c>
      <c r="AK4" t="s">
        <v>427</v>
      </c>
      <c r="AL4" t="s">
        <v>422</v>
      </c>
      <c r="AM4" t="s">
        <v>119</v>
      </c>
      <c r="AN4" t="s">
        <v>53</v>
      </c>
      <c r="AO4" t="s">
        <v>119</v>
      </c>
      <c r="AP4" t="s">
        <v>416</v>
      </c>
      <c r="AQ4" t="s">
        <v>12</v>
      </c>
      <c r="AR4" t="s">
        <v>428</v>
      </c>
    </row>
    <row r="5" spans="1:44" x14ac:dyDescent="0.15">
      <c r="A5">
        <v>1</v>
      </c>
      <c r="B5" s="26">
        <f t="shared" si="1"/>
        <v>2</v>
      </c>
      <c r="C5" s="4">
        <v>16</v>
      </c>
      <c r="D5" s="4" t="str">
        <f>INDEX(Sheet1!$B:$AQ,テスト!C5+2,テスト!B5)</f>
        <v>すがりつくｲｿｷﾞﾝﾁｬｸ</v>
      </c>
      <c r="E5" s="4">
        <f t="shared" si="0"/>
        <v>1</v>
      </c>
      <c r="G5" s="10">
        <f>COUNTA(Sheet1!W:W)-2</f>
        <v>70</v>
      </c>
      <c r="I5" t="s">
        <v>415</v>
      </c>
      <c r="J5" t="s">
        <v>113</v>
      </c>
      <c r="K5" s="4" t="s">
        <v>26</v>
      </c>
      <c r="L5" t="s">
        <v>64</v>
      </c>
      <c r="M5" t="s">
        <v>121</v>
      </c>
      <c r="N5" t="s">
        <v>83</v>
      </c>
      <c r="O5" t="s">
        <v>90</v>
      </c>
      <c r="P5" t="s">
        <v>126</v>
      </c>
      <c r="Q5" t="s">
        <v>415</v>
      </c>
      <c r="R5" t="s">
        <v>104</v>
      </c>
      <c r="S5" t="s">
        <v>429</v>
      </c>
      <c r="T5" t="s">
        <v>113</v>
      </c>
      <c r="U5" t="s">
        <v>62</v>
      </c>
      <c r="V5" t="s">
        <v>417</v>
      </c>
      <c r="W5" t="s">
        <v>422</v>
      </c>
      <c r="X5" t="s">
        <v>85</v>
      </c>
      <c r="Y5" t="s">
        <v>119</v>
      </c>
      <c r="Z5" t="s">
        <v>18</v>
      </c>
      <c r="AA5" t="s">
        <v>642</v>
      </c>
      <c r="AB5" t="s">
        <v>426</v>
      </c>
      <c r="AC5" t="s">
        <v>126</v>
      </c>
      <c r="AD5" t="s">
        <v>416</v>
      </c>
      <c r="AE5" t="s">
        <v>253</v>
      </c>
      <c r="AF5" t="s">
        <v>85</v>
      </c>
      <c r="AG5" t="s">
        <v>656</v>
      </c>
      <c r="AH5" t="s">
        <v>18</v>
      </c>
      <c r="AI5" t="s">
        <v>416</v>
      </c>
      <c r="AJ5" t="s">
        <v>419</v>
      </c>
      <c r="AK5" t="s">
        <v>248</v>
      </c>
      <c r="AL5" t="s">
        <v>674</v>
      </c>
      <c r="AM5" t="s">
        <v>413</v>
      </c>
      <c r="AN5" t="s">
        <v>703</v>
      </c>
      <c r="AO5" t="s">
        <v>413</v>
      </c>
      <c r="AP5" t="s">
        <v>85</v>
      </c>
      <c r="AQ5" t="s">
        <v>39</v>
      </c>
      <c r="AR5" t="s">
        <v>14</v>
      </c>
    </row>
    <row r="6" spans="1:44" x14ac:dyDescent="0.15">
      <c r="A6">
        <v>1</v>
      </c>
      <c r="B6" s="26">
        <f t="shared" si="1"/>
        <v>3</v>
      </c>
      <c r="C6" s="4">
        <v>3</v>
      </c>
      <c r="D6" s="4" t="str">
        <f>INDEX(Sheet1!$B:$AQ,テスト!C6+2,テスト!B6)</f>
        <v>吐毒Slv</v>
      </c>
      <c r="E6" s="4">
        <f t="shared" si="0"/>
        <v>1</v>
      </c>
      <c r="G6" s="10">
        <f>COUNTA(Sheet1!X:X)-2</f>
        <v>36</v>
      </c>
      <c r="I6" t="s">
        <v>83</v>
      </c>
      <c r="J6" t="s">
        <v>674</v>
      </c>
      <c r="K6" t="s">
        <v>41</v>
      </c>
      <c r="L6" t="s">
        <v>252</v>
      </c>
      <c r="M6" t="s">
        <v>20</v>
      </c>
      <c r="N6" t="s">
        <v>102</v>
      </c>
      <c r="O6" t="s">
        <v>734</v>
      </c>
      <c r="P6" t="s">
        <v>14</v>
      </c>
      <c r="Q6" t="s">
        <v>83</v>
      </c>
      <c r="R6" t="s">
        <v>423</v>
      </c>
      <c r="S6" t="s">
        <v>734</v>
      </c>
      <c r="T6" t="s">
        <v>14</v>
      </c>
      <c r="U6" t="s">
        <v>104</v>
      </c>
      <c r="V6" t="s">
        <v>642</v>
      </c>
      <c r="W6" t="s">
        <v>9</v>
      </c>
      <c r="X6" t="s">
        <v>253</v>
      </c>
      <c r="Y6" t="s">
        <v>408</v>
      </c>
      <c r="Z6" t="s">
        <v>41</v>
      </c>
      <c r="AA6" t="s">
        <v>252</v>
      </c>
      <c r="AB6" t="s">
        <v>734</v>
      </c>
      <c r="AC6" t="s">
        <v>248</v>
      </c>
      <c r="AD6" t="s">
        <v>79</v>
      </c>
      <c r="AE6" t="s">
        <v>125</v>
      </c>
      <c r="AF6" t="s">
        <v>252</v>
      </c>
      <c r="AG6" t="s">
        <v>26</v>
      </c>
      <c r="AH6" t="s">
        <v>43</v>
      </c>
      <c r="AI6" t="s">
        <v>425</v>
      </c>
      <c r="AJ6" t="s">
        <v>88</v>
      </c>
      <c r="AK6" t="s">
        <v>34</v>
      </c>
      <c r="AL6" t="s">
        <v>250</v>
      </c>
      <c r="AM6" t="s">
        <v>250</v>
      </c>
      <c r="AN6" t="s">
        <v>104</v>
      </c>
      <c r="AO6" t="s">
        <v>60</v>
      </c>
      <c r="AP6" t="s">
        <v>103</v>
      </c>
      <c r="AQ6" t="s">
        <v>83</v>
      </c>
      <c r="AR6" t="s">
        <v>53</v>
      </c>
    </row>
    <row r="7" spans="1:44" x14ac:dyDescent="0.15">
      <c r="A7">
        <v>2</v>
      </c>
      <c r="B7" s="26">
        <v>14</v>
      </c>
      <c r="C7" s="4">
        <v>19</v>
      </c>
      <c r="D7" s="4" t="str">
        <f>INDEX(Sheet1!$B:$AQ,テスト!C7+2,テスト!B7)</f>
        <v>双頭Slv</v>
      </c>
      <c r="E7" s="4">
        <f t="shared" si="0"/>
        <v>1</v>
      </c>
      <c r="G7" s="10">
        <f>COUNTA(Sheet1!AH:AH)-2</f>
        <v>16</v>
      </c>
      <c r="I7" t="s">
        <v>94</v>
      </c>
      <c r="J7" t="s">
        <v>441</v>
      </c>
      <c r="K7" s="4" t="s">
        <v>405</v>
      </c>
      <c r="L7" t="s">
        <v>129</v>
      </c>
      <c r="M7" t="s">
        <v>430</v>
      </c>
      <c r="N7" t="s">
        <v>259</v>
      </c>
      <c r="O7" t="s">
        <v>56</v>
      </c>
      <c r="P7" t="s">
        <v>57</v>
      </c>
      <c r="Q7" t="s">
        <v>117</v>
      </c>
      <c r="R7" t="s">
        <v>138</v>
      </c>
      <c r="S7" t="s">
        <v>142</v>
      </c>
      <c r="T7" t="s">
        <v>45</v>
      </c>
      <c r="U7" t="s">
        <v>260</v>
      </c>
      <c r="V7" t="s">
        <v>30</v>
      </c>
      <c r="W7" t="s">
        <v>434</v>
      </c>
      <c r="X7" t="s">
        <v>142</v>
      </c>
      <c r="Y7" t="s">
        <v>133</v>
      </c>
      <c r="Z7" t="s">
        <v>133</v>
      </c>
      <c r="AA7" t="s">
        <v>424</v>
      </c>
      <c r="AB7" t="s">
        <v>669</v>
      </c>
      <c r="AC7" t="s">
        <v>137</v>
      </c>
      <c r="AD7" t="s">
        <v>667</v>
      </c>
      <c r="AE7" t="s">
        <v>678</v>
      </c>
      <c r="AF7" t="s">
        <v>143</v>
      </c>
      <c r="AG7" t="s">
        <v>7</v>
      </c>
      <c r="AH7" t="s">
        <v>129</v>
      </c>
      <c r="AI7" t="s">
        <v>110</v>
      </c>
      <c r="AJ7" t="s">
        <v>115</v>
      </c>
      <c r="AK7" t="s">
        <v>667</v>
      </c>
      <c r="AL7" t="s">
        <v>138</v>
      </c>
      <c r="AM7" t="s">
        <v>94</v>
      </c>
      <c r="AN7" t="s">
        <v>424</v>
      </c>
      <c r="AO7" t="s">
        <v>16</v>
      </c>
      <c r="AP7" t="s">
        <v>405</v>
      </c>
      <c r="AQ7" t="s">
        <v>433</v>
      </c>
      <c r="AR7" t="s">
        <v>110</v>
      </c>
    </row>
    <row r="8" spans="1:44" x14ac:dyDescent="0.15">
      <c r="A8">
        <v>2</v>
      </c>
      <c r="B8" s="26">
        <f>IF(B7&gt;19,11,B7+1)</f>
        <v>15</v>
      </c>
      <c r="C8" s="4">
        <v>27</v>
      </c>
      <c r="D8" s="4" t="str">
        <f>INDEX(Sheet1!$B:$AQ,テスト!C8+2,テスト!B8)</f>
        <v>信仰無き物あさり</v>
      </c>
      <c r="E8" s="4">
        <f t="shared" si="0"/>
        <v>1</v>
      </c>
      <c r="F8">
        <v>1</v>
      </c>
      <c r="G8">
        <v>5</v>
      </c>
      <c r="I8" t="s">
        <v>401</v>
      </c>
      <c r="J8" t="s">
        <v>260</v>
      </c>
      <c r="K8" s="4" t="s">
        <v>438</v>
      </c>
      <c r="L8" t="s">
        <v>135</v>
      </c>
      <c r="M8" t="s">
        <v>84</v>
      </c>
      <c r="N8" t="s">
        <v>129</v>
      </c>
      <c r="O8" t="s">
        <v>436</v>
      </c>
      <c r="P8" t="s">
        <v>32</v>
      </c>
      <c r="Q8" t="s">
        <v>441</v>
      </c>
      <c r="R8" t="s">
        <v>432</v>
      </c>
      <c r="S8" t="s">
        <v>29</v>
      </c>
      <c r="T8" t="s">
        <v>56</v>
      </c>
      <c r="U8" t="s">
        <v>678</v>
      </c>
      <c r="V8" t="s">
        <v>256</v>
      </c>
      <c r="W8" t="s">
        <v>49</v>
      </c>
      <c r="X8" t="s">
        <v>78</v>
      </c>
      <c r="Y8" t="s">
        <v>55</v>
      </c>
      <c r="Z8" t="s">
        <v>55</v>
      </c>
      <c r="AA8" t="s">
        <v>432</v>
      </c>
      <c r="AB8" t="s">
        <v>431</v>
      </c>
      <c r="AC8" t="s">
        <v>140</v>
      </c>
      <c r="AD8" t="s">
        <v>117</v>
      </c>
      <c r="AE8" t="s">
        <v>30</v>
      </c>
      <c r="AF8" t="s">
        <v>78</v>
      </c>
      <c r="AG8" t="s">
        <v>434</v>
      </c>
      <c r="AH8" t="s">
        <v>439</v>
      </c>
      <c r="AI8" t="s">
        <v>81</v>
      </c>
      <c r="AJ8" t="s">
        <v>55</v>
      </c>
      <c r="AK8" t="s">
        <v>669</v>
      </c>
      <c r="AL8" t="s">
        <v>142</v>
      </c>
      <c r="AM8" t="s">
        <v>401</v>
      </c>
      <c r="AN8" t="s">
        <v>432</v>
      </c>
      <c r="AO8" t="s">
        <v>51</v>
      </c>
      <c r="AP8" t="s">
        <v>438</v>
      </c>
      <c r="AQ8" t="s">
        <v>115</v>
      </c>
      <c r="AR8" t="s">
        <v>257</v>
      </c>
    </row>
    <row r="9" spans="1:44" x14ac:dyDescent="0.15">
      <c r="A9">
        <v>2</v>
      </c>
      <c r="B9" s="26">
        <f>IF(B8&gt;19,11,B8+1)</f>
        <v>16</v>
      </c>
      <c r="C9" s="4">
        <v>22</v>
      </c>
      <c r="D9" s="4" t="str">
        <f>INDEX(Sheet1!$B:$AQ,テスト!C9+2,テスト!B9)</f>
        <v>御身の刃</v>
      </c>
      <c r="E9" s="4">
        <f t="shared" si="0"/>
        <v>1</v>
      </c>
      <c r="F9">
        <v>2</v>
      </c>
      <c r="G9">
        <v>4</v>
      </c>
      <c r="I9" t="s">
        <v>129</v>
      </c>
      <c r="J9" t="s">
        <v>7</v>
      </c>
      <c r="K9" s="4" t="s">
        <v>45</v>
      </c>
      <c r="L9" t="s">
        <v>440</v>
      </c>
      <c r="M9" t="s">
        <v>137</v>
      </c>
      <c r="N9" t="s">
        <v>135</v>
      </c>
      <c r="O9" t="s">
        <v>151</v>
      </c>
      <c r="P9" t="s">
        <v>667</v>
      </c>
      <c r="Q9" t="s">
        <v>405</v>
      </c>
      <c r="R9" t="s">
        <v>146</v>
      </c>
      <c r="S9" t="s">
        <v>57</v>
      </c>
      <c r="T9" t="s">
        <v>147</v>
      </c>
      <c r="U9" t="s">
        <v>434</v>
      </c>
      <c r="V9" t="s">
        <v>671</v>
      </c>
      <c r="W9" t="s">
        <v>16</v>
      </c>
      <c r="X9" t="s">
        <v>259</v>
      </c>
      <c r="Y9" t="s">
        <v>140</v>
      </c>
      <c r="Z9" t="s">
        <v>256</v>
      </c>
      <c r="AA9" t="s">
        <v>441</v>
      </c>
      <c r="AB9" t="s">
        <v>149</v>
      </c>
      <c r="AC9" t="s">
        <v>29</v>
      </c>
      <c r="AD9" t="s">
        <v>147</v>
      </c>
      <c r="AE9" t="s">
        <v>67</v>
      </c>
      <c r="AF9" t="s">
        <v>433</v>
      </c>
      <c r="AG9" t="s">
        <v>49</v>
      </c>
      <c r="AH9" t="s">
        <v>67</v>
      </c>
      <c r="AI9" t="s">
        <v>30</v>
      </c>
      <c r="AJ9" t="s">
        <v>117</v>
      </c>
      <c r="AK9" t="s">
        <v>431</v>
      </c>
      <c r="AL9" t="s">
        <v>78</v>
      </c>
      <c r="AM9" t="s">
        <v>133</v>
      </c>
      <c r="AN9" t="s">
        <v>78</v>
      </c>
      <c r="AO9" t="s">
        <v>84</v>
      </c>
      <c r="AP9" t="s">
        <v>667</v>
      </c>
      <c r="AQ9" t="s">
        <v>135</v>
      </c>
      <c r="AR9" t="s">
        <v>24</v>
      </c>
    </row>
    <row r="10" spans="1:44" x14ac:dyDescent="0.15">
      <c r="A10">
        <v>2</v>
      </c>
      <c r="B10" s="26">
        <f>IF(B9&gt;19,11,B9+1)</f>
        <v>17</v>
      </c>
      <c r="C10" s="4">
        <v>12</v>
      </c>
      <c r="D10" s="4" t="str">
        <f>INDEX(Sheet1!$B:$AQ,テスト!C10+2,テスト!B10)</f>
        <v>ｲｾﾞｯﾄの時術師</v>
      </c>
      <c r="E10" s="4">
        <f t="shared" si="0"/>
        <v>1</v>
      </c>
      <c r="F10">
        <v>3</v>
      </c>
      <c r="G10">
        <v>2</v>
      </c>
      <c r="I10" t="s">
        <v>439</v>
      </c>
      <c r="J10" t="s">
        <v>424</v>
      </c>
      <c r="K10" s="4" t="s">
        <v>117</v>
      </c>
      <c r="L10" t="s">
        <v>436</v>
      </c>
      <c r="M10" t="s">
        <v>73</v>
      </c>
      <c r="N10" t="s">
        <v>142</v>
      </c>
      <c r="O10" t="s">
        <v>7</v>
      </c>
      <c r="P10" t="s">
        <v>67</v>
      </c>
      <c r="Q10" t="s">
        <v>257</v>
      </c>
      <c r="R10" t="s">
        <v>430</v>
      </c>
      <c r="S10" t="s">
        <v>115</v>
      </c>
      <c r="T10" t="s">
        <v>151</v>
      </c>
      <c r="U10" t="s">
        <v>143</v>
      </c>
      <c r="V10" t="s">
        <v>433</v>
      </c>
      <c r="W10" t="s">
        <v>401</v>
      </c>
      <c r="X10" t="s">
        <v>403</v>
      </c>
      <c r="Y10" t="s">
        <v>431</v>
      </c>
      <c r="Z10" t="s">
        <v>671</v>
      </c>
      <c r="AA10" t="s">
        <v>51</v>
      </c>
      <c r="AB10" t="s">
        <v>32</v>
      </c>
      <c r="AC10" t="s">
        <v>405</v>
      </c>
      <c r="AD10" t="s">
        <v>149</v>
      </c>
      <c r="AE10" t="s">
        <v>441</v>
      </c>
      <c r="AF10" t="s">
        <v>7</v>
      </c>
      <c r="AG10" t="s">
        <v>29</v>
      </c>
      <c r="AH10" t="s">
        <v>436</v>
      </c>
      <c r="AI10" t="s">
        <v>440</v>
      </c>
      <c r="AJ10" t="s">
        <v>16</v>
      </c>
      <c r="AK10" t="s">
        <v>108</v>
      </c>
      <c r="AL10" t="s">
        <v>108</v>
      </c>
      <c r="AM10" t="s">
        <v>45</v>
      </c>
      <c r="AN10" t="s">
        <v>151</v>
      </c>
      <c r="AO10" t="s">
        <v>691</v>
      </c>
      <c r="AP10" t="s">
        <v>67</v>
      </c>
      <c r="AQ10" t="s">
        <v>440</v>
      </c>
      <c r="AR10" t="s">
        <v>256</v>
      </c>
    </row>
    <row r="11" spans="1:44" x14ac:dyDescent="0.15">
      <c r="A11">
        <v>3</v>
      </c>
      <c r="B11" s="26">
        <v>21</v>
      </c>
      <c r="C11" s="4">
        <v>37</v>
      </c>
      <c r="D11" s="4" t="str">
        <f>INDEX(Sheet1!$B:$AQ,テスト!C11+2,テスト!B11)</f>
        <v>ｼﾐｯｸの導き石</v>
      </c>
      <c r="E11" s="4">
        <f t="shared" si="0"/>
        <v>1</v>
      </c>
      <c r="F11">
        <v>4</v>
      </c>
      <c r="G11">
        <v>3</v>
      </c>
      <c r="I11" t="s">
        <v>446</v>
      </c>
      <c r="J11" t="s">
        <v>445</v>
      </c>
      <c r="K11" s="4" t="s">
        <v>443</v>
      </c>
      <c r="L11" t="s">
        <v>443</v>
      </c>
      <c r="M11" t="s">
        <v>448</v>
      </c>
      <c r="N11" t="s">
        <v>446</v>
      </c>
      <c r="O11" t="s">
        <v>446</v>
      </c>
      <c r="P11" t="s">
        <v>446</v>
      </c>
      <c r="Q11" t="s">
        <v>448</v>
      </c>
      <c r="R11" t="s">
        <v>444</v>
      </c>
      <c r="S11" t="s">
        <v>445</v>
      </c>
      <c r="T11" t="s">
        <v>445</v>
      </c>
      <c r="U11" t="s">
        <v>445</v>
      </c>
      <c r="V11" t="s">
        <v>728</v>
      </c>
      <c r="W11" t="s">
        <v>728</v>
      </c>
      <c r="X11" t="s">
        <v>444</v>
      </c>
      <c r="Y11" t="s">
        <v>448</v>
      </c>
      <c r="Z11" t="s">
        <v>728</v>
      </c>
      <c r="AA11" t="s">
        <v>443</v>
      </c>
      <c r="AB11" t="s">
        <v>728</v>
      </c>
      <c r="AC11" t="s">
        <v>442</v>
      </c>
      <c r="AD11" t="s">
        <v>445</v>
      </c>
      <c r="AE11" t="s">
        <v>447</v>
      </c>
      <c r="AF11" t="s">
        <v>447</v>
      </c>
      <c r="AG11" t="s">
        <v>444</v>
      </c>
      <c r="AH11" t="s">
        <v>728</v>
      </c>
      <c r="AI11" t="s">
        <v>443</v>
      </c>
      <c r="AJ11" t="s">
        <v>448</v>
      </c>
      <c r="AK11" t="s">
        <v>442</v>
      </c>
      <c r="AL11" t="s">
        <v>442</v>
      </c>
      <c r="AM11" t="s">
        <v>446</v>
      </c>
      <c r="AN11" t="s">
        <v>447</v>
      </c>
      <c r="AO11" t="s">
        <v>447</v>
      </c>
      <c r="AP11" t="s">
        <v>442</v>
      </c>
      <c r="AQ11" t="s">
        <v>447</v>
      </c>
      <c r="AR11" t="s">
        <v>442</v>
      </c>
    </row>
    <row r="12" spans="1:44" x14ac:dyDescent="0.15">
      <c r="A12">
        <v>3</v>
      </c>
      <c r="B12" s="26">
        <v>22</v>
      </c>
      <c r="C12" s="4">
        <v>27</v>
      </c>
      <c r="D12" s="4" t="str">
        <f>INDEX(Sheet1!$B:$AQ,テスト!C12+2,テスト!B12)</f>
        <v>未知の岸</v>
      </c>
      <c r="E12" s="4">
        <f t="shared" si="0"/>
        <v>1</v>
      </c>
      <c r="F12">
        <v>5</v>
      </c>
      <c r="G12">
        <v>1</v>
      </c>
      <c r="I12" t="s">
        <v>157</v>
      </c>
      <c r="J12" t="s">
        <v>165</v>
      </c>
      <c r="K12" s="4" t="s">
        <v>166</v>
      </c>
      <c r="L12" t="s">
        <v>157</v>
      </c>
      <c r="M12" t="s">
        <v>159</v>
      </c>
      <c r="N12" t="s">
        <v>159</v>
      </c>
      <c r="O12" t="s">
        <v>164</v>
      </c>
      <c r="P12" t="s">
        <v>164</v>
      </c>
      <c r="Q12" t="s">
        <v>166</v>
      </c>
      <c r="R12" t="s">
        <v>731</v>
      </c>
      <c r="S12" t="s">
        <v>163</v>
      </c>
      <c r="T12" t="s">
        <v>167</v>
      </c>
      <c r="U12" t="s">
        <v>730</v>
      </c>
      <c r="V12" t="s">
        <v>163</v>
      </c>
      <c r="W12" t="s">
        <v>167</v>
      </c>
      <c r="X12" t="s">
        <v>165</v>
      </c>
      <c r="Y12" t="s">
        <v>165</v>
      </c>
      <c r="Z12" t="s">
        <v>165</v>
      </c>
      <c r="AA12" t="s">
        <v>166</v>
      </c>
      <c r="AB12" t="s">
        <v>731</v>
      </c>
      <c r="AC12" t="s">
        <v>166</v>
      </c>
      <c r="AD12" t="s">
        <v>164</v>
      </c>
      <c r="AE12" t="s">
        <v>166</v>
      </c>
      <c r="AF12" t="s">
        <v>165</v>
      </c>
      <c r="AG12" t="s">
        <v>165</v>
      </c>
      <c r="AH12" t="s">
        <v>730</v>
      </c>
      <c r="AI12" t="s">
        <v>165</v>
      </c>
      <c r="AJ12" t="s">
        <v>164</v>
      </c>
      <c r="AK12" t="s">
        <v>167</v>
      </c>
      <c r="AL12" t="s">
        <v>157</v>
      </c>
      <c r="AM12" t="s">
        <v>159</v>
      </c>
      <c r="AN12" t="s">
        <v>730</v>
      </c>
      <c r="AO12" t="s">
        <v>163</v>
      </c>
      <c r="AP12" t="s">
        <v>163</v>
      </c>
      <c r="AQ12" t="s">
        <v>157</v>
      </c>
      <c r="AR12" t="s">
        <v>731</v>
      </c>
    </row>
    <row r="13" spans="1:44" x14ac:dyDescent="0.15">
      <c r="A13">
        <v>4</v>
      </c>
      <c r="B13" s="26">
        <v>25</v>
      </c>
      <c r="C13" s="4">
        <v>8</v>
      </c>
      <c r="D13" s="4" t="str">
        <f>INDEX(Sheet1!$B:$AQ,テスト!C13+2,テスト!B13)</f>
        <v>雲変化</v>
      </c>
      <c r="E13" s="4">
        <f t="shared" si="0"/>
        <v>1</v>
      </c>
      <c r="I13" t="s">
        <v>190</v>
      </c>
      <c r="J13" t="s">
        <v>461</v>
      </c>
      <c r="K13" s="4" t="s">
        <v>458</v>
      </c>
      <c r="L13" t="s">
        <v>177</v>
      </c>
      <c r="M13" t="s">
        <v>176</v>
      </c>
      <c r="N13" t="s">
        <v>460</v>
      </c>
      <c r="O13" t="s">
        <v>456</v>
      </c>
      <c r="P13" t="s">
        <v>246</v>
      </c>
      <c r="Q13" t="s">
        <v>239</v>
      </c>
      <c r="R13" t="s">
        <v>236</v>
      </c>
      <c r="S13" t="s">
        <v>231</v>
      </c>
      <c r="T13" t="s">
        <v>191</v>
      </c>
      <c r="U13" t="s">
        <v>215</v>
      </c>
      <c r="V13" t="s">
        <v>225</v>
      </c>
      <c r="W13" t="s">
        <v>227</v>
      </c>
      <c r="X13" t="s">
        <v>200</v>
      </c>
      <c r="Y13" t="s">
        <v>192</v>
      </c>
      <c r="Z13" t="s">
        <v>235</v>
      </c>
      <c r="AA13" t="s">
        <v>455</v>
      </c>
      <c r="AB13" t="s">
        <v>208</v>
      </c>
      <c r="AC13" t="s">
        <v>452</v>
      </c>
      <c r="AD13" t="s">
        <v>226</v>
      </c>
      <c r="AE13" t="s">
        <v>222</v>
      </c>
      <c r="AF13" t="s">
        <v>242</v>
      </c>
      <c r="AG13" t="s">
        <v>204</v>
      </c>
      <c r="AH13" t="s">
        <v>235</v>
      </c>
      <c r="AI13" t="s">
        <v>725</v>
      </c>
      <c r="AJ13" t="s">
        <v>198</v>
      </c>
      <c r="AK13" t="s">
        <v>176</v>
      </c>
      <c r="AL13" t="s">
        <v>275</v>
      </c>
      <c r="AM13" t="s">
        <v>180</v>
      </c>
      <c r="AN13" t="s">
        <v>454</v>
      </c>
      <c r="AO13" t="s">
        <v>224</v>
      </c>
      <c r="AP13" t="s">
        <v>199</v>
      </c>
      <c r="AQ13" t="s">
        <v>221</v>
      </c>
      <c r="AR13" t="s">
        <v>215</v>
      </c>
    </row>
    <row r="14" spans="1:44" x14ac:dyDescent="0.15">
      <c r="A14">
        <v>4</v>
      </c>
      <c r="B14" s="26">
        <f t="shared" ref="B14:B15" si="2">IF(B13&gt;31,23,B13+1)</f>
        <v>26</v>
      </c>
      <c r="C14" s="4">
        <v>34</v>
      </c>
      <c r="D14" s="4" t="str">
        <f>INDEX(Sheet1!$B:$AQ,テスト!C14+2,テスト!B14)</f>
        <v>先導者のらせん</v>
      </c>
      <c r="E14" s="4">
        <f t="shared" si="0"/>
        <v>1</v>
      </c>
      <c r="G14" s="10">
        <v>24</v>
      </c>
      <c r="I14" t="s">
        <v>402</v>
      </c>
      <c r="J14" t="s">
        <v>198</v>
      </c>
      <c r="K14" s="4" t="s">
        <v>216</v>
      </c>
      <c r="L14" t="s">
        <v>211</v>
      </c>
      <c r="M14" t="s">
        <v>451</v>
      </c>
      <c r="N14" t="s">
        <v>197</v>
      </c>
      <c r="O14" t="s">
        <v>196</v>
      </c>
      <c r="P14" t="s">
        <v>186</v>
      </c>
      <c r="Q14" t="s">
        <v>205</v>
      </c>
      <c r="R14" t="s">
        <v>201</v>
      </c>
      <c r="S14" t="s">
        <v>189</v>
      </c>
      <c r="T14" t="s">
        <v>185</v>
      </c>
      <c r="U14" t="s">
        <v>451</v>
      </c>
      <c r="V14" t="s">
        <v>177</v>
      </c>
      <c r="W14" t="s">
        <v>452</v>
      </c>
      <c r="X14" t="s">
        <v>242</v>
      </c>
      <c r="Y14" t="s">
        <v>453</v>
      </c>
      <c r="Z14" t="s">
        <v>239</v>
      </c>
      <c r="AA14" t="s">
        <v>195</v>
      </c>
      <c r="AB14" t="s">
        <v>220</v>
      </c>
      <c r="AC14" t="s">
        <v>208</v>
      </c>
      <c r="AD14" t="s">
        <v>187</v>
      </c>
      <c r="AE14" t="s">
        <v>245</v>
      </c>
      <c r="AF14" t="s">
        <v>191</v>
      </c>
      <c r="AG14" t="s">
        <v>180</v>
      </c>
      <c r="AH14" t="s">
        <v>200</v>
      </c>
      <c r="AI14" t="s">
        <v>181</v>
      </c>
      <c r="AJ14" t="s">
        <v>229</v>
      </c>
      <c r="AK14" t="s">
        <v>457</v>
      </c>
      <c r="AL14" t="s">
        <v>238</v>
      </c>
      <c r="AM14" t="s">
        <v>203</v>
      </c>
      <c r="AN14" t="s">
        <v>177</v>
      </c>
      <c r="AO14" t="s">
        <v>454</v>
      </c>
      <c r="AP14" t="s">
        <v>462</v>
      </c>
      <c r="AQ14" t="s">
        <v>238</v>
      </c>
      <c r="AR14" t="s">
        <v>185</v>
      </c>
    </row>
    <row r="15" spans="1:44" s="4" customFormat="1" x14ac:dyDescent="0.15">
      <c r="A15" s="4">
        <v>4</v>
      </c>
      <c r="B15" s="26">
        <f t="shared" si="2"/>
        <v>27</v>
      </c>
      <c r="C15" s="4">
        <v>1</v>
      </c>
      <c r="D15" s="4" t="str">
        <f>INDEX(Sheet1!$B:$AQ,テスト!C15+2,テスト!B15)</f>
        <v>羽軸Slv</v>
      </c>
      <c r="E15" s="4">
        <f t="shared" si="0"/>
        <v>1</v>
      </c>
      <c r="G15" s="4">
        <v>10</v>
      </c>
      <c r="I15" s="4" t="s">
        <v>178</v>
      </c>
      <c r="J15" s="4" t="s">
        <v>229</v>
      </c>
      <c r="K15" s="4" t="s">
        <v>460</v>
      </c>
      <c r="L15" t="s">
        <v>452</v>
      </c>
      <c r="M15" s="4" t="s">
        <v>190</v>
      </c>
      <c r="N15" t="s">
        <v>234</v>
      </c>
      <c r="O15" s="4" t="s">
        <v>225</v>
      </c>
      <c r="P15" s="4" t="s">
        <v>220</v>
      </c>
      <c r="Q15" s="4" t="s">
        <v>230</v>
      </c>
      <c r="R15" s="4" t="s">
        <v>213</v>
      </c>
      <c r="S15" s="4" t="s">
        <v>234</v>
      </c>
      <c r="T15" s="4" t="s">
        <v>214</v>
      </c>
      <c r="U15" s="4" t="s">
        <v>197</v>
      </c>
      <c r="V15" s="4" t="s">
        <v>201</v>
      </c>
      <c r="W15" s="4" t="s">
        <v>462</v>
      </c>
      <c r="X15" s="4" t="s">
        <v>176</v>
      </c>
      <c r="Y15" s="4" t="s">
        <v>464</v>
      </c>
      <c r="Z15" s="4" t="s">
        <v>181</v>
      </c>
      <c r="AA15" s="4" t="s">
        <v>232</v>
      </c>
      <c r="AB15" s="4" t="s">
        <v>463</v>
      </c>
      <c r="AC15" s="4" t="s">
        <v>245</v>
      </c>
      <c r="AD15" s="4" t="s">
        <v>243</v>
      </c>
      <c r="AE15" s="4" t="s">
        <v>240</v>
      </c>
      <c r="AF15" s="4" t="s">
        <v>460</v>
      </c>
      <c r="AG15" s="4" t="s">
        <v>465</v>
      </c>
      <c r="AH15" s="4" t="s">
        <v>203</v>
      </c>
      <c r="AI15" s="4" t="s">
        <v>196</v>
      </c>
      <c r="AJ15" s="4" t="s">
        <v>232</v>
      </c>
      <c r="AK15" s="4" t="s">
        <v>236</v>
      </c>
      <c r="AL15" s="4" t="s">
        <v>188</v>
      </c>
      <c r="AM15" s="4" t="s">
        <v>196</v>
      </c>
      <c r="AN15" s="4" t="s">
        <v>184</v>
      </c>
      <c r="AO15" s="4" t="s">
        <v>247</v>
      </c>
      <c r="AP15" s="4" t="s">
        <v>194</v>
      </c>
      <c r="AQ15" s="4" t="s">
        <v>188</v>
      </c>
      <c r="AR15" s="4" t="s">
        <v>214</v>
      </c>
    </row>
    <row r="16" spans="1:44" x14ac:dyDescent="0.15">
      <c r="A16">
        <v>5</v>
      </c>
      <c r="B16" s="26">
        <v>33</v>
      </c>
      <c r="C16" s="4">
        <v>11</v>
      </c>
      <c r="D16" s="4" t="str">
        <f>INDEX(Sheet1!$B:$AQ,テスト!C16+2,テスト!B16)</f>
        <v>惑乱のｾｲﾚｰﾝ</v>
      </c>
      <c r="E16" s="4">
        <f>COUNTIF($D$2:$D$16,D16)</f>
        <v>1</v>
      </c>
      <c r="G16" s="4">
        <v>32</v>
      </c>
      <c r="H16" t="s">
        <v>732</v>
      </c>
      <c r="I16" t="s">
        <v>469</v>
      </c>
      <c r="J16" t="s">
        <v>290</v>
      </c>
      <c r="K16" s="4" t="s">
        <v>338</v>
      </c>
      <c r="L16" t="s">
        <v>469</v>
      </c>
      <c r="M16" t="s">
        <v>481</v>
      </c>
      <c r="N16" t="s">
        <v>487</v>
      </c>
      <c r="O16" t="s">
        <v>468</v>
      </c>
      <c r="P16" t="s">
        <v>687</v>
      </c>
      <c r="Q16" t="s">
        <v>301</v>
      </c>
      <c r="R16" t="s">
        <v>498</v>
      </c>
      <c r="S16" t="s">
        <v>406</v>
      </c>
      <c r="T16" t="s">
        <v>493</v>
      </c>
      <c r="U16" t="s">
        <v>500</v>
      </c>
      <c r="V16" t="s">
        <v>304</v>
      </c>
      <c r="W16" t="s">
        <v>353</v>
      </c>
      <c r="X16" t="s">
        <v>472</v>
      </c>
      <c r="Y16" t="s">
        <v>489</v>
      </c>
      <c r="Z16" t="s">
        <v>308</v>
      </c>
      <c r="AA16" t="s">
        <v>290</v>
      </c>
      <c r="AB16" t="s">
        <v>299</v>
      </c>
      <c r="AC16" t="s">
        <v>404</v>
      </c>
      <c r="AD16" t="s">
        <v>291</v>
      </c>
      <c r="AE16" t="s">
        <v>407</v>
      </c>
      <c r="AF16" t="s">
        <v>404</v>
      </c>
      <c r="AG16" t="s">
        <v>370</v>
      </c>
      <c r="AH16" t="s">
        <v>336</v>
      </c>
      <c r="AI16" t="s">
        <v>492</v>
      </c>
      <c r="AJ16" t="s">
        <v>297</v>
      </c>
      <c r="AK16" t="s">
        <v>778</v>
      </c>
      <c r="AL16" t="s">
        <v>292</v>
      </c>
      <c r="AM16" t="s">
        <v>358</v>
      </c>
      <c r="AN16" t="s">
        <v>328</v>
      </c>
      <c r="AO16" t="s">
        <v>297</v>
      </c>
      <c r="AP16" t="s">
        <v>320</v>
      </c>
      <c r="AQ16" t="s">
        <v>300</v>
      </c>
      <c r="AR16" t="s">
        <v>471</v>
      </c>
    </row>
    <row r="17" spans="1:32" ht="14.25" thickBot="1" x14ac:dyDescent="0.2">
      <c r="A17" s="4"/>
      <c r="D17" s="4">
        <v>2</v>
      </c>
      <c r="G17" s="4">
        <v>22</v>
      </c>
      <c r="H17">
        <f>COUNTIF(D:D,H16)</f>
        <v>0</v>
      </c>
      <c r="K17" s="4"/>
    </row>
    <row r="18" spans="1:32" x14ac:dyDescent="0.15">
      <c r="A18" s="4">
        <v>1</v>
      </c>
      <c r="B18" s="26">
        <v>2</v>
      </c>
      <c r="C18" s="4">
        <v>8</v>
      </c>
      <c r="D18" s="4" t="str">
        <f>INDEX(Sheet1!$B:$AQ,テスト!C18+2,テスト!B18)</f>
        <v>かき鳴らし鳥</v>
      </c>
      <c r="E18" s="4">
        <f>COUNTIF($D$18:$D$32,D18)</f>
        <v>1</v>
      </c>
      <c r="G18" s="4">
        <v>26</v>
      </c>
      <c r="I18" s="56" t="s">
        <v>249</v>
      </c>
      <c r="J18" s="35" t="s">
        <v>113</v>
      </c>
      <c r="K18" s="35" t="s">
        <v>103</v>
      </c>
      <c r="L18" s="35" t="s">
        <v>642</v>
      </c>
      <c r="M18" s="35" t="s">
        <v>59</v>
      </c>
      <c r="N18" s="35" t="s">
        <v>126</v>
      </c>
      <c r="O18" s="35" t="s">
        <v>429</v>
      </c>
      <c r="P18" s="36" t="s">
        <v>676</v>
      </c>
      <c r="Q18" s="56" t="s">
        <v>703</v>
      </c>
      <c r="R18" s="35" t="s">
        <v>59</v>
      </c>
      <c r="S18" s="35" t="s">
        <v>421</v>
      </c>
      <c r="T18" s="35" t="s">
        <v>88</v>
      </c>
      <c r="U18" s="35" t="s">
        <v>39</v>
      </c>
      <c r="V18" s="35" t="s">
        <v>69</v>
      </c>
      <c r="W18" s="35" t="s">
        <v>119</v>
      </c>
      <c r="X18" s="36" t="s">
        <v>76</v>
      </c>
      <c r="Y18" s="56" t="s">
        <v>422</v>
      </c>
      <c r="Z18" s="35" t="s">
        <v>58</v>
      </c>
      <c r="AA18" s="35" t="s">
        <v>58</v>
      </c>
      <c r="AB18" s="35" t="s">
        <v>421</v>
      </c>
      <c r="AC18" s="35" t="s">
        <v>18</v>
      </c>
      <c r="AD18" s="35" t="s">
        <v>9</v>
      </c>
      <c r="AE18" s="35" t="s">
        <v>659</v>
      </c>
      <c r="AF18" s="36" t="s">
        <v>53</v>
      </c>
    </row>
    <row r="19" spans="1:32" x14ac:dyDescent="0.15">
      <c r="A19" s="4">
        <v>1</v>
      </c>
      <c r="B19" s="26">
        <f>IF(B18&gt;9,1,B18+1)</f>
        <v>3</v>
      </c>
      <c r="C19" s="4">
        <v>6</v>
      </c>
      <c r="D19" s="4" t="str">
        <f>INDEX(Sheet1!$B:$AQ,テスト!C19+2,テスト!B19)</f>
        <v>ﾌｧｲﾚｸｼｱ化</v>
      </c>
      <c r="E19" s="4">
        <f t="shared" ref="E19:E32" si="3">COUNTIF($D$18:$D$32,D19)</f>
        <v>1</v>
      </c>
      <c r="G19" s="4">
        <v>21</v>
      </c>
      <c r="I19" s="37" t="s">
        <v>675</v>
      </c>
      <c r="J19" s="12" t="s">
        <v>9</v>
      </c>
      <c r="K19" s="12" t="s">
        <v>428</v>
      </c>
      <c r="L19" s="12" t="s">
        <v>103</v>
      </c>
      <c r="M19" s="12" t="s">
        <v>85</v>
      </c>
      <c r="N19" s="12" t="s">
        <v>408</v>
      </c>
      <c r="O19" s="12" t="s">
        <v>427</v>
      </c>
      <c r="P19" s="38" t="s">
        <v>92</v>
      </c>
      <c r="Q19" s="37" t="s">
        <v>420</v>
      </c>
      <c r="R19" s="12" t="s">
        <v>82</v>
      </c>
      <c r="S19" s="12" t="s">
        <v>428</v>
      </c>
      <c r="T19" s="12" t="s">
        <v>659</v>
      </c>
      <c r="U19" s="12" t="s">
        <v>69</v>
      </c>
      <c r="V19" s="12" t="s">
        <v>90</v>
      </c>
      <c r="W19" s="12" t="s">
        <v>413</v>
      </c>
      <c r="X19" s="38" t="s">
        <v>92</v>
      </c>
      <c r="Y19" s="37" t="s">
        <v>413</v>
      </c>
      <c r="Z19" s="12" t="s">
        <v>676</v>
      </c>
      <c r="AA19" s="12" t="s">
        <v>85</v>
      </c>
      <c r="AB19" s="12" t="s">
        <v>113</v>
      </c>
      <c r="AC19" s="12" t="s">
        <v>41</v>
      </c>
      <c r="AD19" s="12" t="s">
        <v>60</v>
      </c>
      <c r="AE19" s="12" t="s">
        <v>248</v>
      </c>
      <c r="AF19" s="38" t="s">
        <v>76</v>
      </c>
    </row>
    <row r="20" spans="1:32" x14ac:dyDescent="0.15">
      <c r="A20" s="4">
        <v>1</v>
      </c>
      <c r="B20" s="26">
        <f t="shared" ref="B20:B22" si="4">IF(B19&gt;9,1,B19+1)</f>
        <v>4</v>
      </c>
      <c r="C20" s="4">
        <v>24</v>
      </c>
      <c r="D20" s="4" t="str">
        <f>INDEX(Sheet1!$B:$AQ,テスト!C20+2,テスト!B20)</f>
        <v>霜剣山の呪刃</v>
      </c>
      <c r="E20" s="4">
        <f t="shared" si="3"/>
        <v>1</v>
      </c>
      <c r="G20">
        <v>6</v>
      </c>
      <c r="I20" s="37" t="s">
        <v>64</v>
      </c>
      <c r="J20" s="12" t="s">
        <v>53</v>
      </c>
      <c r="K20" s="12" t="s">
        <v>674</v>
      </c>
      <c r="L20" s="12" t="s">
        <v>423</v>
      </c>
      <c r="M20" s="12" t="s">
        <v>103</v>
      </c>
      <c r="N20" s="12" t="s">
        <v>675</v>
      </c>
      <c r="O20" s="12" t="s">
        <v>20</v>
      </c>
      <c r="P20" s="38" t="s">
        <v>428</v>
      </c>
      <c r="Q20" s="37" t="s">
        <v>119</v>
      </c>
      <c r="R20" s="12" t="s">
        <v>254</v>
      </c>
      <c r="S20" s="12" t="s">
        <v>12</v>
      </c>
      <c r="T20" s="12" t="s">
        <v>248</v>
      </c>
      <c r="U20" s="12" t="s">
        <v>102</v>
      </c>
      <c r="V20" s="12" t="s">
        <v>422</v>
      </c>
      <c r="W20" s="12" t="s">
        <v>417</v>
      </c>
      <c r="X20" s="38" t="s">
        <v>656</v>
      </c>
      <c r="Y20" s="37" t="s">
        <v>250</v>
      </c>
      <c r="Z20" s="12" t="s">
        <v>97</v>
      </c>
      <c r="AA20" s="12" t="s">
        <v>253</v>
      </c>
      <c r="AB20" s="12" t="s">
        <v>12</v>
      </c>
      <c r="AC20" s="12" t="s">
        <v>79</v>
      </c>
      <c r="AD20" s="12" t="s">
        <v>62</v>
      </c>
      <c r="AE20" s="12" t="s">
        <v>417</v>
      </c>
      <c r="AF20" s="38" t="s">
        <v>429</v>
      </c>
    </row>
    <row r="21" spans="1:32" x14ac:dyDescent="0.15">
      <c r="A21" s="4">
        <v>1</v>
      </c>
      <c r="B21" s="26">
        <f t="shared" si="4"/>
        <v>5</v>
      </c>
      <c r="C21" s="4">
        <v>35</v>
      </c>
      <c r="D21" s="4" t="str">
        <f>INDEX(Sheet1!$B:$AQ,テスト!C21+2,テスト!B21)</f>
        <v>不屈の自然</v>
      </c>
      <c r="E21" s="4">
        <f t="shared" si="3"/>
        <v>1</v>
      </c>
      <c r="G21">
        <v>9</v>
      </c>
      <c r="I21" s="37" t="s">
        <v>104</v>
      </c>
      <c r="J21" s="12" t="s">
        <v>703</v>
      </c>
      <c r="K21" s="12" t="s">
        <v>416</v>
      </c>
      <c r="L21" s="12" t="s">
        <v>18</v>
      </c>
      <c r="M21" s="12" t="s">
        <v>126</v>
      </c>
      <c r="N21" s="12" t="s">
        <v>83</v>
      </c>
      <c r="O21" s="12" t="s">
        <v>415</v>
      </c>
      <c r="P21" s="38" t="s">
        <v>14</v>
      </c>
      <c r="Q21" s="37" t="s">
        <v>413</v>
      </c>
      <c r="R21" s="12" t="s">
        <v>126</v>
      </c>
      <c r="S21" s="12" t="s">
        <v>415</v>
      </c>
      <c r="T21" s="12" t="s">
        <v>416</v>
      </c>
      <c r="U21" s="12" t="s">
        <v>113</v>
      </c>
      <c r="V21" s="12" t="s">
        <v>674</v>
      </c>
      <c r="W21" s="12" t="s">
        <v>64</v>
      </c>
      <c r="X21" s="38" t="s">
        <v>18</v>
      </c>
      <c r="Y21" s="37" t="s">
        <v>419</v>
      </c>
      <c r="Z21" s="12" t="s">
        <v>422</v>
      </c>
      <c r="AA21" s="12" t="s">
        <v>119</v>
      </c>
      <c r="AB21" s="12" t="s">
        <v>39</v>
      </c>
      <c r="AC21" s="12" t="s">
        <v>90</v>
      </c>
      <c r="AD21" s="12" t="s">
        <v>429</v>
      </c>
      <c r="AE21" s="12" t="s">
        <v>85</v>
      </c>
      <c r="AF21" s="38" t="s">
        <v>113</v>
      </c>
    </row>
    <row r="22" spans="1:32" x14ac:dyDescent="0.15">
      <c r="A22" s="4">
        <v>1</v>
      </c>
      <c r="B22" s="26">
        <f t="shared" si="4"/>
        <v>6</v>
      </c>
      <c r="C22" s="4">
        <v>10</v>
      </c>
      <c r="D22" s="4" t="str">
        <f>INDEX(Sheet1!$B:$AQ,テスト!C22+2,テスト!B22)</f>
        <v>ﾑｰｱﾗﾝﾄﾞの流れ者</v>
      </c>
      <c r="E22" s="4">
        <f t="shared" si="3"/>
        <v>1</v>
      </c>
      <c r="G22">
        <v>36</v>
      </c>
      <c r="I22" s="37" t="s">
        <v>423</v>
      </c>
      <c r="J22" s="12" t="s">
        <v>104</v>
      </c>
      <c r="K22" s="12" t="s">
        <v>79</v>
      </c>
      <c r="L22" s="12" t="s">
        <v>43</v>
      </c>
      <c r="M22" s="12" t="s">
        <v>248</v>
      </c>
      <c r="N22" s="12" t="s">
        <v>102</v>
      </c>
      <c r="O22" s="12" t="s">
        <v>83</v>
      </c>
      <c r="P22" s="38" t="s">
        <v>53</v>
      </c>
      <c r="Q22" s="37" t="s">
        <v>60</v>
      </c>
      <c r="R22" s="12" t="s">
        <v>14</v>
      </c>
      <c r="S22" s="12" t="s">
        <v>83</v>
      </c>
      <c r="T22" s="12" t="s">
        <v>425</v>
      </c>
      <c r="U22" s="12" t="s">
        <v>674</v>
      </c>
      <c r="V22" s="12" t="s">
        <v>250</v>
      </c>
      <c r="W22" s="12" t="s">
        <v>252</v>
      </c>
      <c r="X22" s="38" t="s">
        <v>41</v>
      </c>
      <c r="Y22" s="37" t="s">
        <v>88</v>
      </c>
      <c r="Z22" s="12" t="s">
        <v>9</v>
      </c>
      <c r="AA22" s="12" t="s">
        <v>408</v>
      </c>
      <c r="AB22" s="12" t="s">
        <v>83</v>
      </c>
      <c r="AC22" s="12" t="s">
        <v>734</v>
      </c>
      <c r="AD22" s="12" t="s">
        <v>734</v>
      </c>
      <c r="AE22" s="12" t="s">
        <v>252</v>
      </c>
      <c r="AF22" s="38" t="s">
        <v>14</v>
      </c>
    </row>
    <row r="23" spans="1:32" x14ac:dyDescent="0.15">
      <c r="A23" s="4">
        <v>2</v>
      </c>
      <c r="B23" s="26">
        <v>19</v>
      </c>
      <c r="C23" s="4">
        <v>28</v>
      </c>
      <c r="D23" s="4" t="str">
        <f>INDEX(Sheet1!$B:$AQ,テスト!C23+2,テスト!B23)</f>
        <v>ヴｨｰｱｼｰﾉの初太刀</v>
      </c>
      <c r="E23" s="4">
        <f t="shared" si="3"/>
        <v>1</v>
      </c>
      <c r="G23">
        <v>33</v>
      </c>
      <c r="I23" s="37" t="s">
        <v>138</v>
      </c>
      <c r="J23" s="12" t="s">
        <v>424</v>
      </c>
      <c r="K23" s="12" t="s">
        <v>667</v>
      </c>
      <c r="L23" s="12" t="s">
        <v>129</v>
      </c>
      <c r="M23" s="12" t="s">
        <v>137</v>
      </c>
      <c r="N23" s="12" t="s">
        <v>259</v>
      </c>
      <c r="O23" s="12" t="s">
        <v>117</v>
      </c>
      <c r="P23" s="38" t="s">
        <v>110</v>
      </c>
      <c r="Q23" s="37" t="s">
        <v>16</v>
      </c>
      <c r="R23" s="12" t="s">
        <v>57</v>
      </c>
      <c r="S23" s="12" t="s">
        <v>94</v>
      </c>
      <c r="T23" s="12" t="s">
        <v>110</v>
      </c>
      <c r="U23" s="12" t="s">
        <v>441</v>
      </c>
      <c r="V23" s="12" t="s">
        <v>138</v>
      </c>
      <c r="W23" s="12" t="s">
        <v>129</v>
      </c>
      <c r="X23" s="38" t="s">
        <v>133</v>
      </c>
      <c r="Y23" s="37" t="s">
        <v>115</v>
      </c>
      <c r="Z23" s="12" t="s">
        <v>434</v>
      </c>
      <c r="AA23" s="12" t="s">
        <v>133</v>
      </c>
      <c r="AB23" s="12" t="s">
        <v>433</v>
      </c>
      <c r="AC23" s="12" t="s">
        <v>56</v>
      </c>
      <c r="AD23" s="12" t="s">
        <v>142</v>
      </c>
      <c r="AE23" s="12" t="s">
        <v>143</v>
      </c>
      <c r="AF23" s="38" t="s">
        <v>45</v>
      </c>
    </row>
    <row r="24" spans="1:32" x14ac:dyDescent="0.15">
      <c r="A24" s="4">
        <v>2</v>
      </c>
      <c r="B24" s="26">
        <f>IF(B23&gt;19,11,B23+1)</f>
        <v>20</v>
      </c>
      <c r="C24" s="4">
        <v>24</v>
      </c>
      <c r="D24" s="4" t="str">
        <f>INDEX(Sheet1!$B:$AQ,テスト!C24+2,テスト!B24)</f>
        <v>天上の待ち伏せ</v>
      </c>
      <c r="E24" s="4">
        <f t="shared" si="3"/>
        <v>1</v>
      </c>
      <c r="G24">
        <v>8</v>
      </c>
      <c r="I24" s="37" t="s">
        <v>432</v>
      </c>
      <c r="J24" s="12" t="s">
        <v>432</v>
      </c>
      <c r="K24" s="12" t="s">
        <v>117</v>
      </c>
      <c r="L24" s="12" t="s">
        <v>439</v>
      </c>
      <c r="M24" s="12" t="s">
        <v>140</v>
      </c>
      <c r="N24" s="12" t="s">
        <v>129</v>
      </c>
      <c r="O24" s="12" t="s">
        <v>441</v>
      </c>
      <c r="P24" s="38" t="s">
        <v>257</v>
      </c>
      <c r="Q24" s="37" t="s">
        <v>51</v>
      </c>
      <c r="R24" s="12" t="s">
        <v>32</v>
      </c>
      <c r="S24" s="12" t="s">
        <v>401</v>
      </c>
      <c r="T24" s="12" t="s">
        <v>81</v>
      </c>
      <c r="U24" s="12" t="s">
        <v>260</v>
      </c>
      <c r="V24" s="12" t="s">
        <v>142</v>
      </c>
      <c r="W24" s="12" t="s">
        <v>135</v>
      </c>
      <c r="X24" s="38" t="s">
        <v>55</v>
      </c>
      <c r="Y24" s="37" t="s">
        <v>55</v>
      </c>
      <c r="Z24" s="12" t="s">
        <v>49</v>
      </c>
      <c r="AA24" s="12" t="s">
        <v>55</v>
      </c>
      <c r="AB24" s="12" t="s">
        <v>115</v>
      </c>
      <c r="AC24" s="12" t="s">
        <v>436</v>
      </c>
      <c r="AD24" s="12" t="s">
        <v>29</v>
      </c>
      <c r="AE24" s="12" t="s">
        <v>78</v>
      </c>
      <c r="AF24" s="38" t="s">
        <v>56</v>
      </c>
    </row>
    <row r="25" spans="1:32" x14ac:dyDescent="0.15">
      <c r="A25" s="4">
        <v>2</v>
      </c>
      <c r="B25" s="26">
        <f>IF(B24&gt;19,11,B24+1)</f>
        <v>11</v>
      </c>
      <c r="C25" s="4">
        <v>25</v>
      </c>
      <c r="D25" s="4" t="str">
        <f>INDEX(Sheet1!$B:$AQ,テスト!C25+2,テスト!B25)</f>
        <v>横這Slv</v>
      </c>
      <c r="E25" s="4">
        <f t="shared" si="3"/>
        <v>1</v>
      </c>
      <c r="G25">
        <v>1</v>
      </c>
      <c r="I25" s="37" t="s">
        <v>146</v>
      </c>
      <c r="J25" s="12" t="s">
        <v>78</v>
      </c>
      <c r="K25" s="12" t="s">
        <v>147</v>
      </c>
      <c r="L25" s="12" t="s">
        <v>67</v>
      </c>
      <c r="M25" s="12" t="s">
        <v>29</v>
      </c>
      <c r="N25" s="12" t="s">
        <v>135</v>
      </c>
      <c r="O25" s="12" t="s">
        <v>405</v>
      </c>
      <c r="P25" s="38" t="s">
        <v>24</v>
      </c>
      <c r="Q25" s="37" t="s">
        <v>84</v>
      </c>
      <c r="R25" s="12" t="s">
        <v>667</v>
      </c>
      <c r="S25" s="12" t="s">
        <v>129</v>
      </c>
      <c r="T25" s="12" t="s">
        <v>30</v>
      </c>
      <c r="U25" s="12" t="s">
        <v>7</v>
      </c>
      <c r="V25" s="12" t="s">
        <v>78</v>
      </c>
      <c r="W25" s="12" t="s">
        <v>440</v>
      </c>
      <c r="X25" s="38" t="s">
        <v>256</v>
      </c>
      <c r="Y25" s="37" t="s">
        <v>117</v>
      </c>
      <c r="Z25" s="12" t="s">
        <v>16</v>
      </c>
      <c r="AA25" s="12" t="s">
        <v>140</v>
      </c>
      <c r="AB25" s="12" t="s">
        <v>135</v>
      </c>
      <c r="AC25" s="12" t="s">
        <v>151</v>
      </c>
      <c r="AD25" s="12" t="s">
        <v>57</v>
      </c>
      <c r="AE25" s="12" t="s">
        <v>433</v>
      </c>
      <c r="AF25" s="38" t="s">
        <v>147</v>
      </c>
    </row>
    <row r="26" spans="1:32" x14ac:dyDescent="0.15">
      <c r="A26" s="4">
        <v>2</v>
      </c>
      <c r="B26" s="26">
        <f>IF(B25&gt;19,11,B25+1)</f>
        <v>12</v>
      </c>
      <c r="C26" s="4">
        <v>20</v>
      </c>
      <c r="D26" s="4" t="str">
        <f>INDEX(Sheet1!$B:$AQ,テスト!C26+2,テスト!B26)</f>
        <v>ｾﾞｸﾀｰ祭殿の探検</v>
      </c>
      <c r="E26" s="4">
        <f t="shared" si="3"/>
        <v>1</v>
      </c>
      <c r="G26">
        <v>27</v>
      </c>
      <c r="I26" s="37" t="s">
        <v>430</v>
      </c>
      <c r="J26" s="12" t="s">
        <v>151</v>
      </c>
      <c r="K26" s="12" t="s">
        <v>149</v>
      </c>
      <c r="L26" s="12" t="s">
        <v>436</v>
      </c>
      <c r="M26" s="12" t="s">
        <v>405</v>
      </c>
      <c r="N26" s="12" t="s">
        <v>142</v>
      </c>
      <c r="O26" s="12" t="s">
        <v>257</v>
      </c>
      <c r="P26" s="38" t="s">
        <v>256</v>
      </c>
      <c r="Q26" s="37" t="s">
        <v>691</v>
      </c>
      <c r="R26" s="12" t="s">
        <v>67</v>
      </c>
      <c r="S26" s="12" t="s">
        <v>439</v>
      </c>
      <c r="T26" s="12" t="s">
        <v>440</v>
      </c>
      <c r="U26" s="12" t="s">
        <v>424</v>
      </c>
      <c r="V26" s="12" t="s">
        <v>108</v>
      </c>
      <c r="W26" s="12" t="s">
        <v>436</v>
      </c>
      <c r="X26" s="38" t="s">
        <v>671</v>
      </c>
      <c r="Y26" s="37" t="s">
        <v>16</v>
      </c>
      <c r="Z26" s="12" t="s">
        <v>401</v>
      </c>
      <c r="AA26" s="12" t="s">
        <v>431</v>
      </c>
      <c r="AB26" s="12" t="s">
        <v>440</v>
      </c>
      <c r="AC26" s="12" t="s">
        <v>7</v>
      </c>
      <c r="AD26" s="12" t="s">
        <v>115</v>
      </c>
      <c r="AE26" s="12" t="s">
        <v>7</v>
      </c>
      <c r="AF26" s="38" t="s">
        <v>151</v>
      </c>
    </row>
    <row r="27" spans="1:32" x14ac:dyDescent="0.15">
      <c r="A27" s="4">
        <v>3</v>
      </c>
      <c r="B27" s="26">
        <v>21</v>
      </c>
      <c r="C27" s="4">
        <v>12</v>
      </c>
      <c r="D27" s="4" t="str">
        <f>INDEX(Sheet1!$B:$AQ,テスト!C27+2,テスト!B27)</f>
        <v>ﾎﾞﾛｽの導き石</v>
      </c>
      <c r="E27" s="4">
        <f t="shared" si="3"/>
        <v>1</v>
      </c>
      <c r="G27">
        <v>2</v>
      </c>
      <c r="I27" s="37" t="s">
        <v>444</v>
      </c>
      <c r="J27" s="12" t="s">
        <v>447</v>
      </c>
      <c r="K27" s="12" t="s">
        <v>445</v>
      </c>
      <c r="L27" s="12" t="s">
        <v>728</v>
      </c>
      <c r="M27" s="12" t="s">
        <v>442</v>
      </c>
      <c r="N27" s="12" t="s">
        <v>446</v>
      </c>
      <c r="O27" s="12" t="s">
        <v>448</v>
      </c>
      <c r="P27" s="38" t="s">
        <v>442</v>
      </c>
      <c r="Q27" s="37" t="s">
        <v>447</v>
      </c>
      <c r="R27" s="12" t="s">
        <v>446</v>
      </c>
      <c r="S27" s="12" t="s">
        <v>446</v>
      </c>
      <c r="T27" s="12" t="s">
        <v>443</v>
      </c>
      <c r="U27" s="12" t="s">
        <v>445</v>
      </c>
      <c r="V27" s="12" t="s">
        <v>442</v>
      </c>
      <c r="W27" s="12" t="s">
        <v>443</v>
      </c>
      <c r="X27" s="38" t="s">
        <v>728</v>
      </c>
      <c r="Y27" s="37" t="s">
        <v>448</v>
      </c>
      <c r="Z27" s="12" t="s">
        <v>728</v>
      </c>
      <c r="AA27" s="12" t="s">
        <v>448</v>
      </c>
      <c r="AB27" s="12" t="s">
        <v>447</v>
      </c>
      <c r="AC27" s="12" t="s">
        <v>446</v>
      </c>
      <c r="AD27" s="12" t="s">
        <v>445</v>
      </c>
      <c r="AE27" s="12" t="s">
        <v>447</v>
      </c>
      <c r="AF27" s="38" t="s">
        <v>445</v>
      </c>
    </row>
    <row r="28" spans="1:32" x14ac:dyDescent="0.15">
      <c r="A28" s="4">
        <v>3</v>
      </c>
      <c r="B28" s="26">
        <v>22</v>
      </c>
      <c r="C28" s="4">
        <v>64</v>
      </c>
      <c r="D28" s="4" t="str">
        <f>INDEX(Sheet1!$B:$AQ,テスト!C28+2,テスト!B28)</f>
        <v>BGL</v>
      </c>
      <c r="E28" s="4">
        <f t="shared" si="3"/>
        <v>1</v>
      </c>
      <c r="G28">
        <v>30</v>
      </c>
      <c r="I28" s="37" t="s">
        <v>731</v>
      </c>
      <c r="J28" s="12" t="s">
        <v>730</v>
      </c>
      <c r="K28" s="12" t="s">
        <v>164</v>
      </c>
      <c r="L28" s="12" t="s">
        <v>730</v>
      </c>
      <c r="M28" s="12" t="s">
        <v>166</v>
      </c>
      <c r="N28" s="12" t="s">
        <v>159</v>
      </c>
      <c r="O28" s="12" t="s">
        <v>166</v>
      </c>
      <c r="P28" s="38" t="s">
        <v>731</v>
      </c>
      <c r="Q28" s="37" t="s">
        <v>163</v>
      </c>
      <c r="R28" s="12" t="s">
        <v>164</v>
      </c>
      <c r="S28" s="12" t="s">
        <v>157</v>
      </c>
      <c r="T28" s="12" t="s">
        <v>165</v>
      </c>
      <c r="U28" s="12" t="s">
        <v>165</v>
      </c>
      <c r="V28" s="12" t="s">
        <v>157</v>
      </c>
      <c r="W28" s="12" t="s">
        <v>157</v>
      </c>
      <c r="X28" s="38" t="s">
        <v>165</v>
      </c>
      <c r="Y28" s="37" t="s">
        <v>164</v>
      </c>
      <c r="Z28" s="12" t="s">
        <v>167</v>
      </c>
      <c r="AA28" s="12" t="s">
        <v>165</v>
      </c>
      <c r="AB28" s="12" t="s">
        <v>157</v>
      </c>
      <c r="AC28" s="12" t="s">
        <v>164</v>
      </c>
      <c r="AD28" s="12" t="s">
        <v>163</v>
      </c>
      <c r="AE28" s="12" t="s">
        <v>165</v>
      </c>
      <c r="AF28" s="38" t="s">
        <v>167</v>
      </c>
    </row>
    <row r="29" spans="1:32" x14ac:dyDescent="0.15">
      <c r="A29" s="4">
        <v>4</v>
      </c>
      <c r="B29" s="26">
        <v>26</v>
      </c>
      <c r="C29" s="4">
        <v>18</v>
      </c>
      <c r="D29" s="4" t="str">
        <f>INDEX(Sheet1!$B:$AQ,テスト!C29+2,テスト!B29)</f>
        <v>ｼﾞｪｽｶｲ土地</v>
      </c>
      <c r="E29" s="4">
        <f t="shared" si="3"/>
        <v>1</v>
      </c>
      <c r="G29">
        <v>4</v>
      </c>
      <c r="I29" s="37" t="s">
        <v>236</v>
      </c>
      <c r="J29" s="12" t="s">
        <v>454</v>
      </c>
      <c r="K29" s="12" t="s">
        <v>226</v>
      </c>
      <c r="L29" s="12" t="s">
        <v>235</v>
      </c>
      <c r="M29" s="12" t="s">
        <v>452</v>
      </c>
      <c r="N29" s="12" t="s">
        <v>460</v>
      </c>
      <c r="O29" s="12" t="s">
        <v>239</v>
      </c>
      <c r="P29" s="38" t="s">
        <v>215</v>
      </c>
      <c r="Q29" s="37" t="s">
        <v>224</v>
      </c>
      <c r="R29" s="12" t="s">
        <v>246</v>
      </c>
      <c r="S29" s="12" t="s">
        <v>190</v>
      </c>
      <c r="T29" s="12" t="s">
        <v>725</v>
      </c>
      <c r="U29" s="12" t="s">
        <v>461</v>
      </c>
      <c r="V29" s="12" t="s">
        <v>275</v>
      </c>
      <c r="W29" s="12" t="s">
        <v>177</v>
      </c>
      <c r="X29" s="38" t="s">
        <v>235</v>
      </c>
      <c r="Y29" s="37" t="s">
        <v>198</v>
      </c>
      <c r="Z29" s="12" t="s">
        <v>227</v>
      </c>
      <c r="AA29" s="12" t="s">
        <v>192</v>
      </c>
      <c r="AB29" s="12" t="s">
        <v>221</v>
      </c>
      <c r="AC29" s="12" t="s">
        <v>456</v>
      </c>
      <c r="AD29" s="12" t="s">
        <v>231</v>
      </c>
      <c r="AE29" s="12" t="s">
        <v>242</v>
      </c>
      <c r="AF29" s="38" t="s">
        <v>191</v>
      </c>
    </row>
    <row r="30" spans="1:32" x14ac:dyDescent="0.15">
      <c r="A30" s="4">
        <v>4</v>
      </c>
      <c r="B30" s="26">
        <f t="shared" ref="B30:B31" si="5">IF(B29&gt;31,23,B29+1)</f>
        <v>27</v>
      </c>
      <c r="C30" s="4">
        <v>3</v>
      </c>
      <c r="D30" s="4" t="str">
        <f>INDEX(Sheet1!$B:$AQ,テスト!C30+2,テスト!B30)</f>
        <v>幽霊の変わり身</v>
      </c>
      <c r="E30" s="4">
        <f t="shared" si="3"/>
        <v>1</v>
      </c>
      <c r="G30">
        <v>18</v>
      </c>
      <c r="I30" s="37" t="s">
        <v>201</v>
      </c>
      <c r="J30" s="12" t="s">
        <v>177</v>
      </c>
      <c r="K30" s="12" t="s">
        <v>187</v>
      </c>
      <c r="L30" s="12" t="s">
        <v>200</v>
      </c>
      <c r="M30" s="12" t="s">
        <v>208</v>
      </c>
      <c r="N30" s="12" t="s">
        <v>197</v>
      </c>
      <c r="O30" s="12" t="s">
        <v>205</v>
      </c>
      <c r="P30" s="38" t="s">
        <v>185</v>
      </c>
      <c r="Q30" s="37" t="s">
        <v>454</v>
      </c>
      <c r="R30" s="12" t="s">
        <v>186</v>
      </c>
      <c r="S30" s="12" t="s">
        <v>402</v>
      </c>
      <c r="T30" s="12" t="s">
        <v>181</v>
      </c>
      <c r="U30" s="12" t="s">
        <v>198</v>
      </c>
      <c r="V30" s="12" t="s">
        <v>238</v>
      </c>
      <c r="W30" s="12" t="s">
        <v>211</v>
      </c>
      <c r="X30" s="38" t="s">
        <v>239</v>
      </c>
      <c r="Y30" s="37" t="s">
        <v>229</v>
      </c>
      <c r="Z30" s="12" t="s">
        <v>452</v>
      </c>
      <c r="AA30" s="12" t="s">
        <v>453</v>
      </c>
      <c r="AB30" s="12" t="s">
        <v>238</v>
      </c>
      <c r="AC30" s="12" t="s">
        <v>196</v>
      </c>
      <c r="AD30" s="12" t="s">
        <v>189</v>
      </c>
      <c r="AE30" s="12" t="s">
        <v>191</v>
      </c>
      <c r="AF30" s="38" t="s">
        <v>185</v>
      </c>
    </row>
    <row r="31" spans="1:32" s="4" customFormat="1" x14ac:dyDescent="0.15">
      <c r="A31" s="4">
        <v>4</v>
      </c>
      <c r="B31" s="26">
        <f t="shared" si="5"/>
        <v>28</v>
      </c>
      <c r="C31" s="4">
        <v>33</v>
      </c>
      <c r="D31" s="4" t="str">
        <f>INDEX(Sheet1!$B:$AQ,テスト!C31+2,テスト!B31)</f>
        <v>壊死Slv</v>
      </c>
      <c r="E31" s="4">
        <f t="shared" si="3"/>
        <v>1</v>
      </c>
      <c r="G31" s="4">
        <v>28</v>
      </c>
      <c r="I31" s="37" t="s">
        <v>213</v>
      </c>
      <c r="J31" s="12" t="s">
        <v>184</v>
      </c>
      <c r="K31" s="12" t="s">
        <v>243</v>
      </c>
      <c r="L31" s="12" t="s">
        <v>203</v>
      </c>
      <c r="M31" s="12" t="s">
        <v>245</v>
      </c>
      <c r="N31" s="12" t="s">
        <v>234</v>
      </c>
      <c r="O31" s="12" t="s">
        <v>230</v>
      </c>
      <c r="P31" s="38" t="s">
        <v>214</v>
      </c>
      <c r="Q31" s="37" t="s">
        <v>247</v>
      </c>
      <c r="R31" s="12" t="s">
        <v>220</v>
      </c>
      <c r="S31" s="12" t="s">
        <v>178</v>
      </c>
      <c r="T31" s="12" t="s">
        <v>196</v>
      </c>
      <c r="U31" s="12" t="s">
        <v>229</v>
      </c>
      <c r="V31" s="12" t="s">
        <v>188</v>
      </c>
      <c r="W31" s="12" t="s">
        <v>452</v>
      </c>
      <c r="X31" s="38" t="s">
        <v>181</v>
      </c>
      <c r="Y31" s="37" t="s">
        <v>232</v>
      </c>
      <c r="Z31" s="12" t="s">
        <v>462</v>
      </c>
      <c r="AA31" s="12" t="s">
        <v>464</v>
      </c>
      <c r="AB31" s="12" t="s">
        <v>188</v>
      </c>
      <c r="AC31" s="12" t="s">
        <v>225</v>
      </c>
      <c r="AD31" s="12" t="s">
        <v>234</v>
      </c>
      <c r="AE31" s="12" t="s">
        <v>460</v>
      </c>
      <c r="AF31" s="38" t="s">
        <v>214</v>
      </c>
    </row>
    <row r="32" spans="1:32" ht="14.25" thickBot="1" x14ac:dyDescent="0.2">
      <c r="A32" s="4">
        <v>5</v>
      </c>
      <c r="B32" s="26">
        <v>38</v>
      </c>
      <c r="C32" s="4">
        <v>10</v>
      </c>
      <c r="D32" s="4" t="str">
        <f>INDEX(Sheet1!$B:$AQ,テスト!C32+2,テスト!B32)</f>
        <v>修復の天使</v>
      </c>
      <c r="E32" s="4">
        <f t="shared" si="3"/>
        <v>1</v>
      </c>
      <c r="G32">
        <v>15</v>
      </c>
      <c r="I32" s="39" t="s">
        <v>498</v>
      </c>
      <c r="J32" s="40" t="s">
        <v>328</v>
      </c>
      <c r="K32" s="40" t="s">
        <v>291</v>
      </c>
      <c r="L32" s="40" t="s">
        <v>336</v>
      </c>
      <c r="M32" s="40" t="s">
        <v>404</v>
      </c>
      <c r="N32" s="40" t="s">
        <v>487</v>
      </c>
      <c r="O32" s="40" t="s">
        <v>301</v>
      </c>
      <c r="P32" s="41" t="s">
        <v>471</v>
      </c>
      <c r="Q32" s="39" t="s">
        <v>297</v>
      </c>
      <c r="R32" s="40" t="s">
        <v>687</v>
      </c>
      <c r="S32" s="40" t="s">
        <v>469</v>
      </c>
      <c r="T32" s="40" t="s">
        <v>492</v>
      </c>
      <c r="U32" s="40" t="s">
        <v>290</v>
      </c>
      <c r="V32" s="40" t="s">
        <v>292</v>
      </c>
      <c r="W32" s="40" t="s">
        <v>469</v>
      </c>
      <c r="X32" s="41" t="s">
        <v>308</v>
      </c>
      <c r="Y32" s="39" t="s">
        <v>297</v>
      </c>
      <c r="Z32" s="40" t="s">
        <v>353</v>
      </c>
      <c r="AA32" s="40" t="s">
        <v>489</v>
      </c>
      <c r="AB32" s="40" t="s">
        <v>300</v>
      </c>
      <c r="AC32" s="40" t="s">
        <v>468</v>
      </c>
      <c r="AD32" s="40" t="s">
        <v>406</v>
      </c>
      <c r="AE32" s="40" t="s">
        <v>404</v>
      </c>
      <c r="AF32" s="41" t="s">
        <v>493</v>
      </c>
    </row>
    <row r="33" spans="1:31" ht="14.25" thickBot="1" x14ac:dyDescent="0.2">
      <c r="A33" s="4"/>
      <c r="D33" s="4">
        <v>3</v>
      </c>
      <c r="E33" s="4"/>
      <c r="G33">
        <v>17</v>
      </c>
      <c r="I33" s="4"/>
      <c r="J33" s="4"/>
      <c r="K33" s="4"/>
      <c r="L33" s="4"/>
      <c r="M33" s="4"/>
      <c r="N33" s="4"/>
      <c r="O33" s="4"/>
      <c r="P33" s="4"/>
      <c r="R33" s="4"/>
      <c r="S33" s="4"/>
      <c r="T33" s="4"/>
      <c r="U33" s="4"/>
      <c r="V33" s="4"/>
    </row>
    <row r="34" spans="1:31" s="4" customFormat="1" x14ac:dyDescent="0.15">
      <c r="A34" s="4">
        <v>1</v>
      </c>
      <c r="B34" s="26">
        <v>3</v>
      </c>
      <c r="C34" s="4">
        <v>2</v>
      </c>
      <c r="D34" s="4" t="str">
        <f>INDEX(Sheet1!$B:$AQ,テスト!C34+2,テスト!B34)</f>
        <v>黒割れのｺﾞﾌﾞﾘﾝ</v>
      </c>
      <c r="E34" s="4">
        <f>COUNTIF($D$34:$D$48,D34)</f>
        <v>1</v>
      </c>
      <c r="G34" s="4">
        <v>35</v>
      </c>
      <c r="I34" s="72" t="s">
        <v>676</v>
      </c>
      <c r="J34" s="72" t="s">
        <v>249</v>
      </c>
      <c r="K34" s="72" t="s">
        <v>113</v>
      </c>
      <c r="L34" s="72" t="s">
        <v>103</v>
      </c>
      <c r="M34" s="72" t="s">
        <v>642</v>
      </c>
      <c r="N34" s="72" t="s">
        <v>59</v>
      </c>
      <c r="O34" s="72" t="s">
        <v>126</v>
      </c>
      <c r="P34" s="72" t="s">
        <v>429</v>
      </c>
      <c r="R34" s="12"/>
      <c r="S34" s="12"/>
      <c r="T34" s="56"/>
      <c r="U34" s="35"/>
      <c r="V34" s="35"/>
      <c r="W34" s="35"/>
      <c r="X34" s="35"/>
      <c r="Y34" s="35" t="s">
        <v>164</v>
      </c>
      <c r="Z34" s="35" t="s">
        <v>157</v>
      </c>
      <c r="AA34" s="35">
        <v>11</v>
      </c>
      <c r="AB34" s="36">
        <v>16</v>
      </c>
      <c r="AC34" s="4">
        <f>COUNTA(T34:AB38)</f>
        <v>17</v>
      </c>
    </row>
    <row r="35" spans="1:31" s="4" customFormat="1" x14ac:dyDescent="0.15">
      <c r="A35" s="4">
        <v>1</v>
      </c>
      <c r="B35" s="26">
        <f>IF(B34&gt;9,1,B34+1)</f>
        <v>4</v>
      </c>
      <c r="C35" s="4">
        <v>3</v>
      </c>
      <c r="D35" s="4" t="str">
        <f>INDEX(Sheet1!$B:$AQ,テスト!C35+2,テスト!B35)</f>
        <v>霜剣山の呪刃</v>
      </c>
      <c r="E35" s="4">
        <f t="shared" ref="E35:E48" si="6">COUNTIF($D$34:$D$48,D35)</f>
        <v>1</v>
      </c>
      <c r="G35" s="4">
        <v>7</v>
      </c>
      <c r="I35" s="4" t="s">
        <v>92</v>
      </c>
      <c r="J35" s="4" t="s">
        <v>675</v>
      </c>
      <c r="K35" s="4" t="s">
        <v>9</v>
      </c>
      <c r="L35" s="4" t="s">
        <v>428</v>
      </c>
      <c r="M35" s="4" t="s">
        <v>103</v>
      </c>
      <c r="N35" s="4" t="s">
        <v>85</v>
      </c>
      <c r="O35" s="4" t="s">
        <v>408</v>
      </c>
      <c r="P35" s="4" t="s">
        <v>427</v>
      </c>
      <c r="R35" s="12"/>
      <c r="S35" s="12"/>
      <c r="T35" s="37"/>
      <c r="U35" s="12"/>
      <c r="V35" s="12"/>
      <c r="W35" s="12"/>
      <c r="X35" s="12"/>
      <c r="Y35" s="12" t="s">
        <v>164</v>
      </c>
      <c r="Z35" s="12" t="s">
        <v>157</v>
      </c>
      <c r="AA35" s="12">
        <v>12</v>
      </c>
      <c r="AB35" s="38">
        <v>17</v>
      </c>
    </row>
    <row r="36" spans="1:31" s="4" customFormat="1" x14ac:dyDescent="0.15">
      <c r="A36" s="4">
        <v>1</v>
      </c>
      <c r="B36" s="26">
        <f t="shared" ref="B36:B38" si="7">IF(B35&gt;9,1,B35+1)</f>
        <v>5</v>
      </c>
      <c r="C36" s="4">
        <v>30</v>
      </c>
      <c r="D36" s="4" t="str">
        <f>INDEX(Sheet1!$B:$AQ,テスト!C36+2,テスト!B36)</f>
        <v>彼方地のｴﾙﾌ</v>
      </c>
      <c r="E36" s="4">
        <f t="shared" si="6"/>
        <v>1</v>
      </c>
      <c r="G36" s="4">
        <v>11</v>
      </c>
      <c r="I36" s="4" t="s">
        <v>428</v>
      </c>
      <c r="J36" s="4" t="s">
        <v>64</v>
      </c>
      <c r="K36" s="4" t="s">
        <v>53</v>
      </c>
      <c r="L36" s="4" t="s">
        <v>674</v>
      </c>
      <c r="M36" s="4" t="s">
        <v>423</v>
      </c>
      <c r="N36" s="4" t="s">
        <v>103</v>
      </c>
      <c r="O36" s="4" t="s">
        <v>675</v>
      </c>
      <c r="P36" s="4" t="s">
        <v>20</v>
      </c>
      <c r="S36" s="12"/>
      <c r="T36" s="37"/>
      <c r="U36" s="12"/>
      <c r="V36" s="12"/>
      <c r="W36" s="12"/>
      <c r="X36" s="12"/>
      <c r="Y36" s="12" t="s">
        <v>164</v>
      </c>
      <c r="Z36" s="12">
        <v>8</v>
      </c>
      <c r="AA36" s="12">
        <v>13</v>
      </c>
      <c r="AB36" s="38"/>
    </row>
    <row r="37" spans="1:31" s="4" customFormat="1" x14ac:dyDescent="0.15">
      <c r="A37" s="4">
        <v>1</v>
      </c>
      <c r="B37" s="26">
        <f t="shared" si="7"/>
        <v>6</v>
      </c>
      <c r="C37" s="4">
        <v>35</v>
      </c>
      <c r="D37" s="4" t="str">
        <f>INDEX(Sheet1!$B:$AQ,テスト!C37+2,テスト!B37)</f>
        <v>安全な道</v>
      </c>
      <c r="E37" s="4">
        <f t="shared" si="6"/>
        <v>1</v>
      </c>
      <c r="G37" s="4">
        <v>24</v>
      </c>
      <c r="I37" s="4" t="s">
        <v>14</v>
      </c>
      <c r="J37" s="4" t="s">
        <v>104</v>
      </c>
      <c r="K37" s="4" t="s">
        <v>703</v>
      </c>
      <c r="L37" s="4" t="s">
        <v>416</v>
      </c>
      <c r="M37" s="4" t="s">
        <v>18</v>
      </c>
      <c r="N37" s="4" t="s">
        <v>126</v>
      </c>
      <c r="O37" s="4" t="s">
        <v>83</v>
      </c>
      <c r="P37" s="4" t="s">
        <v>415</v>
      </c>
      <c r="T37" s="37"/>
      <c r="U37" s="12"/>
      <c r="V37" s="12"/>
      <c r="X37" s="12"/>
      <c r="Y37" s="12" t="s">
        <v>163</v>
      </c>
      <c r="Z37" s="11">
        <v>9</v>
      </c>
      <c r="AA37" s="11">
        <v>14</v>
      </c>
      <c r="AB37" s="38"/>
    </row>
    <row r="38" spans="1:31" s="4" customFormat="1" ht="14.25" thickBot="1" x14ac:dyDescent="0.2">
      <c r="A38" s="4">
        <v>1</v>
      </c>
      <c r="B38" s="26">
        <f t="shared" si="7"/>
        <v>7</v>
      </c>
      <c r="C38" s="4">
        <v>34</v>
      </c>
      <c r="D38" s="4" t="str">
        <f>INDEX(Sheet1!$B:$AQ,テスト!C38+2,テスト!B38)</f>
        <v>否認</v>
      </c>
      <c r="E38" s="4">
        <f t="shared" si="6"/>
        <v>1</v>
      </c>
      <c r="G38" s="4">
        <v>12</v>
      </c>
      <c r="H38" s="71"/>
      <c r="I38" s="4" t="s">
        <v>53</v>
      </c>
      <c r="J38" s="4" t="s">
        <v>423</v>
      </c>
      <c r="K38" s="4" t="s">
        <v>104</v>
      </c>
      <c r="L38" s="4" t="s">
        <v>79</v>
      </c>
      <c r="M38" s="4" t="s">
        <v>43</v>
      </c>
      <c r="N38" s="4" t="s">
        <v>248</v>
      </c>
      <c r="O38" s="4" t="s">
        <v>102</v>
      </c>
      <c r="P38" s="4" t="s">
        <v>83</v>
      </c>
      <c r="R38" s="12"/>
      <c r="T38" s="39"/>
      <c r="U38" s="40"/>
      <c r="V38" s="40"/>
      <c r="W38" s="40"/>
      <c r="X38" s="12"/>
      <c r="Y38" s="40" t="s">
        <v>166</v>
      </c>
      <c r="Z38" s="40">
        <v>10</v>
      </c>
      <c r="AA38" s="40">
        <v>15</v>
      </c>
      <c r="AB38" s="41"/>
    </row>
    <row r="39" spans="1:31" s="4" customFormat="1" x14ac:dyDescent="0.15">
      <c r="A39" s="4">
        <v>2</v>
      </c>
      <c r="B39" s="26">
        <v>15</v>
      </c>
      <c r="C39" s="4">
        <v>9</v>
      </c>
      <c r="D39" s="4" t="str">
        <f>INDEX(Sheet1!$B:$AQ,テスト!C39+2,テスト!B39)</f>
        <v>構造のひずみ</v>
      </c>
      <c r="E39" s="4">
        <f t="shared" si="6"/>
        <v>1</v>
      </c>
      <c r="I39" s="4" t="s">
        <v>110</v>
      </c>
      <c r="J39" s="4" t="s">
        <v>138</v>
      </c>
      <c r="K39" s="4" t="s">
        <v>424</v>
      </c>
      <c r="L39" s="4" t="s">
        <v>667</v>
      </c>
      <c r="M39" s="4" t="s">
        <v>129</v>
      </c>
      <c r="N39" s="4" t="s">
        <v>137</v>
      </c>
      <c r="O39" s="4" t="s">
        <v>259</v>
      </c>
      <c r="P39" s="4" t="s">
        <v>117</v>
      </c>
      <c r="S39" s="12"/>
      <c r="U39" s="11"/>
      <c r="Y39" s="11"/>
    </row>
    <row r="40" spans="1:31" s="4" customFormat="1" x14ac:dyDescent="0.15">
      <c r="A40" s="4">
        <v>2</v>
      </c>
      <c r="B40" s="26">
        <f>IF(B39&gt;19,11,B39+1)</f>
        <v>16</v>
      </c>
      <c r="C40" s="4">
        <v>6</v>
      </c>
      <c r="D40" s="4" t="str">
        <f>INDEX(Sheet1!$B:$AQ,テスト!C40+2,テスト!B40)</f>
        <v>重要人物のﾍﾟｯﾄ</v>
      </c>
      <c r="E40" s="4">
        <f t="shared" si="6"/>
        <v>1</v>
      </c>
      <c r="I40" s="4" t="s">
        <v>257</v>
      </c>
      <c r="J40" s="4" t="s">
        <v>432</v>
      </c>
      <c r="K40" s="4" t="s">
        <v>432</v>
      </c>
      <c r="L40" s="4" t="s">
        <v>117</v>
      </c>
      <c r="M40" s="4" t="s">
        <v>439</v>
      </c>
      <c r="N40" s="4" t="s">
        <v>140</v>
      </c>
      <c r="O40" s="4" t="s">
        <v>129</v>
      </c>
      <c r="P40" s="4" t="s">
        <v>441</v>
      </c>
      <c r="R40" s="12"/>
      <c r="T40"/>
      <c r="AB40"/>
    </row>
    <row r="41" spans="1:31" s="4" customFormat="1" x14ac:dyDescent="0.15">
      <c r="A41" s="4">
        <v>2</v>
      </c>
      <c r="B41" s="26">
        <f>IF(B40&gt;19,11,B40+1)</f>
        <v>17</v>
      </c>
      <c r="C41" s="4">
        <v>25</v>
      </c>
      <c r="D41" s="4" t="str">
        <f>INDEX(Sheet1!$B:$AQ,テスト!C41+2,テスト!B41)</f>
        <v>陰影Slv</v>
      </c>
      <c r="E41" s="4">
        <f t="shared" si="6"/>
        <v>1</v>
      </c>
      <c r="G41" s="4">
        <v>2</v>
      </c>
      <c r="I41" s="4" t="s">
        <v>24</v>
      </c>
      <c r="J41" s="4" t="s">
        <v>146</v>
      </c>
      <c r="K41" s="4" t="s">
        <v>78</v>
      </c>
      <c r="L41" s="4" t="s">
        <v>147</v>
      </c>
      <c r="M41" s="4" t="s">
        <v>67</v>
      </c>
      <c r="N41" s="4" t="s">
        <v>29</v>
      </c>
      <c r="O41" s="4" t="s">
        <v>135</v>
      </c>
      <c r="P41" s="4" t="s">
        <v>405</v>
      </c>
      <c r="S41" s="12"/>
      <c r="AE41"/>
    </row>
    <row r="42" spans="1:31" s="4" customFormat="1" x14ac:dyDescent="0.15">
      <c r="A42" s="4">
        <v>2</v>
      </c>
      <c r="B42" s="26">
        <f>IF(B41&gt;19,11,B41+1)</f>
        <v>18</v>
      </c>
      <c r="C42" s="4">
        <v>14</v>
      </c>
      <c r="D42" s="4" t="str">
        <f>INDEX(Sheet1!$B:$AQ,テスト!C42+2,テスト!B42)</f>
        <v>剛力化</v>
      </c>
      <c r="E42" s="4">
        <f t="shared" si="6"/>
        <v>1</v>
      </c>
      <c r="G42" s="4">
        <f>COUNTA($I$34:$P$49)</f>
        <v>112</v>
      </c>
      <c r="H42" s="71"/>
      <c r="I42" s="4" t="s">
        <v>256</v>
      </c>
      <c r="J42" s="4" t="s">
        <v>430</v>
      </c>
      <c r="K42" s="4" t="s">
        <v>151</v>
      </c>
      <c r="L42" s="4" t="s">
        <v>149</v>
      </c>
      <c r="M42" s="4" t="s">
        <v>436</v>
      </c>
      <c r="N42" s="4" t="s">
        <v>405</v>
      </c>
      <c r="O42" s="4" t="s">
        <v>142</v>
      </c>
      <c r="P42" s="4" t="s">
        <v>257</v>
      </c>
      <c r="T42"/>
      <c r="V42"/>
    </row>
    <row r="43" spans="1:31" s="4" customFormat="1" x14ac:dyDescent="0.15">
      <c r="A43" s="4">
        <v>3</v>
      </c>
      <c r="B43" s="26">
        <v>21</v>
      </c>
      <c r="C43" s="4">
        <v>34</v>
      </c>
      <c r="D43" s="4" t="str">
        <f>INDEX(Sheet1!$B:$AQ,テスト!C43+2,テスト!B43)</f>
        <v>ｲｾﾞｯﾄの導き石</v>
      </c>
      <c r="E43" s="4">
        <f t="shared" si="6"/>
        <v>1</v>
      </c>
      <c r="I43" s="4" t="s">
        <v>442</v>
      </c>
      <c r="J43" s="4" t="s">
        <v>444</v>
      </c>
      <c r="K43" s="4" t="s">
        <v>447</v>
      </c>
      <c r="L43" s="4" t="s">
        <v>445</v>
      </c>
      <c r="M43" s="4" t="s">
        <v>728</v>
      </c>
      <c r="N43" s="4" t="s">
        <v>442</v>
      </c>
      <c r="O43" s="4" t="s">
        <v>446</v>
      </c>
      <c r="P43" s="4" t="s">
        <v>448</v>
      </c>
    </row>
    <row r="44" spans="1:31" s="4" customFormat="1" x14ac:dyDescent="0.15">
      <c r="A44" s="4">
        <v>3</v>
      </c>
      <c r="B44" s="26">
        <v>22</v>
      </c>
      <c r="C44" s="4">
        <v>60</v>
      </c>
      <c r="D44" s="4" t="str">
        <f>INDEX(Sheet1!$B:$AQ,テスト!C44+2,テスト!B44)</f>
        <v>RWL</v>
      </c>
      <c r="E44" s="4">
        <f t="shared" si="6"/>
        <v>1</v>
      </c>
      <c r="H44" s="71"/>
      <c r="I44" s="4" t="s">
        <v>731</v>
      </c>
      <c r="J44" s="4" t="s">
        <v>731</v>
      </c>
      <c r="K44" s="4" t="s">
        <v>730</v>
      </c>
      <c r="L44" s="4" t="s">
        <v>164</v>
      </c>
      <c r="M44" s="4" t="s">
        <v>730</v>
      </c>
      <c r="N44" s="4" t="s">
        <v>166</v>
      </c>
      <c r="O44" s="4" t="s">
        <v>159</v>
      </c>
      <c r="P44" s="4" t="s">
        <v>166</v>
      </c>
      <c r="Y44">
        <v>1</v>
      </c>
      <c r="Z44" s="4">
        <v>6</v>
      </c>
      <c r="AA44" s="4">
        <v>11</v>
      </c>
      <c r="AB44" s="4">
        <v>16</v>
      </c>
    </row>
    <row r="45" spans="1:31" s="4" customFormat="1" x14ac:dyDescent="0.15">
      <c r="A45" s="4">
        <v>4</v>
      </c>
      <c r="B45" s="26">
        <v>32</v>
      </c>
      <c r="C45" s="4">
        <v>34</v>
      </c>
      <c r="D45" s="4" t="str">
        <f>INDEX(Sheet1!$B:$AQ,テスト!C45+2,テスト!B45)</f>
        <v>空乗りのｴﾙﾌ</v>
      </c>
      <c r="E45" s="4">
        <f t="shared" si="6"/>
        <v>1</v>
      </c>
      <c r="I45" s="4" t="s">
        <v>215</v>
      </c>
      <c r="J45" s="4" t="s">
        <v>236</v>
      </c>
      <c r="K45" s="4" t="s">
        <v>454</v>
      </c>
      <c r="L45" s="4" t="s">
        <v>226</v>
      </c>
      <c r="M45" s="4" t="s">
        <v>235</v>
      </c>
      <c r="N45" s="4" t="s">
        <v>452</v>
      </c>
      <c r="O45" s="4" t="s">
        <v>460</v>
      </c>
      <c r="P45" s="4" t="s">
        <v>239</v>
      </c>
      <c r="V45"/>
      <c r="Y45" s="4">
        <v>2</v>
      </c>
      <c r="Z45" s="4">
        <v>7</v>
      </c>
      <c r="AA45" s="4">
        <v>12</v>
      </c>
      <c r="AB45" s="4">
        <v>17</v>
      </c>
    </row>
    <row r="46" spans="1:31" s="4" customFormat="1" x14ac:dyDescent="0.15">
      <c r="A46" s="4">
        <v>4</v>
      </c>
      <c r="B46" s="26">
        <f t="shared" ref="B46:B47" si="8">IF(B45&gt;31,23,B45+1)</f>
        <v>23</v>
      </c>
      <c r="C46" s="4">
        <v>23</v>
      </c>
      <c r="D46" s="4" t="str">
        <f>INDEX(Sheet1!$B:$AQ,テスト!C46+2,テスト!B46)</f>
        <v>実験体</v>
      </c>
      <c r="E46" s="4">
        <f t="shared" si="6"/>
        <v>1</v>
      </c>
      <c r="I46" s="4" t="s">
        <v>185</v>
      </c>
      <c r="J46" s="4" t="s">
        <v>201</v>
      </c>
      <c r="K46" s="4" t="s">
        <v>177</v>
      </c>
      <c r="L46" s="4" t="s">
        <v>187</v>
      </c>
      <c r="M46" s="4" t="s">
        <v>200</v>
      </c>
      <c r="N46" s="4" t="s">
        <v>208</v>
      </c>
      <c r="O46" s="4" t="s">
        <v>197</v>
      </c>
      <c r="P46" s="4" t="s">
        <v>205</v>
      </c>
      <c r="Y46" s="4">
        <v>3</v>
      </c>
      <c r="Z46" s="4">
        <v>8</v>
      </c>
      <c r="AA46" s="4">
        <v>13</v>
      </c>
    </row>
    <row r="47" spans="1:31" s="4" customFormat="1" x14ac:dyDescent="0.15">
      <c r="A47" s="4">
        <v>4</v>
      </c>
      <c r="B47" s="26">
        <f t="shared" si="8"/>
        <v>24</v>
      </c>
      <c r="C47" s="4">
        <v>36</v>
      </c>
      <c r="D47" s="4" t="str">
        <f>INDEX(Sheet1!$B:$AQ,テスト!C47+2,テスト!B47)</f>
        <v>ｱﾌﾞｻﾞﾝ土地</v>
      </c>
      <c r="E47" s="4">
        <f t="shared" si="6"/>
        <v>1</v>
      </c>
      <c r="H47" s="71"/>
      <c r="I47" s="4" t="s">
        <v>214</v>
      </c>
      <c r="J47" s="4" t="s">
        <v>213</v>
      </c>
      <c r="K47" s="4" t="s">
        <v>184</v>
      </c>
      <c r="L47" s="4" t="s">
        <v>243</v>
      </c>
      <c r="M47" s="4" t="s">
        <v>203</v>
      </c>
      <c r="N47" s="4" t="s">
        <v>245</v>
      </c>
      <c r="O47" s="4" t="s">
        <v>234</v>
      </c>
      <c r="P47" s="4" t="s">
        <v>230</v>
      </c>
      <c r="Y47" s="4">
        <v>4</v>
      </c>
      <c r="Z47" s="4">
        <v>9</v>
      </c>
      <c r="AA47" s="4">
        <v>14</v>
      </c>
    </row>
    <row r="48" spans="1:31" s="4" customFormat="1" x14ac:dyDescent="0.15">
      <c r="A48" s="4">
        <v>5</v>
      </c>
      <c r="B48" s="26">
        <v>38</v>
      </c>
      <c r="C48" s="4">
        <v>6</v>
      </c>
      <c r="D48" s="4" t="str">
        <f>INDEX(Sheet1!$B:$AQ,テスト!C48+2,テスト!B48)</f>
        <v>もう一人の自分</v>
      </c>
      <c r="E48" s="4">
        <f t="shared" si="6"/>
        <v>1</v>
      </c>
      <c r="Y48" s="4">
        <v>5</v>
      </c>
      <c r="Z48" s="4">
        <v>10</v>
      </c>
      <c r="AA48" s="4">
        <v>15</v>
      </c>
    </row>
    <row r="49" spans="1:37" s="4" customFormat="1" x14ac:dyDescent="0.15">
      <c r="D49" s="4">
        <v>4</v>
      </c>
      <c r="I49" s="71"/>
      <c r="J49" s="71"/>
      <c r="K49" s="71"/>
      <c r="L49" s="71"/>
      <c r="M49" s="71"/>
      <c r="N49" s="71"/>
      <c r="O49" s="71"/>
      <c r="P49" s="71"/>
      <c r="U49"/>
      <c r="V49"/>
      <c r="W49"/>
      <c r="X49"/>
      <c r="Z49"/>
      <c r="AA49"/>
      <c r="AB49"/>
      <c r="AC49"/>
      <c r="AD49"/>
      <c r="AE49"/>
      <c r="AF49"/>
      <c r="AG49"/>
      <c r="AH49"/>
      <c r="AI49"/>
      <c r="AJ49"/>
      <c r="AK49"/>
    </row>
    <row r="50" spans="1:37" ht="14.25" thickBot="1" x14ac:dyDescent="0.2">
      <c r="A50" s="4">
        <v>1</v>
      </c>
      <c r="B50" s="26">
        <v>10</v>
      </c>
      <c r="C50" s="4">
        <v>30</v>
      </c>
      <c r="D50" s="4" t="str">
        <f>INDEX(Sheet1!$B:$AQ,テスト!C50+2,テスト!B50)</f>
        <v>嚢胞抱え</v>
      </c>
      <c r="E50" s="4">
        <f>COUNTIF($D$50:$D$64,D50)</f>
        <v>1</v>
      </c>
      <c r="I50" s="12"/>
      <c r="J50" s="12"/>
      <c r="K50" s="12"/>
      <c r="L50" s="12"/>
      <c r="M50" s="12"/>
      <c r="N50" s="12"/>
      <c r="O50" s="12"/>
      <c r="P50" s="12"/>
      <c r="Y50" s="4"/>
    </row>
    <row r="51" spans="1:37" x14ac:dyDescent="0.15">
      <c r="A51" s="4">
        <v>1</v>
      </c>
      <c r="B51" s="26">
        <f>IF(B50&gt;9,1,B50+1)</f>
        <v>1</v>
      </c>
      <c r="C51" s="4">
        <v>29</v>
      </c>
      <c r="D51" s="4" t="str">
        <f>INDEX(Sheet1!$B:$AQ,テスト!C51+2,テスト!B51)</f>
        <v>霧のﾆﾌﾞﾘｽ</v>
      </c>
      <c r="E51" s="4">
        <f t="shared" ref="E51:E64" si="9">COUNTIF($D$50:$D$64,D51)</f>
        <v>1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56"/>
      <c r="U51" s="35"/>
      <c r="V51" s="35"/>
      <c r="W51" s="35"/>
      <c r="X51" s="35"/>
      <c r="Y51" s="35" t="s">
        <v>460</v>
      </c>
      <c r="Z51" s="35">
        <v>6</v>
      </c>
      <c r="AA51" s="35">
        <v>11</v>
      </c>
      <c r="AB51" s="36">
        <v>16</v>
      </c>
      <c r="AC51" s="4">
        <f>COUNTA(T51:AB55)</f>
        <v>17</v>
      </c>
    </row>
    <row r="52" spans="1:37" x14ac:dyDescent="0.15">
      <c r="A52" s="4">
        <v>1</v>
      </c>
      <c r="B52" s="26">
        <f t="shared" ref="B52:B54" si="10">IF(B51&gt;9,1,B51+1)</f>
        <v>2</v>
      </c>
      <c r="C52" s="4">
        <v>12</v>
      </c>
      <c r="D52" s="4" t="str">
        <f>INDEX(Sheet1!$B:$AQ,テスト!C52+2,テスト!B52)</f>
        <v>ｴｲヴﾝの偵察兵</v>
      </c>
      <c r="E52" s="4">
        <f t="shared" si="9"/>
        <v>1</v>
      </c>
      <c r="I52" s="12"/>
      <c r="J52" s="12"/>
      <c r="K52" s="12"/>
      <c r="L52" s="12"/>
      <c r="M52" s="12"/>
      <c r="N52" s="12"/>
      <c r="O52" s="12"/>
      <c r="P52" s="12"/>
      <c r="Q52" s="12"/>
      <c r="S52" s="12"/>
      <c r="T52" s="37"/>
      <c r="U52" s="12"/>
      <c r="V52" s="12"/>
      <c r="W52" s="12"/>
      <c r="X52" s="12"/>
      <c r="Y52" s="12" t="s">
        <v>157</v>
      </c>
      <c r="Z52" s="12">
        <v>7</v>
      </c>
      <c r="AA52" s="12">
        <v>12</v>
      </c>
      <c r="AB52" s="38">
        <v>17</v>
      </c>
      <c r="AC52" s="4"/>
    </row>
    <row r="53" spans="1:37" x14ac:dyDescent="0.15">
      <c r="A53" s="4">
        <v>1</v>
      </c>
      <c r="B53" s="26">
        <f t="shared" si="10"/>
        <v>3</v>
      </c>
      <c r="C53" s="4">
        <v>22</v>
      </c>
      <c r="D53" s="4" t="str">
        <f>INDEX(Sheet1!$B:$AQ,テスト!C53+2,テスト!B53)</f>
        <v>疫病のとげ刺し</v>
      </c>
      <c r="E53" s="4">
        <f t="shared" si="9"/>
        <v>1</v>
      </c>
      <c r="I53" s="12"/>
      <c r="J53" s="12"/>
      <c r="K53" s="12"/>
      <c r="L53" s="12"/>
      <c r="M53" s="12"/>
      <c r="N53" s="12"/>
      <c r="O53" s="12"/>
      <c r="P53" s="12"/>
      <c r="R53" s="12"/>
      <c r="S53" s="12"/>
      <c r="T53" s="37"/>
      <c r="U53" s="12"/>
      <c r="V53" s="12"/>
      <c r="W53" s="12"/>
      <c r="X53" s="12"/>
      <c r="Y53" s="12" t="s">
        <v>165</v>
      </c>
      <c r="Z53" s="12">
        <v>8</v>
      </c>
      <c r="AA53" s="12">
        <v>13</v>
      </c>
      <c r="AB53" s="38"/>
      <c r="AC53" s="4"/>
    </row>
    <row r="54" spans="1:37" x14ac:dyDescent="0.15">
      <c r="A54" s="4">
        <v>1</v>
      </c>
      <c r="B54" s="26">
        <f t="shared" si="10"/>
        <v>4</v>
      </c>
      <c r="C54" s="4">
        <v>23</v>
      </c>
      <c r="D54" s="4" t="str">
        <f>INDEX(Sheet1!$B:$AQ,テスト!C54+2,テスト!B54)</f>
        <v>熱血漢の聖戦士</v>
      </c>
      <c r="E54" s="4">
        <f t="shared" si="9"/>
        <v>1</v>
      </c>
      <c r="I54" s="12"/>
      <c r="J54" s="12"/>
      <c r="K54" s="12"/>
      <c r="L54" s="12"/>
      <c r="M54" s="12"/>
      <c r="N54" s="12"/>
      <c r="O54" s="12"/>
      <c r="P54" s="12"/>
      <c r="S54" s="12"/>
      <c r="T54" s="37"/>
      <c r="U54" s="12"/>
      <c r="V54" s="12"/>
      <c r="W54" s="12"/>
      <c r="X54" s="12"/>
      <c r="Y54" s="12">
        <v>4</v>
      </c>
      <c r="Z54" s="11">
        <v>9</v>
      </c>
      <c r="AA54" s="11">
        <v>14</v>
      </c>
      <c r="AB54" s="38"/>
      <c r="AC54" s="4"/>
    </row>
    <row r="55" spans="1:37" ht="14.25" thickBot="1" x14ac:dyDescent="0.2">
      <c r="A55" s="4">
        <v>2</v>
      </c>
      <c r="B55" s="26">
        <v>16</v>
      </c>
      <c r="C55" s="4">
        <v>10</v>
      </c>
      <c r="D55" s="4" t="str">
        <f>INDEX(Sheet1!$B:$AQ,テスト!C55+2,テスト!B55)</f>
        <v>御身の刃</v>
      </c>
      <c r="E55" s="4">
        <f t="shared" si="9"/>
        <v>1</v>
      </c>
      <c r="I55" s="12"/>
      <c r="J55" s="12"/>
      <c r="K55" s="12"/>
      <c r="L55" s="12"/>
      <c r="M55" s="12"/>
      <c r="N55" s="12"/>
      <c r="O55" s="12"/>
      <c r="P55" s="12"/>
      <c r="R55" s="12"/>
      <c r="S55" s="12"/>
      <c r="T55" s="39"/>
      <c r="U55" s="40"/>
      <c r="V55" s="40"/>
      <c r="W55" s="40"/>
      <c r="X55" s="12"/>
      <c r="Y55" s="40">
        <v>5</v>
      </c>
      <c r="Z55" s="40">
        <v>10</v>
      </c>
      <c r="AA55" s="40">
        <v>15</v>
      </c>
      <c r="AB55" s="41"/>
      <c r="AC55" s="4"/>
    </row>
    <row r="56" spans="1:37" x14ac:dyDescent="0.15">
      <c r="A56" s="4">
        <v>2</v>
      </c>
      <c r="B56" s="26">
        <f>IF(B55&gt;19,11,B55+1)</f>
        <v>17</v>
      </c>
      <c r="C56" s="4">
        <v>4</v>
      </c>
      <c r="D56" s="4" t="str">
        <f>INDEX(Sheet1!$B:$AQ,テスト!C56+2,テスト!B56)</f>
        <v>天主の勢力</v>
      </c>
      <c r="E56" s="4">
        <f t="shared" si="9"/>
        <v>1</v>
      </c>
      <c r="I56" s="12"/>
      <c r="J56" s="12"/>
      <c r="K56" s="12"/>
      <c r="L56" s="12"/>
      <c r="M56" s="12"/>
      <c r="N56" s="12"/>
      <c r="O56" s="12"/>
      <c r="P56" s="12"/>
      <c r="Q56" s="12"/>
      <c r="Y56" s="4"/>
    </row>
    <row r="57" spans="1:37" x14ac:dyDescent="0.15">
      <c r="A57" s="4">
        <v>2</v>
      </c>
      <c r="B57" s="26">
        <f>IF(B56&gt;19,11,B56+1)</f>
        <v>18</v>
      </c>
      <c r="C57" s="4">
        <v>18</v>
      </c>
      <c r="D57" s="4" t="str">
        <f>INDEX(Sheet1!$B:$AQ,テスト!C57+2,テスト!B57)</f>
        <v>ｺﾞﾙｺﾞﾝの凝視</v>
      </c>
      <c r="E57" s="4">
        <f t="shared" si="9"/>
        <v>1</v>
      </c>
      <c r="I57" s="12"/>
      <c r="J57" s="12"/>
      <c r="K57" s="12"/>
      <c r="L57" s="12"/>
      <c r="M57" s="12"/>
      <c r="N57" s="12"/>
      <c r="O57" s="12"/>
      <c r="P57" s="12"/>
      <c r="Q57" s="12"/>
      <c r="S57" s="12"/>
    </row>
    <row r="58" spans="1:37" x14ac:dyDescent="0.15">
      <c r="A58" s="4">
        <v>2</v>
      </c>
      <c r="B58" s="26">
        <f>IF(B57&gt;19,11,B57+1)</f>
        <v>19</v>
      </c>
      <c r="C58" s="4">
        <v>5</v>
      </c>
      <c r="D58" s="4" t="str">
        <f>INDEX(Sheet1!$B:$AQ,テスト!C58+2,テスト!B58)</f>
        <v>ｳｫｼﾞｪｸの矛槍兵</v>
      </c>
      <c r="E58" s="4">
        <f t="shared" si="9"/>
        <v>1</v>
      </c>
      <c r="I58" s="12"/>
      <c r="J58" s="12"/>
      <c r="K58" s="12"/>
      <c r="L58" s="12"/>
      <c r="M58" s="12"/>
      <c r="N58" s="12"/>
      <c r="O58" s="12"/>
      <c r="P58" s="12"/>
    </row>
    <row r="59" spans="1:37" x14ac:dyDescent="0.15">
      <c r="A59" s="4">
        <v>3</v>
      </c>
      <c r="B59" s="26">
        <v>21</v>
      </c>
      <c r="C59" s="4">
        <v>26</v>
      </c>
      <c r="D59" s="4" t="str">
        <f>INDEX(Sheet1!$B:$AQ,テスト!C59+2,テスト!B59)</f>
        <v>ｲｾﾞｯﾄの導き石</v>
      </c>
      <c r="E59" s="4">
        <f t="shared" si="9"/>
        <v>1</v>
      </c>
      <c r="I59" s="12"/>
      <c r="J59" s="12"/>
      <c r="K59" s="12"/>
      <c r="L59" s="12"/>
      <c r="M59" s="12"/>
      <c r="N59" s="12"/>
      <c r="O59" s="12"/>
      <c r="P59" s="12"/>
      <c r="R59" s="12"/>
      <c r="Y59" s="4"/>
    </row>
    <row r="60" spans="1:37" x14ac:dyDescent="0.15">
      <c r="A60" s="4">
        <v>3</v>
      </c>
      <c r="B60" s="26">
        <v>22</v>
      </c>
      <c r="C60" s="4">
        <v>69</v>
      </c>
      <c r="D60" s="4" t="str">
        <f>INDEX(Sheet1!$B:$AQ,テスト!C60+2,テスト!B60)</f>
        <v>未知の岸</v>
      </c>
      <c r="E60" s="4">
        <f t="shared" si="9"/>
        <v>1</v>
      </c>
      <c r="I60" s="12"/>
      <c r="J60" s="12"/>
      <c r="K60" s="12"/>
      <c r="L60" s="12"/>
      <c r="M60" s="12"/>
      <c r="N60" s="12"/>
      <c r="O60" s="12"/>
      <c r="P60" s="12"/>
      <c r="R60" s="12"/>
      <c r="Y60" s="4"/>
    </row>
    <row r="61" spans="1:37" x14ac:dyDescent="0.15">
      <c r="A61" s="4">
        <v>4</v>
      </c>
      <c r="B61" s="26">
        <v>25</v>
      </c>
      <c r="C61" s="4">
        <v>1</v>
      </c>
      <c r="D61" s="4" t="str">
        <f>INDEX(Sheet1!$B:$AQ,テスト!C61+2,テスト!B61)</f>
        <v>名誉の手</v>
      </c>
      <c r="E61" s="4">
        <f t="shared" si="9"/>
        <v>1</v>
      </c>
      <c r="I61" s="12"/>
      <c r="J61" s="12"/>
      <c r="K61" s="12"/>
      <c r="L61" s="12"/>
      <c r="M61" s="12"/>
      <c r="N61" s="12"/>
      <c r="O61" s="12"/>
      <c r="P61" s="12"/>
      <c r="S61" s="12"/>
      <c r="Y61" s="4"/>
    </row>
    <row r="62" spans="1:37" x14ac:dyDescent="0.15">
      <c r="A62" s="4">
        <v>4</v>
      </c>
      <c r="B62" s="26">
        <f t="shared" ref="B62:B63" si="11">IF(B61&gt;31,23,B61+1)</f>
        <v>26</v>
      </c>
      <c r="C62" s="4">
        <v>4</v>
      </c>
      <c r="D62" s="4" t="str">
        <f>INDEX(Sheet1!$B:$AQ,テスト!C62+2,テスト!B62)</f>
        <v>変わり身の狂戦士</v>
      </c>
      <c r="E62" s="4">
        <f t="shared" si="9"/>
        <v>1</v>
      </c>
      <c r="I62" s="12"/>
      <c r="J62" s="12"/>
      <c r="K62" s="12"/>
      <c r="L62" s="12"/>
      <c r="M62" s="12"/>
      <c r="N62" s="12"/>
      <c r="O62" s="12"/>
      <c r="P62" s="12"/>
      <c r="Q62" s="12"/>
      <c r="Y62" s="4"/>
    </row>
    <row r="63" spans="1:37" x14ac:dyDescent="0.15">
      <c r="A63" s="4">
        <v>4</v>
      </c>
      <c r="B63" s="26">
        <f t="shared" si="11"/>
        <v>27</v>
      </c>
      <c r="C63" s="4">
        <v>20</v>
      </c>
      <c r="D63" s="4" t="str">
        <f>INDEX(Sheet1!$B:$AQ,テスト!C63+2,テスト!B63)</f>
        <v>ｻﾌｧｲｱのﾄﾞﾚｲｸ</v>
      </c>
      <c r="E63" s="4">
        <f t="shared" si="9"/>
        <v>1</v>
      </c>
      <c r="I63" s="12"/>
      <c r="J63" s="12"/>
      <c r="K63" s="12"/>
      <c r="L63" s="12"/>
      <c r="M63" s="12"/>
      <c r="N63" s="12"/>
      <c r="O63" s="12"/>
      <c r="P63" s="12"/>
      <c r="Y63" s="4"/>
    </row>
    <row r="64" spans="1:37" x14ac:dyDescent="0.15">
      <c r="A64" s="4">
        <v>5</v>
      </c>
      <c r="B64" s="26">
        <v>33</v>
      </c>
      <c r="C64" s="4">
        <v>2</v>
      </c>
      <c r="D64" s="4" t="str">
        <f>INDEX(Sheet1!$B:$AQ,テスト!C64+2,テスト!B64)</f>
        <v>惑乱のｾｲﾚｰﾝ</v>
      </c>
      <c r="E64" s="4">
        <f t="shared" si="9"/>
        <v>1</v>
      </c>
      <c r="I64" s="4"/>
      <c r="J64" s="12"/>
      <c r="K64" s="12"/>
      <c r="L64" s="12"/>
      <c r="M64" s="12"/>
      <c r="N64" s="12"/>
      <c r="O64" s="12"/>
      <c r="P64" s="12"/>
      <c r="S64" s="12"/>
      <c r="Y64" s="4"/>
    </row>
    <row r="65" spans="1:29" x14ac:dyDescent="0.15">
      <c r="A65" s="4"/>
      <c r="D65" s="4">
        <v>5</v>
      </c>
      <c r="I65" s="12"/>
      <c r="J65" s="4"/>
      <c r="K65" s="12"/>
      <c r="L65" s="12"/>
      <c r="M65" s="12"/>
      <c r="N65" s="12"/>
      <c r="O65" s="12"/>
      <c r="P65" s="12"/>
      <c r="S65" s="12"/>
      <c r="Y65" s="4"/>
    </row>
    <row r="66" spans="1:29" x14ac:dyDescent="0.15">
      <c r="A66" s="4">
        <v>1</v>
      </c>
      <c r="B66" s="26">
        <v>2</v>
      </c>
      <c r="C66" s="4">
        <v>25</v>
      </c>
      <c r="D66" s="4" t="str">
        <f>INDEX(Sheet1!$B:$AQ,テスト!C66+2,テスト!B66)</f>
        <v>ﾏｰﾌｫｰｸの物あさり</v>
      </c>
      <c r="E66" s="4">
        <f>COUNTIF($D$66:$D$80,D66)</f>
        <v>1</v>
      </c>
      <c r="I66" s="12"/>
      <c r="J66" s="12"/>
      <c r="K66" s="12"/>
      <c r="L66" s="12"/>
      <c r="M66" s="12"/>
      <c r="N66" s="12"/>
      <c r="O66" s="12"/>
      <c r="P66" s="12"/>
      <c r="Y66" s="4"/>
    </row>
    <row r="67" spans="1:29" x14ac:dyDescent="0.15">
      <c r="A67" s="4">
        <v>1</v>
      </c>
      <c r="B67" s="26">
        <f>IF(B66&gt;9,1,B66+1)</f>
        <v>3</v>
      </c>
      <c r="C67" s="4">
        <v>10</v>
      </c>
      <c r="D67" s="4" t="str">
        <f>INDEX(Sheet1!$B:$AQ,テスト!C67+2,テスト!B67)</f>
        <v>吐毒Slv</v>
      </c>
      <c r="E67" s="4">
        <f t="shared" ref="E67:E80" si="12">COUNTIF($D$66:$D$80,D67)</f>
        <v>1</v>
      </c>
      <c r="I67" s="12"/>
      <c r="J67" s="12"/>
      <c r="K67" s="12"/>
      <c r="L67" s="12"/>
      <c r="M67" s="12"/>
      <c r="N67" s="12"/>
      <c r="O67" s="12"/>
      <c r="P67" s="12"/>
      <c r="Q67" s="4"/>
    </row>
    <row r="68" spans="1:29" ht="14.25" thickBot="1" x14ac:dyDescent="0.2">
      <c r="A68" s="4">
        <v>1</v>
      </c>
      <c r="B68" s="26">
        <f t="shared" ref="B68:B70" si="13">IF(B67&gt;9,1,B67+1)</f>
        <v>4</v>
      </c>
      <c r="C68" s="4">
        <v>14</v>
      </c>
      <c r="D68" s="4" t="str">
        <f>INDEX(Sheet1!$B:$AQ,テスト!C68+2,テスト!B68)</f>
        <v>感電の弧炎</v>
      </c>
      <c r="E68" s="4">
        <f t="shared" si="12"/>
        <v>1</v>
      </c>
      <c r="I68" s="12"/>
      <c r="J68" s="12"/>
      <c r="K68" s="12"/>
      <c r="L68" s="4"/>
      <c r="M68" s="4"/>
      <c r="N68" s="12"/>
      <c r="O68" s="12"/>
      <c r="P68" s="4"/>
    </row>
    <row r="69" spans="1:29" x14ac:dyDescent="0.15">
      <c r="A69" s="4">
        <v>1</v>
      </c>
      <c r="B69" s="26">
        <f t="shared" si="13"/>
        <v>5</v>
      </c>
      <c r="C69" s="4">
        <v>20</v>
      </c>
      <c r="D69" s="4" t="str">
        <f>INDEX(Sheet1!$B:$AQ,テスト!C69+2,テスト!B69)</f>
        <v>木霊の手の内</v>
      </c>
      <c r="E69" s="4">
        <f t="shared" si="12"/>
        <v>1</v>
      </c>
      <c r="I69" s="12"/>
      <c r="J69" s="12"/>
      <c r="K69" s="12"/>
      <c r="L69" s="12"/>
      <c r="M69" s="12"/>
      <c r="N69" s="12"/>
      <c r="O69" s="12"/>
      <c r="P69" s="12"/>
      <c r="Q69" s="12"/>
      <c r="R69" s="12"/>
      <c r="T69" s="56"/>
      <c r="U69" s="35"/>
      <c r="V69" s="35"/>
      <c r="W69" s="35"/>
      <c r="X69" s="35"/>
      <c r="Y69" s="35" t="s">
        <v>462</v>
      </c>
      <c r="Z69" s="35">
        <v>6</v>
      </c>
      <c r="AA69" s="35">
        <v>11</v>
      </c>
      <c r="AB69" s="36">
        <v>16</v>
      </c>
      <c r="AC69" s="4">
        <f>COUNTA(T69:AB73)</f>
        <v>17</v>
      </c>
    </row>
    <row r="70" spans="1:29" x14ac:dyDescent="0.15">
      <c r="A70" s="4">
        <v>1</v>
      </c>
      <c r="B70" s="26">
        <f t="shared" si="13"/>
        <v>6</v>
      </c>
      <c r="C70" s="4">
        <v>12</v>
      </c>
      <c r="D70" s="4" t="str">
        <f>INDEX(Sheet1!$B:$AQ,テスト!C70+2,テスト!B70)</f>
        <v>薄れ馬</v>
      </c>
      <c r="E70" s="4">
        <f t="shared" si="12"/>
        <v>1</v>
      </c>
      <c r="I70" s="71"/>
      <c r="J70" s="71"/>
      <c r="K70" s="71"/>
      <c r="L70" s="71"/>
      <c r="M70" s="71"/>
      <c r="N70" s="71"/>
      <c r="O70" s="71"/>
      <c r="P70" s="71"/>
      <c r="Q70" s="12"/>
      <c r="R70" s="12"/>
      <c r="S70" s="12"/>
      <c r="T70" s="37"/>
      <c r="U70" s="12"/>
      <c r="V70" s="12"/>
      <c r="W70" s="12"/>
      <c r="X70" s="12"/>
      <c r="Y70" s="12" t="s">
        <v>462</v>
      </c>
      <c r="Z70" s="12">
        <v>7</v>
      </c>
      <c r="AA70" s="12">
        <v>12</v>
      </c>
      <c r="AB70" s="38">
        <v>17</v>
      </c>
      <c r="AC70" s="4"/>
    </row>
    <row r="71" spans="1:29" x14ac:dyDescent="0.15">
      <c r="A71" s="4">
        <v>2</v>
      </c>
      <c r="B71" s="26">
        <v>15</v>
      </c>
      <c r="C71" s="4">
        <v>4</v>
      </c>
      <c r="D71" s="4" t="str">
        <f>INDEX(Sheet1!$B:$AQ,テスト!C71+2,テスト!B71)</f>
        <v>罠顎のｹﾙﾋﾟｰ</v>
      </c>
      <c r="E71" s="4">
        <f t="shared" si="12"/>
        <v>1</v>
      </c>
      <c r="I71" s="4"/>
      <c r="J71" s="4"/>
      <c r="K71" s="4"/>
      <c r="L71" s="4"/>
      <c r="M71" s="4"/>
      <c r="N71" s="4"/>
      <c r="O71" s="4"/>
      <c r="P71" s="4"/>
      <c r="R71" s="12"/>
      <c r="S71" s="12"/>
      <c r="T71" s="37"/>
      <c r="U71" s="12"/>
      <c r="V71" s="12"/>
      <c r="W71" s="12"/>
      <c r="X71" s="12"/>
      <c r="Y71" s="12" t="s">
        <v>731</v>
      </c>
      <c r="Z71" s="12">
        <v>8</v>
      </c>
      <c r="AA71" s="12">
        <v>13</v>
      </c>
      <c r="AB71" s="38"/>
      <c r="AC71" s="4"/>
    </row>
    <row r="72" spans="1:29" x14ac:dyDescent="0.15">
      <c r="A72" s="4">
        <v>2</v>
      </c>
      <c r="B72" s="26">
        <f>IF(B71&gt;19,11,B71+1)</f>
        <v>16</v>
      </c>
      <c r="C72" s="4">
        <v>26</v>
      </c>
      <c r="D72" s="4" t="str">
        <f>INDEX(Sheet1!$B:$AQ,テスト!C72+2,テスト!B72)</f>
        <v>絞首</v>
      </c>
      <c r="E72" s="4">
        <f t="shared" si="12"/>
        <v>1</v>
      </c>
      <c r="I72" s="4"/>
      <c r="J72" s="4"/>
      <c r="K72" s="4"/>
      <c r="L72" s="4"/>
      <c r="M72" s="4"/>
      <c r="N72" s="4"/>
      <c r="O72" s="4"/>
      <c r="P72" s="4"/>
      <c r="Q72" s="12"/>
      <c r="S72" s="12"/>
      <c r="T72" s="37"/>
      <c r="U72" s="12"/>
      <c r="V72" s="12"/>
      <c r="W72" s="12"/>
      <c r="X72" s="12"/>
      <c r="Y72" s="12">
        <v>4</v>
      </c>
      <c r="Z72" s="11">
        <v>9</v>
      </c>
      <c r="AA72" s="11">
        <v>14</v>
      </c>
      <c r="AB72" s="38"/>
      <c r="AC72" s="4"/>
    </row>
    <row r="73" spans="1:29" ht="14.25" thickBot="1" x14ac:dyDescent="0.2">
      <c r="A73" s="4">
        <v>2</v>
      </c>
      <c r="B73" s="26">
        <f>IF(B72&gt;19,11,B72+1)</f>
        <v>17</v>
      </c>
      <c r="C73" s="4">
        <v>30</v>
      </c>
      <c r="D73" s="4" t="str">
        <f>INDEX(Sheet1!$B:$AQ,テスト!C73+2,テスト!B73)</f>
        <v>凍結燃焼の奇魔</v>
      </c>
      <c r="E73" s="4">
        <f t="shared" si="12"/>
        <v>1</v>
      </c>
      <c r="I73" s="4"/>
      <c r="J73" s="4"/>
      <c r="K73" s="4"/>
      <c r="L73" s="4"/>
      <c r="M73" s="4"/>
      <c r="N73" s="4"/>
      <c r="O73" s="4"/>
      <c r="P73" s="4"/>
      <c r="Q73" s="12"/>
      <c r="T73" s="39"/>
      <c r="U73" s="40"/>
      <c r="V73" s="40"/>
      <c r="W73" s="40"/>
      <c r="X73" s="40"/>
      <c r="Y73" s="40">
        <v>5</v>
      </c>
      <c r="Z73" s="40">
        <v>10</v>
      </c>
      <c r="AA73" s="40">
        <v>15</v>
      </c>
      <c r="AB73" s="41"/>
      <c r="AC73" s="4"/>
    </row>
    <row r="74" spans="1:29" x14ac:dyDescent="0.15">
      <c r="A74" s="4">
        <v>2</v>
      </c>
      <c r="B74" s="26">
        <f>IF(B73&gt;19,11,B73+1)</f>
        <v>18</v>
      </c>
      <c r="C74" s="4">
        <v>19</v>
      </c>
      <c r="D74" s="4" t="str">
        <f>INDEX(Sheet1!$B:$AQ,テスト!C74+2,テスト!B74)</f>
        <v>基底Slv</v>
      </c>
      <c r="E74" s="4">
        <f t="shared" si="12"/>
        <v>1</v>
      </c>
      <c r="I74" s="4"/>
      <c r="J74" s="4"/>
      <c r="K74" s="4"/>
      <c r="L74" s="4"/>
      <c r="M74" s="4"/>
      <c r="N74" s="4"/>
      <c r="O74" s="4"/>
      <c r="P74" s="4"/>
      <c r="R74" s="12"/>
      <c r="S74" s="12"/>
    </row>
    <row r="75" spans="1:29" x14ac:dyDescent="0.15">
      <c r="A75" s="4">
        <v>3</v>
      </c>
      <c r="B75" s="26">
        <v>21</v>
      </c>
      <c r="C75" s="4">
        <v>23</v>
      </c>
      <c r="D75" s="4" t="str">
        <f>INDEX(Sheet1!$B:$AQ,テスト!C75+2,テスト!B75)</f>
        <v>ｳﾙ=ｺﾞｰﾚﾑの目</v>
      </c>
      <c r="E75" s="4">
        <f t="shared" si="12"/>
        <v>1</v>
      </c>
      <c r="I75" s="4"/>
      <c r="J75" s="4"/>
      <c r="K75" s="4"/>
      <c r="L75" s="4"/>
      <c r="M75" s="4"/>
      <c r="N75" s="4"/>
      <c r="O75" s="4"/>
      <c r="P75" s="4"/>
      <c r="Q75" s="12"/>
    </row>
    <row r="76" spans="1:29" x14ac:dyDescent="0.15">
      <c r="A76" s="4">
        <v>3</v>
      </c>
      <c r="B76" s="26">
        <v>22</v>
      </c>
      <c r="C76" s="4">
        <v>14</v>
      </c>
      <c r="D76" s="4" t="str">
        <f>INDEX(Sheet1!$B:$AQ,テスト!C76+2,テスト!B76)</f>
        <v>進化する未開地</v>
      </c>
      <c r="E76" s="4">
        <f t="shared" si="12"/>
        <v>1</v>
      </c>
      <c r="I76" s="4"/>
      <c r="J76" s="4"/>
      <c r="K76" s="4"/>
      <c r="L76" s="4"/>
      <c r="M76" s="4"/>
      <c r="N76" s="4"/>
      <c r="O76" s="4"/>
      <c r="P76" s="4"/>
    </row>
    <row r="77" spans="1:29" x14ac:dyDescent="0.15">
      <c r="A77" s="4">
        <v>4</v>
      </c>
      <c r="B77" s="26">
        <v>23</v>
      </c>
      <c r="C77" s="4">
        <v>10</v>
      </c>
      <c r="D77" s="4" t="str">
        <f>INDEX(Sheet1!$B:$AQ,テスト!C77+2,テスト!B77)</f>
        <v>糾弾</v>
      </c>
      <c r="E77" s="4">
        <f t="shared" si="12"/>
        <v>1</v>
      </c>
      <c r="I77" s="4"/>
      <c r="J77" s="4"/>
      <c r="K77" s="4"/>
      <c r="L77" s="4"/>
      <c r="M77" s="4"/>
      <c r="N77" s="4"/>
      <c r="O77" s="4"/>
      <c r="P77" s="4"/>
      <c r="R77" s="12"/>
    </row>
    <row r="78" spans="1:29" x14ac:dyDescent="0.15">
      <c r="A78" s="4">
        <v>4</v>
      </c>
      <c r="B78" s="26">
        <f t="shared" ref="B78:B79" si="14">IF(B77&gt;31,23,B77+1)</f>
        <v>24</v>
      </c>
      <c r="C78" s="4">
        <v>20</v>
      </c>
      <c r="D78" s="4" t="str">
        <f>INDEX(Sheet1!$B:$AQ,テスト!C78+2,テスト!B78)</f>
        <v>ｼﾙﾑｶﾞﾙの魔術師</v>
      </c>
      <c r="E78" s="4">
        <f t="shared" si="12"/>
        <v>1</v>
      </c>
      <c r="I78" s="4"/>
      <c r="J78" s="4"/>
      <c r="K78" s="4"/>
      <c r="L78" s="4"/>
      <c r="M78" s="4"/>
      <c r="N78" s="4"/>
      <c r="O78" s="4"/>
      <c r="P78" s="4"/>
      <c r="Q78" s="12"/>
    </row>
    <row r="79" spans="1:29" x14ac:dyDescent="0.15">
      <c r="A79" s="4">
        <v>4</v>
      </c>
      <c r="B79" s="26">
        <f t="shared" si="14"/>
        <v>25</v>
      </c>
      <c r="C79" s="4">
        <v>17</v>
      </c>
      <c r="D79" s="4" t="str">
        <f>INDEX(Sheet1!$B:$AQ,テスト!C79+2,テスト!B79)</f>
        <v>雲変化</v>
      </c>
      <c r="E79" s="4">
        <f t="shared" si="12"/>
        <v>1</v>
      </c>
      <c r="I79" s="4"/>
      <c r="J79" s="4"/>
      <c r="K79" s="4"/>
      <c r="L79" s="4"/>
      <c r="M79" s="4"/>
      <c r="N79" s="4"/>
      <c r="O79" s="4"/>
      <c r="P79" s="4"/>
    </row>
    <row r="80" spans="1:29" x14ac:dyDescent="0.15">
      <c r="A80" s="4">
        <v>5</v>
      </c>
      <c r="B80" s="26">
        <v>40</v>
      </c>
      <c r="C80" s="4">
        <v>7</v>
      </c>
      <c r="D80" s="4" t="str">
        <f>INDEX(Sheet1!$B:$AQ,テスト!C80+2,テスト!B80)</f>
        <v>壊滅させるものﾇｰﾏｯﾄ</v>
      </c>
      <c r="E80" s="4">
        <f t="shared" si="12"/>
        <v>1</v>
      </c>
      <c r="I80" s="4"/>
      <c r="J80" s="4"/>
      <c r="K80" s="4"/>
      <c r="L80" s="4"/>
      <c r="M80" s="4"/>
      <c r="N80" s="4"/>
      <c r="O80" s="4"/>
      <c r="P80" s="4"/>
      <c r="S80" s="12"/>
    </row>
    <row r="81" spans="1:29" x14ac:dyDescent="0.15">
      <c r="A81" s="4"/>
      <c r="D81" s="4">
        <v>6</v>
      </c>
      <c r="I81" s="4"/>
      <c r="J81" s="4"/>
      <c r="K81" s="4"/>
      <c r="L81" s="4"/>
      <c r="M81" s="4"/>
      <c r="N81" s="4"/>
      <c r="O81" s="4"/>
      <c r="P81" s="4"/>
      <c r="Q81" s="12"/>
      <c r="S81" s="12"/>
    </row>
    <row r="82" spans="1:29" x14ac:dyDescent="0.15">
      <c r="A82" s="4">
        <v>1</v>
      </c>
      <c r="B82" s="26">
        <v>10</v>
      </c>
      <c r="C82" s="4">
        <v>4</v>
      </c>
      <c r="D82" s="4" t="str">
        <f>INDEX(Sheet1!$B:$AQ,テスト!C82+2,テスト!B82)</f>
        <v>順応する跳ね顎</v>
      </c>
      <c r="E82" s="4">
        <f>COUNTIF($D$82:$D$96,D82)</f>
        <v>1</v>
      </c>
      <c r="I82" s="4"/>
      <c r="J82" s="4"/>
      <c r="K82" s="4"/>
      <c r="L82" s="4"/>
      <c r="M82" s="4"/>
      <c r="N82" s="4"/>
      <c r="O82" s="4"/>
      <c r="P82" s="4"/>
      <c r="R82" s="12"/>
    </row>
    <row r="83" spans="1:29" x14ac:dyDescent="0.15">
      <c r="A83" s="4">
        <v>1</v>
      </c>
      <c r="B83" s="26">
        <f>IF(B82&gt;9,1,B82+1)</f>
        <v>1</v>
      </c>
      <c r="C83" s="4">
        <v>35</v>
      </c>
      <c r="D83" s="4" t="str">
        <f>INDEX(Sheet1!$B:$AQ,テスト!C83+2,テスト!B83)</f>
        <v>必殺の一射</v>
      </c>
      <c r="E83" s="4">
        <f t="shared" ref="E83:E96" si="15">COUNTIF($D$82:$D$96,D83)</f>
        <v>1</v>
      </c>
      <c r="I83" s="4"/>
      <c r="J83" s="4"/>
      <c r="K83" s="4"/>
      <c r="L83" s="4"/>
      <c r="M83" s="4"/>
      <c r="N83" s="4"/>
      <c r="O83" s="4"/>
      <c r="P83" s="4"/>
    </row>
    <row r="84" spans="1:29" x14ac:dyDescent="0.15">
      <c r="A84" s="4">
        <v>1</v>
      </c>
      <c r="B84" s="26">
        <f t="shared" ref="B84:B86" si="16">IF(B83&gt;9,1,B83+1)</f>
        <v>2</v>
      </c>
      <c r="C84" s="4">
        <v>11</v>
      </c>
      <c r="D84" s="4" t="str">
        <f>INDEX(Sheet1!$B:$AQ,テスト!C84+2,テスト!B84)</f>
        <v>ﾏｰﾌｫｰｸの物あさり</v>
      </c>
      <c r="E84" s="4">
        <f t="shared" si="15"/>
        <v>1</v>
      </c>
    </row>
    <row r="85" spans="1:29" ht="14.25" thickBot="1" x14ac:dyDescent="0.2">
      <c r="A85" s="4">
        <v>1</v>
      </c>
      <c r="B85" s="26">
        <f t="shared" si="16"/>
        <v>3</v>
      </c>
      <c r="C85" s="4">
        <v>17</v>
      </c>
      <c r="D85" s="4" t="str">
        <f>INDEX(Sheet1!$B:$AQ,テスト!C85+2,テスト!B85)</f>
        <v>吐毒Slv</v>
      </c>
      <c r="E85" s="4">
        <f t="shared" si="15"/>
        <v>1</v>
      </c>
    </row>
    <row r="86" spans="1:29" x14ac:dyDescent="0.15">
      <c r="A86" s="4">
        <v>1</v>
      </c>
      <c r="B86" s="26">
        <f t="shared" si="16"/>
        <v>4</v>
      </c>
      <c r="C86" s="4">
        <v>17</v>
      </c>
      <c r="D86" s="4" t="str">
        <f>INDEX(Sheet1!$B:$AQ,テスト!C86+2,テスト!B86)</f>
        <v>霜剣山の呪刃</v>
      </c>
      <c r="E86" s="4">
        <f t="shared" si="15"/>
        <v>1</v>
      </c>
      <c r="Q86" s="12"/>
      <c r="R86" s="12"/>
      <c r="S86" s="12"/>
      <c r="T86" s="56"/>
      <c r="U86" s="35"/>
      <c r="V86" s="35"/>
      <c r="W86" s="35"/>
      <c r="X86" s="35"/>
      <c r="Y86" s="35" t="s">
        <v>166</v>
      </c>
      <c r="Z86" s="35">
        <v>6</v>
      </c>
      <c r="AA86" s="35">
        <v>11</v>
      </c>
      <c r="AB86" s="36">
        <v>16</v>
      </c>
      <c r="AC86" s="4">
        <f>COUNTA(T86:AB90)</f>
        <v>16</v>
      </c>
    </row>
    <row r="87" spans="1:29" x14ac:dyDescent="0.15">
      <c r="A87" s="4">
        <v>2</v>
      </c>
      <c r="B87" s="26">
        <v>20</v>
      </c>
      <c r="C87" s="4">
        <v>23</v>
      </c>
      <c r="D87" s="4" t="str">
        <f>INDEX(Sheet1!$B:$AQ,テスト!C87+2,テスト!B87)</f>
        <v>とぐろ巻きの巫女</v>
      </c>
      <c r="E87" s="4">
        <f t="shared" si="15"/>
        <v>1</v>
      </c>
      <c r="Q87" s="12"/>
      <c r="T87" s="37"/>
      <c r="U87" s="12"/>
      <c r="V87" s="12"/>
      <c r="W87" s="12"/>
      <c r="X87" s="12"/>
      <c r="Y87" s="12" t="s">
        <v>166</v>
      </c>
      <c r="Z87" s="12">
        <v>7</v>
      </c>
      <c r="AA87" s="12">
        <v>12</v>
      </c>
      <c r="AB87" s="38"/>
      <c r="AC87" s="4"/>
    </row>
    <row r="88" spans="1:29" x14ac:dyDescent="0.15">
      <c r="A88" s="4">
        <v>2</v>
      </c>
      <c r="B88" s="26">
        <f>IF(B87&gt;19,11,B87+1)</f>
        <v>11</v>
      </c>
      <c r="C88" s="4">
        <v>28</v>
      </c>
      <c r="D88" s="4" t="str">
        <f>INDEX(Sheet1!$B:$AQ,テスト!C88+2,テスト!B88)</f>
        <v>御身の刃</v>
      </c>
      <c r="E88" s="4">
        <f t="shared" si="15"/>
        <v>1</v>
      </c>
      <c r="Q88" s="12"/>
      <c r="R88" s="12"/>
      <c r="S88" s="12"/>
      <c r="T88" s="37"/>
      <c r="U88" s="12"/>
      <c r="V88" s="12"/>
      <c r="W88" s="12"/>
      <c r="X88" s="12"/>
      <c r="Y88" s="12">
        <v>3</v>
      </c>
      <c r="Z88" s="12">
        <v>8</v>
      </c>
      <c r="AA88" s="12">
        <v>13</v>
      </c>
      <c r="AB88" s="38"/>
      <c r="AC88" s="4"/>
    </row>
    <row r="89" spans="1:29" x14ac:dyDescent="0.15">
      <c r="A89" s="4">
        <v>2</v>
      </c>
      <c r="B89" s="26">
        <f>IF(B88&gt;19,11,B88+1)</f>
        <v>12</v>
      </c>
      <c r="C89" s="4">
        <v>28</v>
      </c>
      <c r="D89" s="4" t="str">
        <f>INDEX(Sheet1!$B:$AQ,テスト!C89+2,テスト!B89)</f>
        <v>天主の勢力</v>
      </c>
      <c r="E89" s="4">
        <f t="shared" si="15"/>
        <v>1</v>
      </c>
      <c r="Q89" s="12"/>
      <c r="S89" s="12"/>
      <c r="T89" s="37"/>
      <c r="U89" s="12"/>
      <c r="V89" s="12"/>
      <c r="W89" s="12"/>
      <c r="X89" s="12"/>
      <c r="Y89" s="12">
        <v>4</v>
      </c>
      <c r="Z89" s="11">
        <v>9</v>
      </c>
      <c r="AA89" s="11">
        <v>14</v>
      </c>
      <c r="AB89" s="38"/>
      <c r="AC89" s="4"/>
    </row>
    <row r="90" spans="1:29" ht="14.25" thickBot="1" x14ac:dyDescent="0.2">
      <c r="A90" s="4">
        <v>2</v>
      </c>
      <c r="B90" s="26">
        <f>IF(B89&gt;19,11,B89+1)</f>
        <v>13</v>
      </c>
      <c r="C90" s="4">
        <v>12</v>
      </c>
      <c r="D90" s="4" t="str">
        <f>INDEX(Sheet1!$B:$AQ,テスト!C90+2,テスト!B90)</f>
        <v>よろめく殻</v>
      </c>
      <c r="E90" s="4">
        <f t="shared" si="15"/>
        <v>1</v>
      </c>
      <c r="S90" s="12"/>
      <c r="T90" s="39"/>
      <c r="U90" s="40"/>
      <c r="V90" s="40"/>
      <c r="W90" s="40"/>
      <c r="X90" s="40"/>
      <c r="Y90" s="40">
        <v>5</v>
      </c>
      <c r="Z90" s="40">
        <v>10</v>
      </c>
      <c r="AA90" s="40">
        <v>15</v>
      </c>
      <c r="AB90" s="41"/>
      <c r="AC90" s="4"/>
    </row>
    <row r="91" spans="1:29" x14ac:dyDescent="0.15">
      <c r="A91" s="4">
        <v>3</v>
      </c>
      <c r="B91" s="26">
        <v>21</v>
      </c>
      <c r="C91" s="4">
        <v>21</v>
      </c>
      <c r="D91" s="4" t="str">
        <f>INDEX(Sheet1!$B:$AQ,テスト!C91+2,テスト!B91)</f>
        <v>ｼﾐｯｸの導き石</v>
      </c>
      <c r="E91" s="4">
        <f t="shared" si="15"/>
        <v>1</v>
      </c>
      <c r="R91" s="12"/>
      <c r="S91" s="12"/>
      <c r="T91" s="4"/>
      <c r="U91" s="4"/>
      <c r="V91" s="4"/>
      <c r="W91" s="4"/>
      <c r="X91" s="4"/>
      <c r="Y91" s="4"/>
      <c r="Z91" s="4"/>
      <c r="AA91" s="4"/>
      <c r="AB91" s="4"/>
      <c r="AC91" s="4"/>
    </row>
    <row r="92" spans="1:29" x14ac:dyDescent="0.15">
      <c r="A92" s="4">
        <v>3</v>
      </c>
      <c r="B92" s="26">
        <v>22</v>
      </c>
      <c r="C92" s="4">
        <v>28</v>
      </c>
      <c r="D92" s="4" t="str">
        <f>INDEX(Sheet1!$B:$AQ,テスト!C92+2,テスト!B92)</f>
        <v>進化する未開地</v>
      </c>
      <c r="E92" s="4">
        <f t="shared" si="15"/>
        <v>1</v>
      </c>
      <c r="Q92" s="12"/>
      <c r="T92" s="4"/>
      <c r="U92" s="4"/>
      <c r="V92" s="4"/>
      <c r="W92" s="4"/>
      <c r="X92" s="4"/>
      <c r="Y92" s="4"/>
      <c r="Z92" s="4"/>
      <c r="AA92" s="4"/>
      <c r="AB92" s="4"/>
      <c r="AC92" s="4"/>
    </row>
    <row r="93" spans="1:29" x14ac:dyDescent="0.15">
      <c r="A93" s="4">
        <v>4</v>
      </c>
      <c r="B93" s="26">
        <v>24</v>
      </c>
      <c r="C93" s="4">
        <v>27</v>
      </c>
      <c r="D93" s="4" t="str">
        <f>INDEX(Sheet1!$B:$AQ,テスト!C93+2,テスト!B93)</f>
        <v>ｱﾌﾞｻﾞﾝ土地</v>
      </c>
      <c r="E93" s="4">
        <f t="shared" si="15"/>
        <v>1</v>
      </c>
      <c r="R93" s="12"/>
      <c r="S93" s="12"/>
      <c r="T93" s="4"/>
      <c r="U93" s="4"/>
      <c r="V93" s="4"/>
      <c r="W93" s="4"/>
      <c r="X93" s="4"/>
      <c r="Y93" s="4"/>
      <c r="Z93" s="4"/>
      <c r="AA93" s="4"/>
      <c r="AB93" s="4"/>
      <c r="AC93" s="4"/>
    </row>
    <row r="94" spans="1:29" x14ac:dyDescent="0.15">
      <c r="A94" s="4">
        <v>4</v>
      </c>
      <c r="B94" s="26">
        <f t="shared" ref="B94:B95" si="17">IF(B93&gt;31,23,B93+1)</f>
        <v>25</v>
      </c>
      <c r="C94" s="4">
        <v>12</v>
      </c>
      <c r="D94" s="4" t="str">
        <f>INDEX(Sheet1!$B:$AQ,テスト!C94+2,テスト!B94)</f>
        <v>胆液の鼠</v>
      </c>
      <c r="E94" s="4">
        <f t="shared" si="15"/>
        <v>1</v>
      </c>
      <c r="Q94" s="12"/>
      <c r="T94" s="4"/>
      <c r="U94" s="4"/>
      <c r="V94" s="4"/>
      <c r="W94" s="4"/>
      <c r="X94" s="4"/>
      <c r="Y94" s="4"/>
      <c r="Z94" s="4"/>
      <c r="AA94" s="4"/>
      <c r="AB94" s="4"/>
      <c r="AC94" s="4"/>
    </row>
    <row r="95" spans="1:29" x14ac:dyDescent="0.15">
      <c r="A95" s="4">
        <v>4</v>
      </c>
      <c r="B95" s="26">
        <f t="shared" si="17"/>
        <v>26</v>
      </c>
      <c r="C95" s="4">
        <v>8</v>
      </c>
      <c r="D95" s="4" t="str">
        <f>INDEX(Sheet1!$B:$AQ,テスト!C95+2,テスト!B95)</f>
        <v>変化+点火</v>
      </c>
      <c r="E95" s="4">
        <f t="shared" si="15"/>
        <v>1</v>
      </c>
      <c r="Q95" s="12"/>
      <c r="T95" s="4"/>
      <c r="U95" s="4"/>
      <c r="V95" s="4"/>
      <c r="W95" s="4"/>
      <c r="X95" s="4"/>
      <c r="Y95" s="4"/>
      <c r="Z95" s="4"/>
      <c r="AA95" s="4"/>
      <c r="AB95" s="4"/>
      <c r="AC95" s="4"/>
    </row>
    <row r="96" spans="1:29" x14ac:dyDescent="0.15">
      <c r="A96" s="4">
        <v>5</v>
      </c>
      <c r="B96" s="26">
        <v>36</v>
      </c>
      <c r="C96" s="4">
        <v>16</v>
      </c>
      <c r="D96" s="4" t="str">
        <f>INDEX(Sheet1!$B:$AQ,テスト!C96+2,テスト!B96)</f>
        <v>ﾆｸｿｽ</v>
      </c>
      <c r="E96" s="4">
        <f t="shared" si="15"/>
        <v>1</v>
      </c>
      <c r="T96" s="4"/>
      <c r="U96" s="4"/>
      <c r="V96" s="4"/>
      <c r="W96" s="4"/>
      <c r="X96" s="4"/>
      <c r="Y96" s="4"/>
      <c r="Z96" s="4"/>
      <c r="AA96" s="4"/>
      <c r="AB96" s="4"/>
      <c r="AC96" s="4"/>
    </row>
    <row r="97" spans="1:29" x14ac:dyDescent="0.15">
      <c r="A97" s="4"/>
      <c r="D97" s="4">
        <v>7</v>
      </c>
      <c r="T97" s="4"/>
      <c r="U97" s="4"/>
      <c r="V97" s="4"/>
      <c r="W97" s="4"/>
      <c r="X97" s="4"/>
      <c r="Y97" s="4"/>
      <c r="Z97" s="4"/>
      <c r="AA97" s="4"/>
      <c r="AB97" s="4"/>
      <c r="AC97" s="4"/>
    </row>
    <row r="98" spans="1:29" x14ac:dyDescent="0.15">
      <c r="A98" s="4">
        <v>1</v>
      </c>
      <c r="B98" s="26">
        <v>1</v>
      </c>
      <c r="C98" s="4">
        <v>8</v>
      </c>
      <c r="D98" s="4" t="str">
        <f>INDEX(Sheet1!$B:$AQ,テスト!C98+2,テスト!B98)</f>
        <v>狐の刃遣い</v>
      </c>
      <c r="E98" s="4">
        <f>COUNTIF($D$98:$D$112,D98)</f>
        <v>1</v>
      </c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:29" x14ac:dyDescent="0.15">
      <c r="A99" s="4">
        <v>1</v>
      </c>
      <c r="B99" s="26">
        <f>IF(B98&gt;9,1,B98+1)</f>
        <v>2</v>
      </c>
      <c r="C99" s="4">
        <v>27</v>
      </c>
      <c r="D99" s="4" t="str">
        <f>INDEX(Sheet1!$B:$AQ,テスト!C99+2,テスト!B99)</f>
        <v>否認</v>
      </c>
      <c r="E99" s="4">
        <f t="shared" ref="E99:E112" si="18">COUNTIF($D$98:$D$112,D99)</f>
        <v>1</v>
      </c>
      <c r="Q99" s="12"/>
      <c r="T99" s="4"/>
      <c r="U99" s="4"/>
      <c r="V99" s="4"/>
      <c r="W99" s="4"/>
      <c r="X99" s="4"/>
      <c r="Y99" s="4"/>
      <c r="Z99" s="4"/>
      <c r="AA99" s="4"/>
      <c r="AB99" s="4"/>
      <c r="AC99" s="4"/>
    </row>
    <row r="100" spans="1:29" x14ac:dyDescent="0.15">
      <c r="A100" s="4">
        <v>1</v>
      </c>
      <c r="B100" s="26">
        <f t="shared" ref="B100:B102" si="19">IF(B99&gt;9,1,B99+1)</f>
        <v>3</v>
      </c>
      <c r="C100" s="4">
        <v>16</v>
      </c>
      <c r="D100" s="4" t="str">
        <f>INDEX(Sheet1!$B:$AQ,テスト!C100+2,テスト!B100)</f>
        <v>黒割れのｺﾞﾌﾞﾘﾝ</v>
      </c>
      <c r="E100" s="4">
        <f t="shared" si="18"/>
        <v>1</v>
      </c>
      <c r="R100" s="12"/>
      <c r="T100" s="4"/>
      <c r="U100" s="4"/>
      <c r="V100" s="4"/>
      <c r="W100" s="4"/>
      <c r="X100" s="4"/>
      <c r="Y100" s="4"/>
      <c r="Z100" s="4"/>
      <c r="AA100" s="4"/>
      <c r="AB100" s="4"/>
      <c r="AC100" s="4"/>
    </row>
    <row r="101" spans="1:29" ht="14.25" thickBot="1" x14ac:dyDescent="0.2">
      <c r="A101" s="4">
        <v>1</v>
      </c>
      <c r="B101" s="26">
        <f t="shared" si="19"/>
        <v>4</v>
      </c>
      <c r="C101" s="4">
        <v>8</v>
      </c>
      <c r="D101" s="4" t="str">
        <f>INDEX(Sheet1!$B:$AQ,テスト!C101+2,テスト!B101)</f>
        <v>戦に狂える浪人</v>
      </c>
      <c r="E101" s="4">
        <f t="shared" si="18"/>
        <v>1</v>
      </c>
    </row>
    <row r="102" spans="1:29" x14ac:dyDescent="0.15">
      <c r="A102" s="4">
        <v>1</v>
      </c>
      <c r="B102" s="26">
        <f t="shared" si="19"/>
        <v>5</v>
      </c>
      <c r="C102" s="4">
        <v>15</v>
      </c>
      <c r="D102" s="4" t="str">
        <f>INDEX(Sheet1!$B:$AQ,テスト!C102+2,テスト!B102)</f>
        <v>荒廃のﾏﾝﾊﾞ</v>
      </c>
      <c r="E102" s="4">
        <f t="shared" si="18"/>
        <v>1</v>
      </c>
      <c r="Q102" s="12"/>
      <c r="R102" s="12"/>
      <c r="S102" s="12"/>
      <c r="T102" s="56"/>
      <c r="U102" s="35"/>
      <c r="V102" s="35"/>
      <c r="W102" s="35"/>
      <c r="X102" s="35"/>
      <c r="Y102" s="35" t="s">
        <v>358</v>
      </c>
      <c r="Z102" s="35">
        <v>6</v>
      </c>
      <c r="AA102" s="35">
        <v>11</v>
      </c>
      <c r="AB102" s="36">
        <v>16</v>
      </c>
      <c r="AC102" s="4">
        <f>COUNTA(T102:AB106)</f>
        <v>17</v>
      </c>
    </row>
    <row r="103" spans="1:29" x14ac:dyDescent="0.15">
      <c r="A103" s="4">
        <v>2</v>
      </c>
      <c r="B103" s="26">
        <v>13</v>
      </c>
      <c r="C103" s="4">
        <v>9</v>
      </c>
      <c r="D103" s="4" t="str">
        <f>INDEX(Sheet1!$B:$AQ,テスト!C103+2,テスト!B103)</f>
        <v>輝く光波</v>
      </c>
      <c r="E103" s="4">
        <f t="shared" si="18"/>
        <v>1</v>
      </c>
      <c r="Q103" s="12"/>
      <c r="R103" s="12"/>
      <c r="S103" s="12"/>
      <c r="T103" s="37"/>
      <c r="U103" s="12"/>
      <c r="V103" s="12"/>
      <c r="W103" s="12"/>
      <c r="X103" s="12"/>
      <c r="Y103" s="12" t="s">
        <v>731</v>
      </c>
      <c r="Z103" s="12">
        <v>7</v>
      </c>
      <c r="AA103" s="12">
        <v>12</v>
      </c>
      <c r="AB103" s="38">
        <v>17</v>
      </c>
      <c r="AC103" s="4"/>
    </row>
    <row r="104" spans="1:29" x14ac:dyDescent="0.15">
      <c r="A104" s="4">
        <v>2</v>
      </c>
      <c r="B104" s="26">
        <f>IF(B103&gt;19,11,B103+1)</f>
        <v>14</v>
      </c>
      <c r="C104" s="4">
        <v>29</v>
      </c>
      <c r="D104" s="4" t="str">
        <f>INDEX(Sheet1!$B:$AQ,テスト!C104+2,テスト!B104)</f>
        <v>ｳｫｼﾞｪｸの矛槍兵</v>
      </c>
      <c r="E104" s="4">
        <f t="shared" si="18"/>
        <v>1</v>
      </c>
      <c r="R104" s="12"/>
      <c r="T104" s="37"/>
      <c r="U104" s="12"/>
      <c r="V104" s="12"/>
      <c r="W104" s="12"/>
      <c r="X104" s="12"/>
      <c r="Y104" s="12">
        <v>3</v>
      </c>
      <c r="Z104" s="12">
        <v>8</v>
      </c>
      <c r="AA104" s="12">
        <v>13</v>
      </c>
      <c r="AB104" s="38"/>
      <c r="AC104" s="4"/>
    </row>
    <row r="105" spans="1:29" x14ac:dyDescent="0.15">
      <c r="A105" s="4">
        <v>2</v>
      </c>
      <c r="B105" s="26">
        <f>IF(B104&gt;19,11,B104+1)</f>
        <v>15</v>
      </c>
      <c r="C105" s="4">
        <v>6</v>
      </c>
      <c r="D105" s="4" t="str">
        <f>INDEX(Sheet1!$B:$AQ,テスト!C105+2,テスト!B105)</f>
        <v>超者の意向</v>
      </c>
      <c r="E105" s="4">
        <f t="shared" si="18"/>
        <v>1</v>
      </c>
      <c r="I105" s="4"/>
      <c r="J105" s="4"/>
      <c r="K105" s="4"/>
      <c r="L105" s="4"/>
      <c r="M105" s="4"/>
      <c r="N105" s="4"/>
      <c r="O105" s="4"/>
      <c r="P105" s="4"/>
      <c r="Q105" s="12"/>
      <c r="R105" s="12"/>
      <c r="T105" s="37"/>
      <c r="U105" s="12"/>
      <c r="V105" s="12"/>
      <c r="W105" s="12"/>
      <c r="X105" s="12"/>
      <c r="Y105" s="12">
        <v>4</v>
      </c>
      <c r="Z105" s="11">
        <v>9</v>
      </c>
      <c r="AA105" s="11">
        <v>14</v>
      </c>
      <c r="AB105" s="38"/>
      <c r="AC105" s="4"/>
    </row>
    <row r="106" spans="1:29" ht="14.25" thickBot="1" x14ac:dyDescent="0.2">
      <c r="A106" s="4">
        <v>2</v>
      </c>
      <c r="B106" s="26">
        <f>IF(B105&gt;19,11,B105+1)</f>
        <v>16</v>
      </c>
      <c r="C106" s="4">
        <v>7</v>
      </c>
      <c r="D106" s="4" t="str">
        <f>INDEX(Sheet1!$B:$AQ,テスト!C106+2,テスト!B106)</f>
        <v>横這Slv</v>
      </c>
      <c r="E106" s="4">
        <f t="shared" si="18"/>
        <v>1</v>
      </c>
      <c r="Q106" s="12"/>
      <c r="R106" s="12"/>
      <c r="S106" s="12"/>
      <c r="T106" s="39"/>
      <c r="U106" s="40"/>
      <c r="V106" s="40"/>
      <c r="W106" s="40"/>
      <c r="X106" s="40"/>
      <c r="Y106" s="40">
        <v>5</v>
      </c>
      <c r="Z106" s="40">
        <v>10</v>
      </c>
      <c r="AA106" s="40">
        <v>15</v>
      </c>
      <c r="AB106" s="41"/>
      <c r="AC106" s="4"/>
    </row>
    <row r="107" spans="1:29" x14ac:dyDescent="0.15">
      <c r="A107" s="4">
        <v>3</v>
      </c>
      <c r="B107" s="26">
        <v>21</v>
      </c>
      <c r="C107" s="4">
        <v>29</v>
      </c>
      <c r="D107" s="4" t="str">
        <f>INDEX(Sheet1!$B:$AQ,テスト!C107+2,テスト!B107)</f>
        <v>ｼﾐｯｸの導き石</v>
      </c>
      <c r="E107" s="4">
        <f t="shared" si="18"/>
        <v>1</v>
      </c>
    </row>
    <row r="108" spans="1:29" x14ac:dyDescent="0.15">
      <c r="A108" s="4">
        <v>3</v>
      </c>
      <c r="B108" s="26">
        <v>22</v>
      </c>
      <c r="C108" s="4">
        <v>35</v>
      </c>
      <c r="D108" s="4" t="str">
        <f>INDEX(Sheet1!$B:$AQ,テスト!C108+2,テスト!B108)</f>
        <v>URL</v>
      </c>
      <c r="E108" s="4">
        <f t="shared" si="18"/>
        <v>1</v>
      </c>
      <c r="R108" s="12"/>
    </row>
    <row r="109" spans="1:29" x14ac:dyDescent="0.15">
      <c r="A109" s="4">
        <v>4</v>
      </c>
      <c r="B109" s="26">
        <v>32</v>
      </c>
      <c r="C109" s="4">
        <v>5</v>
      </c>
      <c r="D109" s="4" t="str">
        <f>INDEX(Sheet1!$B:$AQ,テスト!C109+2,テスト!B109)</f>
        <v>ｱﾅの戦闘魔道士</v>
      </c>
      <c r="E109" s="4">
        <f t="shared" si="18"/>
        <v>1</v>
      </c>
      <c r="I109" s="4"/>
      <c r="J109" s="4"/>
      <c r="K109" s="4"/>
      <c r="L109" s="4"/>
      <c r="M109" s="4"/>
      <c r="N109" s="4"/>
      <c r="O109" s="4"/>
      <c r="P109" s="4"/>
      <c r="R109" s="12"/>
      <c r="S109" s="12"/>
    </row>
    <row r="110" spans="1:29" x14ac:dyDescent="0.15">
      <c r="A110" s="4">
        <v>4</v>
      </c>
      <c r="B110" s="26">
        <f t="shared" ref="B110:B111" si="20">IF(B109&gt;31,23,B109+1)</f>
        <v>23</v>
      </c>
      <c r="C110" s="4">
        <v>30</v>
      </c>
      <c r="D110" s="4" t="str">
        <f>INDEX(Sheet1!$B:$AQ,テスト!C110+2,テスト!B110)</f>
        <v>影の中の貪り</v>
      </c>
      <c r="E110" s="4">
        <f t="shared" si="18"/>
        <v>1</v>
      </c>
      <c r="J110" s="4"/>
      <c r="K110" s="4"/>
      <c r="P110" s="4"/>
      <c r="T110" s="12"/>
    </row>
    <row r="111" spans="1:29" x14ac:dyDescent="0.15">
      <c r="A111" s="4">
        <v>4</v>
      </c>
      <c r="B111" s="26">
        <f t="shared" si="20"/>
        <v>24</v>
      </c>
      <c r="C111" s="4">
        <v>33</v>
      </c>
      <c r="D111" s="4" t="str">
        <f>INDEX(Sheet1!$B:$AQ,テスト!C111+2,テスト!B111)</f>
        <v>狂気Slv</v>
      </c>
      <c r="E111" s="4">
        <f t="shared" si="18"/>
        <v>1</v>
      </c>
      <c r="I111" s="4"/>
      <c r="K111" s="4"/>
      <c r="M111" s="4"/>
      <c r="N111" s="4"/>
      <c r="O111" s="4"/>
      <c r="P111" s="4"/>
      <c r="Q111" s="12"/>
    </row>
    <row r="112" spans="1:29" x14ac:dyDescent="0.15">
      <c r="A112" s="4">
        <v>5</v>
      </c>
      <c r="B112" s="26">
        <v>35</v>
      </c>
      <c r="C112" s="4">
        <v>11</v>
      </c>
      <c r="D112" s="4" t="str">
        <f>INDEX(Sheet1!$B:$AQ,テスト!C112+2,テスト!B112)</f>
        <v>ｹﾃﾞﾚｸﾄのﾘﾊﾞｲｱｻﾝ</v>
      </c>
      <c r="E112" s="4">
        <f t="shared" si="18"/>
        <v>1</v>
      </c>
      <c r="J112" s="4"/>
      <c r="K112" s="4"/>
      <c r="L112" s="4"/>
    </row>
    <row r="113" spans="1:29" x14ac:dyDescent="0.15">
      <c r="A113" s="4"/>
      <c r="D113" s="4">
        <v>8</v>
      </c>
      <c r="N113" s="4"/>
      <c r="O113" s="4"/>
      <c r="R113" s="12"/>
    </row>
    <row r="114" spans="1:29" x14ac:dyDescent="0.15">
      <c r="A114" s="4">
        <v>1</v>
      </c>
      <c r="B114" s="26">
        <v>7</v>
      </c>
      <c r="C114" s="4">
        <v>18</v>
      </c>
      <c r="D114" s="4" t="str">
        <f>INDEX(Sheet1!$B:$AQ,テスト!C114+2,テスト!B114)</f>
        <v>同期Slv</v>
      </c>
      <c r="E114" s="4">
        <f>COUNTIF($D$114:$D$128,D114)</f>
        <v>1</v>
      </c>
      <c r="L114" s="4"/>
      <c r="N114" s="4"/>
      <c r="P114" s="4"/>
    </row>
    <row r="115" spans="1:29" x14ac:dyDescent="0.15">
      <c r="A115" s="4">
        <v>1</v>
      </c>
      <c r="B115" s="26">
        <f>IF(B114&gt;9,1,B114+1)</f>
        <v>8</v>
      </c>
      <c r="C115" s="4">
        <v>25</v>
      </c>
      <c r="D115" s="4" t="str">
        <f>INDEX(Sheet1!$B:$AQ,テスト!C115+2,テスト!B115)</f>
        <v>小走りの死神</v>
      </c>
      <c r="E115" s="4">
        <f t="shared" ref="E115:E128" si="21">COUNTIF($D$114:$D$128,D115)</f>
        <v>1</v>
      </c>
      <c r="K115" s="4"/>
      <c r="L115" s="4"/>
      <c r="N115" s="4"/>
      <c r="O115" s="4"/>
      <c r="Q115" s="12"/>
    </row>
    <row r="116" spans="1:29" x14ac:dyDescent="0.15">
      <c r="A116" s="4">
        <v>1</v>
      </c>
      <c r="B116" s="26">
        <f t="shared" ref="B116:B118" si="22">IF(B115&gt;9,1,B115+1)</f>
        <v>9</v>
      </c>
      <c r="C116" s="4">
        <v>23</v>
      </c>
      <c r="D116" s="4" t="str">
        <f>INDEX(Sheet1!$B:$AQ,テスト!C116+2,テスト!B116)</f>
        <v>鋳塊かじり</v>
      </c>
      <c r="E116" s="4">
        <f t="shared" si="21"/>
        <v>1</v>
      </c>
      <c r="I116" s="4"/>
      <c r="J116" s="4"/>
      <c r="K116" s="4"/>
      <c r="M116" s="4"/>
      <c r="O116" s="4"/>
      <c r="S116" s="12"/>
    </row>
    <row r="117" spans="1:29" x14ac:dyDescent="0.15">
      <c r="A117" s="4">
        <v>1</v>
      </c>
      <c r="B117" s="26">
        <f t="shared" si="22"/>
        <v>10</v>
      </c>
      <c r="C117" s="4">
        <v>25</v>
      </c>
      <c r="D117" s="4" t="str">
        <f>INDEX(Sheet1!$B:$AQ,テスト!C117+2,テスト!B117)</f>
        <v>順応する跳ね顎</v>
      </c>
      <c r="E117" s="4">
        <f t="shared" si="21"/>
        <v>1</v>
      </c>
      <c r="K117" s="4"/>
      <c r="L117" s="4"/>
    </row>
    <row r="118" spans="1:29" ht="14.25" thickBot="1" x14ac:dyDescent="0.2">
      <c r="A118" s="4">
        <v>1</v>
      </c>
      <c r="B118" s="26">
        <f t="shared" si="22"/>
        <v>1</v>
      </c>
      <c r="C118" s="4">
        <v>20</v>
      </c>
      <c r="D118" s="4" t="str">
        <f>INDEX(Sheet1!$B:$AQ,テスト!C118+2,テスト!B118)</f>
        <v>二人戦術</v>
      </c>
      <c r="E118" s="4">
        <f t="shared" si="21"/>
        <v>1</v>
      </c>
      <c r="I118" s="4"/>
      <c r="J118" s="4"/>
      <c r="L118" s="4"/>
      <c r="N118" s="4"/>
    </row>
    <row r="119" spans="1:29" x14ac:dyDescent="0.15">
      <c r="A119" s="4">
        <v>2</v>
      </c>
      <c r="B119" s="26">
        <v>20</v>
      </c>
      <c r="C119" s="4">
        <v>26</v>
      </c>
      <c r="D119" s="4" t="str">
        <f>INDEX(Sheet1!$B:$AQ,テスト!C119+2,テスト!B119)</f>
        <v>目的のための燃料</v>
      </c>
      <c r="E119" s="4">
        <f t="shared" si="21"/>
        <v>1</v>
      </c>
      <c r="J119" s="4"/>
      <c r="M119" s="4"/>
      <c r="N119" s="4"/>
      <c r="Q119" s="12"/>
      <c r="R119" s="12"/>
      <c r="S119" s="12"/>
      <c r="T119" s="56"/>
      <c r="U119" s="35"/>
      <c r="V119" s="35"/>
      <c r="W119" s="35"/>
      <c r="X119" s="35"/>
      <c r="Y119" s="35" t="s">
        <v>165</v>
      </c>
      <c r="Z119" s="35">
        <v>6</v>
      </c>
      <c r="AA119" s="35">
        <v>11</v>
      </c>
      <c r="AB119" s="36">
        <v>16</v>
      </c>
      <c r="AC119" s="4">
        <f>COUNTA(T119:AB123)</f>
        <v>17</v>
      </c>
    </row>
    <row r="120" spans="1:29" x14ac:dyDescent="0.15">
      <c r="A120" s="4">
        <v>2</v>
      </c>
      <c r="B120" s="26">
        <f>IF(B119&gt;19,11,B119+1)</f>
        <v>11</v>
      </c>
      <c r="C120" s="4">
        <v>7</v>
      </c>
      <c r="D120" s="4" t="str">
        <f>INDEX(Sheet1!$B:$AQ,テスト!C120+2,テスト!B120)</f>
        <v>血清Slv</v>
      </c>
      <c r="E120" s="4">
        <f t="shared" si="21"/>
        <v>1</v>
      </c>
      <c r="K120" s="4"/>
      <c r="M120" s="4"/>
      <c r="N120" s="4"/>
      <c r="R120" s="12"/>
      <c r="S120" s="12"/>
      <c r="T120" s="37"/>
      <c r="U120" s="12"/>
      <c r="V120" s="12"/>
      <c r="W120" s="12"/>
      <c r="X120" s="12"/>
      <c r="Y120" s="12" t="s">
        <v>165</v>
      </c>
      <c r="Z120" s="12">
        <v>7</v>
      </c>
      <c r="AA120" s="12">
        <v>12</v>
      </c>
      <c r="AB120" s="38">
        <v>17</v>
      </c>
      <c r="AC120" s="4"/>
    </row>
    <row r="121" spans="1:29" x14ac:dyDescent="0.15">
      <c r="A121" s="4">
        <v>2</v>
      </c>
      <c r="B121" s="26">
        <f>IF(B120&gt;19,11,B120+1)</f>
        <v>12</v>
      </c>
      <c r="C121" s="4">
        <v>4</v>
      </c>
      <c r="D121" s="4" t="str">
        <f>INDEX(Sheet1!$B:$AQ,テスト!C121+2,テスト!B121)</f>
        <v>裏返し</v>
      </c>
      <c r="E121" s="4">
        <f t="shared" si="21"/>
        <v>1</v>
      </c>
      <c r="N121" s="4"/>
      <c r="T121" s="37"/>
      <c r="U121" s="12"/>
      <c r="V121" s="12"/>
      <c r="W121" s="12"/>
      <c r="X121" s="12"/>
      <c r="Y121" s="12" t="s">
        <v>165</v>
      </c>
      <c r="Z121" s="12">
        <v>8</v>
      </c>
      <c r="AA121" s="12">
        <v>13</v>
      </c>
      <c r="AB121" s="38"/>
      <c r="AC121" s="4"/>
    </row>
    <row r="122" spans="1:29" x14ac:dyDescent="0.15">
      <c r="A122" s="4">
        <v>2</v>
      </c>
      <c r="B122" s="26">
        <f>IF(B121&gt;19,11,B121+1)</f>
        <v>13</v>
      </c>
      <c r="C122" s="4">
        <v>7</v>
      </c>
      <c r="D122" s="4" t="str">
        <f>INDEX(Sheet1!$B:$AQ,テスト!C122+2,テスト!B122)</f>
        <v>激情Slv</v>
      </c>
      <c r="E122" s="4">
        <f t="shared" si="21"/>
        <v>1</v>
      </c>
      <c r="I122" s="4"/>
      <c r="J122" s="4"/>
      <c r="N122" s="4"/>
      <c r="Q122" s="12"/>
      <c r="R122" s="12"/>
      <c r="S122" s="12"/>
      <c r="T122" s="37"/>
      <c r="U122" s="12"/>
      <c r="V122" s="12"/>
      <c r="W122" s="12"/>
      <c r="X122" s="12"/>
      <c r="Y122" s="12" t="s">
        <v>157</v>
      </c>
      <c r="Z122" s="11">
        <v>9</v>
      </c>
      <c r="AA122" s="11">
        <v>14</v>
      </c>
      <c r="AB122" s="38"/>
      <c r="AC122" s="4"/>
    </row>
    <row r="123" spans="1:29" ht="14.25" thickBot="1" x14ac:dyDescent="0.2">
      <c r="A123" s="4">
        <v>3</v>
      </c>
      <c r="B123" s="26">
        <v>21</v>
      </c>
      <c r="C123" s="4">
        <v>13</v>
      </c>
      <c r="D123" s="4" t="str">
        <f>INDEX(Sheet1!$B:$AQ,テスト!C123+2,テスト!B123)</f>
        <v>ｼﾐｯｸの導き石</v>
      </c>
      <c r="E123" s="4">
        <f t="shared" si="21"/>
        <v>1</v>
      </c>
      <c r="L123" s="4"/>
      <c r="P123" s="4"/>
      <c r="Q123" s="12"/>
      <c r="S123" s="12"/>
      <c r="T123" s="39"/>
      <c r="U123" s="40"/>
      <c r="V123" s="12"/>
      <c r="W123" s="40"/>
      <c r="X123" s="40"/>
      <c r="Y123" s="40">
        <v>5</v>
      </c>
      <c r="Z123" s="40">
        <v>10</v>
      </c>
      <c r="AA123" s="40">
        <v>15</v>
      </c>
      <c r="AB123" s="41"/>
      <c r="AC123" s="4"/>
    </row>
    <row r="124" spans="1:29" x14ac:dyDescent="0.15">
      <c r="A124" s="4">
        <v>3</v>
      </c>
      <c r="B124" s="26">
        <v>22</v>
      </c>
      <c r="C124" s="4">
        <v>63</v>
      </c>
      <c r="D124" s="4" t="str">
        <f>INDEX(Sheet1!$B:$AQ,テスト!C124+2,テスト!B124)</f>
        <v>URL</v>
      </c>
      <c r="E124" s="4">
        <f t="shared" si="21"/>
        <v>1</v>
      </c>
      <c r="I124" s="4"/>
      <c r="J124" s="4"/>
      <c r="K124" s="4"/>
      <c r="L124" s="4"/>
      <c r="M124" s="4"/>
      <c r="N124" s="4"/>
      <c r="O124" s="4"/>
      <c r="Q124" s="12"/>
      <c r="S124" s="12"/>
    </row>
    <row r="125" spans="1:29" x14ac:dyDescent="0.15">
      <c r="A125" s="4">
        <v>4</v>
      </c>
      <c r="B125" s="26">
        <v>27</v>
      </c>
      <c r="C125" s="4">
        <v>27</v>
      </c>
      <c r="D125" s="4" t="str">
        <f>INDEX(Sheet1!$B:$AQ,テスト!C125+2,テスト!B125)</f>
        <v>生体融合外骨格</v>
      </c>
      <c r="E125" s="4">
        <f t="shared" si="21"/>
        <v>1</v>
      </c>
      <c r="R125" s="12"/>
    </row>
    <row r="126" spans="1:29" x14ac:dyDescent="0.15">
      <c r="A126" s="4">
        <v>4</v>
      </c>
      <c r="B126" s="26">
        <f t="shared" ref="B126:B127" si="23">IF(B125&gt;31,23,B125+1)</f>
        <v>28</v>
      </c>
      <c r="C126" s="4">
        <v>20</v>
      </c>
      <c r="D126" s="4" t="str">
        <f>INDEX(Sheet1!$B:$AQ,テスト!C126+2,テスト!B126)</f>
        <v>思考の鈍化</v>
      </c>
      <c r="E126" s="4">
        <f t="shared" si="21"/>
        <v>1</v>
      </c>
      <c r="R126" s="12"/>
      <c r="S126" s="12"/>
    </row>
    <row r="127" spans="1:29" x14ac:dyDescent="0.15">
      <c r="A127" s="4">
        <v>4</v>
      </c>
      <c r="B127" s="26">
        <f t="shared" si="23"/>
        <v>29</v>
      </c>
      <c r="C127" s="4">
        <v>5</v>
      </c>
      <c r="D127" s="4" t="str">
        <f>INDEX(Sheet1!$B:$AQ,テスト!C127+2,テスト!B127)</f>
        <v>増力Slv</v>
      </c>
      <c r="E127" s="4">
        <f t="shared" si="21"/>
        <v>1</v>
      </c>
      <c r="Q127" s="12"/>
    </row>
    <row r="128" spans="1:29" x14ac:dyDescent="0.15">
      <c r="A128" s="4">
        <v>5</v>
      </c>
      <c r="B128" s="26">
        <v>35</v>
      </c>
      <c r="C128" s="4">
        <v>4</v>
      </c>
      <c r="D128" s="4" t="str">
        <f>INDEX(Sheet1!$B:$AQ,テスト!C128+2,テスト!B128)</f>
        <v>士気溢れる徴集兵</v>
      </c>
      <c r="E128" s="4">
        <f t="shared" si="21"/>
        <v>1</v>
      </c>
      <c r="Q128" s="12"/>
    </row>
    <row r="129" spans="1:29" x14ac:dyDescent="0.15">
      <c r="A129" s="4"/>
      <c r="D129" s="4">
        <v>9</v>
      </c>
      <c r="R129" s="12"/>
    </row>
    <row r="130" spans="1:29" x14ac:dyDescent="0.15">
      <c r="A130" s="4">
        <v>1</v>
      </c>
      <c r="B130" s="26">
        <v>4</v>
      </c>
      <c r="C130" s="4">
        <v>33</v>
      </c>
      <c r="D130" s="4" t="str">
        <f>INDEX(Sheet1!$B:$AQ,テスト!C130+2,テスト!B130)</f>
        <v>ｱｸﾛｽの兵長</v>
      </c>
    </row>
    <row r="131" spans="1:29" ht="14.25" thickBot="1" x14ac:dyDescent="0.2">
      <c r="A131" s="4">
        <v>1</v>
      </c>
      <c r="B131" s="26">
        <f>IF(B130&gt;9,1,B130+1)</f>
        <v>5</v>
      </c>
      <c r="C131" s="4">
        <v>5</v>
      </c>
      <c r="D131" s="4" t="str">
        <f>INDEX(Sheet1!$B:$AQ,テスト!C131+2,テスト!B131)</f>
        <v>甲鱗のﾜｰﾑ</v>
      </c>
    </row>
    <row r="132" spans="1:29" x14ac:dyDescent="0.15">
      <c r="A132" s="4">
        <v>1</v>
      </c>
      <c r="B132" s="26">
        <f t="shared" ref="B132:B134" si="24">IF(B131&gt;9,1,B131+1)</f>
        <v>6</v>
      </c>
      <c r="C132" s="4">
        <v>26</v>
      </c>
      <c r="D132" s="4" t="str">
        <f>INDEX(Sheet1!$B:$AQ,テスト!C132+2,テスト!B132)</f>
        <v>薄れ馬</v>
      </c>
      <c r="Q132" s="12"/>
      <c r="R132" s="12"/>
      <c r="S132" s="12"/>
      <c r="T132" s="56"/>
      <c r="U132" s="35"/>
      <c r="V132" s="35"/>
      <c r="W132" s="35"/>
      <c r="X132" s="35"/>
      <c r="Y132" s="35">
        <v>1</v>
      </c>
      <c r="Z132" s="35">
        <v>6</v>
      </c>
      <c r="AA132" s="35">
        <v>11</v>
      </c>
      <c r="AB132" s="36">
        <v>16</v>
      </c>
      <c r="AC132" s="4">
        <f>COUNTA(T132:AB136)</f>
        <v>17</v>
      </c>
    </row>
    <row r="133" spans="1:29" x14ac:dyDescent="0.15">
      <c r="A133" s="4">
        <v>1</v>
      </c>
      <c r="B133" s="26">
        <f t="shared" si="24"/>
        <v>7</v>
      </c>
      <c r="C133" s="4">
        <v>30</v>
      </c>
      <c r="D133" s="4" t="str">
        <f>INDEX(Sheet1!$B:$AQ,テスト!C133+2,テスト!B133)</f>
        <v>すがりつくｲｿｷﾞﾝﾁｬｸ</v>
      </c>
      <c r="R133" s="12"/>
      <c r="S133" s="12"/>
      <c r="T133" s="37"/>
      <c r="U133" s="12"/>
      <c r="V133" s="12"/>
      <c r="W133" s="12"/>
      <c r="X133" s="12"/>
      <c r="Y133" s="12">
        <v>2</v>
      </c>
      <c r="Z133" s="12">
        <v>7</v>
      </c>
      <c r="AA133" s="12">
        <v>12</v>
      </c>
      <c r="AB133" s="38">
        <v>17</v>
      </c>
      <c r="AC133" s="4"/>
    </row>
    <row r="134" spans="1:29" x14ac:dyDescent="0.15">
      <c r="A134" s="4">
        <v>1</v>
      </c>
      <c r="B134" s="26">
        <f t="shared" si="24"/>
        <v>8</v>
      </c>
      <c r="C134" s="4">
        <v>31</v>
      </c>
      <c r="D134" s="4" t="str">
        <f>INDEX(Sheet1!$B:$AQ,テスト!C134+2,テスト!B134)</f>
        <v>吐毒Slv</v>
      </c>
      <c r="Q134" s="12"/>
      <c r="R134" s="12"/>
      <c r="S134" s="12"/>
      <c r="T134" s="37"/>
      <c r="U134" s="12"/>
      <c r="V134" s="12"/>
      <c r="W134" s="12"/>
      <c r="X134" s="12"/>
      <c r="Y134" s="12">
        <v>3</v>
      </c>
      <c r="Z134" s="12">
        <v>8</v>
      </c>
      <c r="AA134" s="12">
        <v>13</v>
      </c>
      <c r="AB134" s="38"/>
      <c r="AC134" s="4"/>
    </row>
    <row r="135" spans="1:29" x14ac:dyDescent="0.15">
      <c r="A135" s="4">
        <v>2</v>
      </c>
      <c r="B135" s="26">
        <v>13</v>
      </c>
      <c r="C135" s="4">
        <v>26</v>
      </c>
      <c r="D135" s="4" t="str">
        <f>INDEX(Sheet1!$B:$AQ,テスト!C135+2,テスト!B135)</f>
        <v>剛力化</v>
      </c>
      <c r="J135" s="4"/>
      <c r="Q135" s="12"/>
      <c r="R135" s="12"/>
      <c r="S135" s="12"/>
      <c r="T135" s="37"/>
      <c r="U135" s="12"/>
      <c r="V135" s="12"/>
      <c r="W135" s="12"/>
      <c r="X135" s="12"/>
      <c r="Y135" s="12">
        <v>4</v>
      </c>
      <c r="Z135" s="11">
        <v>9</v>
      </c>
      <c r="AA135" s="11">
        <v>14</v>
      </c>
      <c r="AB135" s="38"/>
      <c r="AC135" s="4"/>
    </row>
    <row r="136" spans="1:29" ht="14.25" thickBot="1" x14ac:dyDescent="0.2">
      <c r="A136" s="4">
        <v>2</v>
      </c>
      <c r="B136" s="26">
        <f>IF(B135&gt;19,11,B135+1)</f>
        <v>14</v>
      </c>
      <c r="C136" s="4">
        <v>22</v>
      </c>
      <c r="D136" s="4" t="str">
        <f>INDEX(Sheet1!$B:$AQ,テスト!C136+2,テスト!B136)</f>
        <v>ヴｨｰｱｼｰﾉの初太刀</v>
      </c>
      <c r="Q136" s="12"/>
      <c r="S136" s="12"/>
      <c r="T136" s="39"/>
      <c r="U136" s="40"/>
      <c r="V136" s="40"/>
      <c r="W136" s="40"/>
      <c r="X136" s="40"/>
      <c r="Y136" s="40">
        <v>5</v>
      </c>
      <c r="Z136" s="40">
        <v>10</v>
      </c>
      <c r="AA136" s="40">
        <v>15</v>
      </c>
      <c r="AB136" s="41"/>
      <c r="AC136" s="4"/>
    </row>
    <row r="137" spans="1:29" x14ac:dyDescent="0.15">
      <c r="A137" s="4">
        <v>2</v>
      </c>
      <c r="B137" s="26">
        <f>IF(B136&gt;19,11,B136+1)</f>
        <v>15</v>
      </c>
      <c r="C137" s="4">
        <v>21</v>
      </c>
      <c r="D137" s="4" t="str">
        <f>INDEX(Sheet1!$B:$AQ,テスト!C137+2,テスト!B137)</f>
        <v>構造のひずみ</v>
      </c>
      <c r="S137" s="12"/>
    </row>
    <row r="138" spans="1:29" x14ac:dyDescent="0.15">
      <c r="A138" s="4">
        <v>2</v>
      </c>
      <c r="B138" s="26">
        <f>IF(B137&gt;19,11,B137+1)</f>
        <v>16</v>
      </c>
      <c r="C138" s="4">
        <v>5</v>
      </c>
      <c r="D138" s="4" t="str">
        <f>INDEX(Sheet1!$B:$AQ,テスト!C138+2,テスト!B138)</f>
        <v>酷評</v>
      </c>
      <c r="R138" s="12"/>
    </row>
    <row r="139" spans="1:29" x14ac:dyDescent="0.15">
      <c r="A139" s="4">
        <v>3</v>
      </c>
      <c r="B139" s="26">
        <v>21</v>
      </c>
      <c r="C139" s="4">
        <v>7</v>
      </c>
      <c r="D139" s="4" t="str">
        <f>INDEX(Sheet1!$B:$AQ,テスト!C139+2,テスト!B139)</f>
        <v>ｳﾙ=ｺﾞｰﾚﾑの目</v>
      </c>
      <c r="N139" s="4"/>
      <c r="Q139" s="12"/>
    </row>
    <row r="140" spans="1:29" x14ac:dyDescent="0.15">
      <c r="A140" s="4">
        <v>3</v>
      </c>
      <c r="B140" s="26">
        <v>22</v>
      </c>
      <c r="C140" s="4">
        <v>4</v>
      </c>
      <c r="D140" s="4" t="str">
        <f>INDEX(Sheet1!$B:$AQ,テスト!C140+2,テスト!B140)</f>
        <v>RWL</v>
      </c>
      <c r="N140" s="4"/>
      <c r="Q140" s="12"/>
      <c r="R140" s="12"/>
    </row>
    <row r="141" spans="1:29" x14ac:dyDescent="0.15">
      <c r="A141" s="4">
        <v>4</v>
      </c>
      <c r="B141" s="26">
        <v>31</v>
      </c>
      <c r="C141" s="4">
        <v>25</v>
      </c>
      <c r="D141" s="4" t="str">
        <f>INDEX(Sheet1!$B:$AQ,テスト!C141+2,テスト!B141)</f>
        <v>好戦的な雛</v>
      </c>
      <c r="N141" s="4"/>
      <c r="Q141" s="12"/>
      <c r="S141" s="12"/>
    </row>
    <row r="142" spans="1:29" x14ac:dyDescent="0.15">
      <c r="A142" s="4">
        <v>4</v>
      </c>
      <c r="B142" s="26">
        <f t="shared" ref="B142:B143" si="25">IF(B141&gt;31,23,B141+1)</f>
        <v>32</v>
      </c>
      <c r="C142" s="4">
        <v>13</v>
      </c>
      <c r="D142" s="4" t="str">
        <f>INDEX(Sheet1!$B:$AQ,テスト!C142+2,テスト!B142)</f>
        <v>嵐血の狂戦士</v>
      </c>
    </row>
    <row r="143" spans="1:29" x14ac:dyDescent="0.15">
      <c r="A143" s="4">
        <v>4</v>
      </c>
      <c r="B143" s="26">
        <f t="shared" si="25"/>
        <v>23</v>
      </c>
      <c r="C143" s="4">
        <v>25</v>
      </c>
      <c r="D143" s="4" t="str">
        <f>INDEX(Sheet1!$B:$AQ,テスト!C143+2,テスト!B143)</f>
        <v>大食の雛</v>
      </c>
    </row>
    <row r="144" spans="1:29" x14ac:dyDescent="0.15">
      <c r="A144" s="4">
        <v>5</v>
      </c>
      <c r="B144" s="26">
        <v>39</v>
      </c>
      <c r="C144" s="4">
        <v>11</v>
      </c>
      <c r="D144" s="4" t="str">
        <f>INDEX(Sheet1!$B:$AQ,テスト!C144+2,テスト!B144)</f>
        <v>心霊Slv</v>
      </c>
    </row>
    <row r="145" spans="1:29" x14ac:dyDescent="0.15">
      <c r="A145" s="4"/>
      <c r="D145" s="4">
        <v>10</v>
      </c>
      <c r="L145" s="4"/>
      <c r="N145" s="4"/>
      <c r="O145" s="4"/>
      <c r="R145" s="12"/>
    </row>
    <row r="146" spans="1:29" x14ac:dyDescent="0.15">
      <c r="A146" s="4">
        <v>1</v>
      </c>
      <c r="B146" s="26">
        <v>6</v>
      </c>
      <c r="C146" s="4">
        <v>27</v>
      </c>
      <c r="D146" s="4" t="str">
        <f>INDEX(Sheet1!$B:$AQ,テスト!C146+2,テスト!B146)</f>
        <v>三つぞろいの霊魂</v>
      </c>
      <c r="M146" s="4"/>
      <c r="N146" s="4"/>
      <c r="O146" s="4"/>
      <c r="S146" s="12"/>
    </row>
    <row r="147" spans="1:29" x14ac:dyDescent="0.15">
      <c r="A147" s="4">
        <v>1</v>
      </c>
      <c r="B147" s="26">
        <f>IF(B146&gt;9,1,B146+1)</f>
        <v>7</v>
      </c>
      <c r="C147" s="4">
        <v>32</v>
      </c>
      <c r="D147" s="4" t="str">
        <f>INDEX(Sheet1!$B:$AQ,テスト!C147+2,テスト!B147)</f>
        <v>ﾏｰﾌｫｰｸの物あさり</v>
      </c>
      <c r="O147" s="4"/>
    </row>
    <row r="148" spans="1:29" ht="14.25" thickBot="1" x14ac:dyDescent="0.2">
      <c r="A148" s="4">
        <v>1</v>
      </c>
      <c r="B148" s="26">
        <f t="shared" ref="B148:B150" si="26">IF(B147&gt;9,1,B147+1)</f>
        <v>8</v>
      </c>
      <c r="C148" s="4">
        <v>29</v>
      </c>
      <c r="D148" s="4" t="str">
        <f>INDEX(Sheet1!$B:$AQ,テスト!C148+2,テスト!B148)</f>
        <v>疫病のとげ刺し</v>
      </c>
      <c r="J148" s="4"/>
    </row>
    <row r="149" spans="1:29" x14ac:dyDescent="0.15">
      <c r="A149" s="4">
        <v>1</v>
      </c>
      <c r="B149" s="26">
        <f t="shared" si="26"/>
        <v>9</v>
      </c>
      <c r="C149" s="4">
        <v>32</v>
      </c>
      <c r="D149" s="4" t="str">
        <f>INDEX(Sheet1!$B:$AQ,テスト!C149+2,テスト!B149)</f>
        <v>鉱夫の破滅</v>
      </c>
      <c r="J149" s="4"/>
      <c r="Q149" s="12"/>
      <c r="S149" s="12"/>
      <c r="T149" s="56"/>
      <c r="U149" s="35"/>
      <c r="V149" s="35"/>
      <c r="W149" s="35"/>
      <c r="X149" s="35"/>
      <c r="Y149" s="35">
        <v>1</v>
      </c>
      <c r="Z149" s="35">
        <v>6</v>
      </c>
      <c r="AA149" s="35">
        <v>11</v>
      </c>
      <c r="AB149" s="36">
        <v>16</v>
      </c>
      <c r="AC149" s="4">
        <f>COUNTA(T149:AB153)</f>
        <v>16</v>
      </c>
    </row>
    <row r="150" spans="1:29" x14ac:dyDescent="0.15">
      <c r="A150" s="4">
        <v>1</v>
      </c>
      <c r="B150" s="26">
        <f t="shared" si="26"/>
        <v>10</v>
      </c>
      <c r="C150" s="4">
        <v>9</v>
      </c>
      <c r="D150" s="4" t="str">
        <f>INDEX(Sheet1!$B:$AQ,テスト!C150+2,テスト!B150)</f>
        <v>彼方地のｴﾙﾌ</v>
      </c>
      <c r="J150" s="4"/>
      <c r="Q150" s="12"/>
      <c r="R150" s="12"/>
      <c r="S150" s="12"/>
      <c r="T150" s="37"/>
      <c r="U150" s="12"/>
      <c r="V150" s="12"/>
      <c r="W150" s="12"/>
      <c r="X150" s="12"/>
      <c r="Y150" s="12">
        <v>2</v>
      </c>
      <c r="Z150" s="12">
        <v>7</v>
      </c>
      <c r="AA150" s="12">
        <v>12</v>
      </c>
      <c r="AB150" s="38"/>
      <c r="AC150" s="4"/>
    </row>
    <row r="151" spans="1:29" x14ac:dyDescent="0.15">
      <c r="A151" s="4">
        <v>2</v>
      </c>
      <c r="B151" s="26">
        <v>12</v>
      </c>
      <c r="C151" s="4">
        <v>23</v>
      </c>
      <c r="D151" s="4" t="str">
        <f>INDEX(Sheet1!$B:$AQ,テスト!C151+2,テスト!B151)</f>
        <v>本質の反発</v>
      </c>
      <c r="Q151" s="12"/>
      <c r="R151" s="12"/>
      <c r="T151" s="37"/>
      <c r="U151" s="12"/>
      <c r="V151" s="12"/>
      <c r="W151" s="12"/>
      <c r="X151" s="12"/>
      <c r="Y151" s="12">
        <v>3</v>
      </c>
      <c r="Z151" s="12">
        <v>8</v>
      </c>
      <c r="AA151" s="12">
        <v>13</v>
      </c>
      <c r="AB151" s="38"/>
      <c r="AC151" s="4"/>
    </row>
    <row r="152" spans="1:29" x14ac:dyDescent="0.15">
      <c r="A152" s="4">
        <v>2</v>
      </c>
      <c r="B152" s="26">
        <f>IF(B151&gt;19,11,B151+1)</f>
        <v>13</v>
      </c>
      <c r="C152" s="4">
        <v>23</v>
      </c>
      <c r="D152" s="4" t="str">
        <f>INDEX(Sheet1!$B:$AQ,テスト!C152+2,テスト!B152)</f>
        <v>冒涜するﾊｯｸﾞ</v>
      </c>
      <c r="Q152" s="12"/>
      <c r="R152" s="12"/>
      <c r="S152" s="12"/>
      <c r="T152" s="37"/>
      <c r="U152" s="12"/>
      <c r="V152" s="12"/>
      <c r="W152" s="12"/>
      <c r="X152" s="12"/>
      <c r="Y152" s="12">
        <v>4</v>
      </c>
      <c r="Z152" s="11">
        <v>9</v>
      </c>
      <c r="AA152" s="11">
        <v>14</v>
      </c>
      <c r="AB152" s="38"/>
      <c r="AC152" s="4"/>
    </row>
    <row r="153" spans="1:29" ht="14.25" thickBot="1" x14ac:dyDescent="0.2">
      <c r="A153" s="4">
        <v>2</v>
      </c>
      <c r="B153" s="26">
        <f>IF(B152&gt;19,11,B152+1)</f>
        <v>14</v>
      </c>
      <c r="C153" s="4">
        <v>11</v>
      </c>
      <c r="D153" s="4" t="str">
        <f>INDEX(Sheet1!$B:$AQ,テスト!C153+2,テスト!B153)</f>
        <v>貴神の神罰</v>
      </c>
      <c r="N153" s="4"/>
      <c r="Q153" s="12"/>
      <c r="T153" s="39"/>
      <c r="U153" s="40"/>
      <c r="V153" s="40"/>
      <c r="W153" s="40"/>
      <c r="X153" s="40"/>
      <c r="Y153" s="40">
        <v>5</v>
      </c>
      <c r="Z153" s="40">
        <v>10</v>
      </c>
      <c r="AA153" s="40">
        <v>15</v>
      </c>
      <c r="AB153" s="41"/>
      <c r="AC153" s="4"/>
    </row>
    <row r="154" spans="1:29" x14ac:dyDescent="0.15">
      <c r="A154" s="4">
        <v>2</v>
      </c>
      <c r="B154" s="26">
        <f>IF(B153&gt;19,11,B153+1)</f>
        <v>15</v>
      </c>
      <c r="C154" s="4">
        <v>10</v>
      </c>
      <c r="D154" s="4" t="str">
        <f>INDEX(Sheet1!$B:$AQ,テスト!C154+2,テスト!B154)</f>
        <v>罠顎のｹﾙﾋﾟｰ</v>
      </c>
      <c r="N154" s="4"/>
      <c r="R154" s="12"/>
      <c r="S154" s="12"/>
    </row>
    <row r="155" spans="1:29" x14ac:dyDescent="0.15">
      <c r="A155" s="4">
        <v>3</v>
      </c>
      <c r="B155" s="26">
        <v>21</v>
      </c>
      <c r="C155" s="4">
        <v>35</v>
      </c>
      <c r="D155" s="4" t="str">
        <f>INDEX(Sheet1!$B:$AQ,テスト!C155+2,テスト!B155)</f>
        <v>ｺﾞﾙｶﾞﾘの導き石</v>
      </c>
      <c r="R155" s="12"/>
      <c r="S155" s="12"/>
    </row>
    <row r="156" spans="1:29" x14ac:dyDescent="0.15">
      <c r="A156" s="4">
        <v>3</v>
      </c>
      <c r="B156" s="26">
        <v>22</v>
      </c>
      <c r="C156" s="4">
        <v>26</v>
      </c>
      <c r="D156" s="4" t="str">
        <f>INDEX(Sheet1!$B:$AQ,テスト!C156+2,テスト!B156)</f>
        <v>憑依された沼墓</v>
      </c>
      <c r="S156" s="12"/>
    </row>
    <row r="157" spans="1:29" x14ac:dyDescent="0.15">
      <c r="A157" s="4">
        <v>4</v>
      </c>
      <c r="B157" s="26">
        <v>25</v>
      </c>
      <c r="C157" s="4">
        <v>25</v>
      </c>
      <c r="D157" s="4" t="str">
        <f>INDEX(Sheet1!$B:$AQ,テスト!C157+2,テスト!B157)</f>
        <v>有毒の雛</v>
      </c>
      <c r="Q157" s="12"/>
    </row>
    <row r="158" spans="1:29" ht="14.25" thickBot="1" x14ac:dyDescent="0.2">
      <c r="A158" s="4">
        <v>4</v>
      </c>
      <c r="B158" s="26">
        <f t="shared" ref="B158:B159" si="27">IF(B157&gt;31,23,B157+1)</f>
        <v>26</v>
      </c>
      <c r="C158" s="4">
        <v>21</v>
      </c>
      <c r="D158" s="4" t="str">
        <f>INDEX(Sheet1!$B:$AQ,テスト!C158+2,テスト!B158)</f>
        <v>忌まわしい笑い</v>
      </c>
      <c r="N158" s="4"/>
      <c r="R158" s="12"/>
      <c r="S158" s="12"/>
      <c r="T158" s="40"/>
    </row>
    <row r="159" spans="1:29" x14ac:dyDescent="0.15">
      <c r="A159" s="4">
        <v>4</v>
      </c>
      <c r="B159" s="26">
        <f t="shared" si="27"/>
        <v>27</v>
      </c>
      <c r="C159" s="4">
        <v>4</v>
      </c>
      <c r="D159" s="4" t="str">
        <f>INDEX(Sheet1!$B:$AQ,テスト!C159+2,テスト!B159)</f>
        <v>手綱取り</v>
      </c>
      <c r="N159" s="4"/>
    </row>
    <row r="160" spans="1:29" x14ac:dyDescent="0.15">
      <c r="A160" s="4">
        <v>5</v>
      </c>
      <c r="B160" s="26">
        <v>34</v>
      </c>
      <c r="C160" s="4">
        <v>9</v>
      </c>
      <c r="D160" s="4" t="str">
        <f>INDEX(Sheet1!$B:$AQ,テスト!C160+2,テスト!B160)</f>
        <v>ﾌｧﾙｹﾝﾗｽの貴種</v>
      </c>
      <c r="N160" s="4"/>
    </row>
    <row r="161" spans="1:19" x14ac:dyDescent="0.15">
      <c r="A161" s="4"/>
      <c r="D161" s="4">
        <v>11</v>
      </c>
      <c r="N161" s="4"/>
    </row>
    <row r="162" spans="1:19" x14ac:dyDescent="0.15">
      <c r="A162" s="4">
        <v>1</v>
      </c>
      <c r="B162" s="26">
        <v>6</v>
      </c>
      <c r="C162" s="4">
        <v>33</v>
      </c>
      <c r="D162" s="4" t="str">
        <f>INDEX(Sheet1!$B:$AQ,テスト!C162+2,テスト!B162)</f>
        <v>筋力Slv</v>
      </c>
      <c r="N162" s="4"/>
    </row>
    <row r="163" spans="1:19" x14ac:dyDescent="0.15">
      <c r="A163" s="4">
        <v>1</v>
      </c>
      <c r="B163" s="26">
        <f>IF(B162&gt;9,1,B162+1)</f>
        <v>7</v>
      </c>
      <c r="C163" s="4">
        <v>19</v>
      </c>
      <c r="D163" s="4" t="str">
        <f>INDEX(Sheet1!$B:$AQ,テスト!C163+2,テスト!B163)</f>
        <v>氷河の壊し屋</v>
      </c>
      <c r="S163" s="12"/>
    </row>
    <row r="164" spans="1:19" x14ac:dyDescent="0.15">
      <c r="A164" s="4">
        <v>1</v>
      </c>
      <c r="B164" s="26">
        <f t="shared" ref="B164:B166" si="28">IF(B163&gt;9,1,B163+1)</f>
        <v>8</v>
      </c>
      <c r="C164" s="4">
        <v>13</v>
      </c>
      <c r="D164" s="4" t="str">
        <f>INDEX(Sheet1!$B:$AQ,テスト!C164+2,テスト!B164)</f>
        <v>死の重み</v>
      </c>
    </row>
    <row r="165" spans="1:19" x14ac:dyDescent="0.15">
      <c r="A165" s="4">
        <v>1</v>
      </c>
      <c r="B165" s="26">
        <f t="shared" si="28"/>
        <v>9</v>
      </c>
      <c r="C165" s="4">
        <v>19</v>
      </c>
      <c r="D165" s="4" t="str">
        <f>INDEX(Sheet1!$B:$AQ,テスト!C165+2,テスト!B165)</f>
        <v>ｱｸﾛｽの兵長</v>
      </c>
    </row>
    <row r="166" spans="1:19" x14ac:dyDescent="0.15">
      <c r="A166" s="4">
        <v>1</v>
      </c>
      <c r="B166" s="26">
        <f t="shared" si="28"/>
        <v>10</v>
      </c>
      <c r="C166" s="4">
        <v>29</v>
      </c>
      <c r="D166" s="4" t="str">
        <f>INDEX(Sheet1!$B:$AQ,テスト!C166+2,テスト!B166)</f>
        <v>荒廃のﾏﾝﾊﾞ</v>
      </c>
    </row>
    <row r="167" spans="1:19" x14ac:dyDescent="0.15">
      <c r="A167" s="4">
        <v>2</v>
      </c>
      <c r="B167" s="26">
        <v>13</v>
      </c>
      <c r="C167" s="4">
        <v>18</v>
      </c>
      <c r="D167" s="4" t="str">
        <f>INDEX(Sheet1!$B:$AQ,テスト!C167+2,テスト!B167)</f>
        <v>よろめく殻</v>
      </c>
    </row>
    <row r="168" spans="1:19" x14ac:dyDescent="0.15">
      <c r="A168" s="4">
        <v>2</v>
      </c>
      <c r="B168" s="26">
        <f>IF(B167&gt;19,11,B167+1)</f>
        <v>14</v>
      </c>
      <c r="C168" s="4">
        <v>14</v>
      </c>
      <c r="D168" s="4" t="str">
        <f>INDEX(Sheet1!$B:$AQ,テスト!C168+2,テスト!B168)</f>
        <v>天羅至の叫び</v>
      </c>
    </row>
    <row r="169" spans="1:19" x14ac:dyDescent="0.15">
      <c r="A169" s="4">
        <v>2</v>
      </c>
      <c r="B169" s="26">
        <f>IF(B168&gt;19,11,B168+1)</f>
        <v>15</v>
      </c>
      <c r="C169" s="4">
        <v>8</v>
      </c>
      <c r="D169" s="4" t="str">
        <f>INDEX(Sheet1!$B:$AQ,テスト!C169+2,テスト!B169)</f>
        <v>目的のための燃料</v>
      </c>
    </row>
    <row r="170" spans="1:19" x14ac:dyDescent="0.15">
      <c r="A170" s="4">
        <v>2</v>
      </c>
      <c r="B170" s="26">
        <f>IF(B169&gt;19,11,B169+1)</f>
        <v>16</v>
      </c>
      <c r="C170" s="4">
        <v>21</v>
      </c>
      <c r="D170" s="4" t="str">
        <f>INDEX(Sheet1!$B:$AQ,テスト!C170+2,テスト!B170)</f>
        <v>帰化</v>
      </c>
    </row>
    <row r="171" spans="1:19" x14ac:dyDescent="0.15">
      <c r="A171" s="4">
        <v>3</v>
      </c>
      <c r="B171" s="26">
        <v>21</v>
      </c>
      <c r="C171" s="4">
        <v>20</v>
      </c>
      <c r="D171" s="4" t="str">
        <f>INDEX(Sheet1!$B:$AQ,テスト!C171+2,テスト!B171)</f>
        <v>ﾎﾞﾛｽの導き石</v>
      </c>
    </row>
    <row r="172" spans="1:19" x14ac:dyDescent="0.15">
      <c r="A172" s="4">
        <v>3</v>
      </c>
      <c r="B172" s="26">
        <v>22</v>
      </c>
      <c r="C172" s="4">
        <v>34</v>
      </c>
      <c r="D172" s="4" t="str">
        <f>INDEX(Sheet1!$B:$AQ,テスト!C172+2,テスト!B172)</f>
        <v>WBL</v>
      </c>
    </row>
    <row r="173" spans="1:19" x14ac:dyDescent="0.15">
      <c r="A173" s="4">
        <v>4</v>
      </c>
      <c r="B173" s="26">
        <v>24</v>
      </c>
      <c r="C173" s="4">
        <v>35</v>
      </c>
      <c r="D173" s="4" t="str">
        <f>INDEX(Sheet1!$B:$AQ,テスト!C173+2,テスト!B173)</f>
        <v>利得+損失</v>
      </c>
    </row>
    <row r="174" spans="1:19" x14ac:dyDescent="0.15">
      <c r="A174" s="4">
        <v>4</v>
      </c>
      <c r="B174" s="26">
        <f t="shared" ref="B174:B175" si="29">IF(B173&gt;31,23,B173+1)</f>
        <v>25</v>
      </c>
      <c r="C174" s="4">
        <v>20</v>
      </c>
      <c r="D174" s="4" t="str">
        <f>INDEX(Sheet1!$B:$AQ,テスト!C174+2,テスト!B174)</f>
        <v>拭い捨て</v>
      </c>
    </row>
    <row r="175" spans="1:19" x14ac:dyDescent="0.15">
      <c r="A175" s="4">
        <v>4</v>
      </c>
      <c r="B175" s="26">
        <f t="shared" si="29"/>
        <v>26</v>
      </c>
      <c r="C175" s="4">
        <v>35</v>
      </c>
      <c r="D175" s="4" t="str">
        <f>INDEX(Sheet1!$B:$AQ,テスト!C175+2,テスト!B175)</f>
        <v>変化+点火</v>
      </c>
    </row>
    <row r="176" spans="1:19" x14ac:dyDescent="0.15">
      <c r="A176" s="4">
        <v>5</v>
      </c>
      <c r="B176" s="26">
        <v>35</v>
      </c>
      <c r="C176" s="4">
        <v>14</v>
      </c>
      <c r="D176" s="4" t="str">
        <f>INDEX(Sheet1!$B:$AQ,テスト!C176+2,テスト!B176)</f>
        <v>硬化した鱗</v>
      </c>
    </row>
    <row r="177" spans="1:4" x14ac:dyDescent="0.15">
      <c r="A177" s="4"/>
      <c r="D177" s="4">
        <v>12</v>
      </c>
    </row>
    <row r="178" spans="1:4" x14ac:dyDescent="0.15">
      <c r="A178" s="4">
        <v>1</v>
      </c>
      <c r="B178" s="26">
        <v>7</v>
      </c>
      <c r="C178" s="4">
        <v>35</v>
      </c>
      <c r="D178" s="4" t="str">
        <f>INDEX(Sheet1!$B:$AQ,テスト!C178+2,テスト!B178)</f>
        <v>閉所恐怖症</v>
      </c>
    </row>
    <row r="179" spans="1:4" x14ac:dyDescent="0.15">
      <c r="A179" s="4">
        <v>1</v>
      </c>
      <c r="B179" s="26">
        <f>IF(B178&gt;9,1,B178+1)</f>
        <v>8</v>
      </c>
      <c r="C179" s="4">
        <v>21</v>
      </c>
      <c r="D179" s="4" t="str">
        <f>INDEX(Sheet1!$B:$AQ,テスト!C179+2,テスト!B179)</f>
        <v>闇への追放</v>
      </c>
    </row>
    <row r="180" spans="1:4" x14ac:dyDescent="0.15">
      <c r="A180" s="4">
        <v>1</v>
      </c>
      <c r="B180" s="26">
        <f t="shared" ref="B180:B182" si="30">IF(B179&gt;9,1,B179+1)</f>
        <v>9</v>
      </c>
      <c r="C180" s="4">
        <v>5</v>
      </c>
      <c r="D180" s="4" t="str">
        <f>INDEX(Sheet1!$B:$AQ,テスト!C180+2,テスト!B180)</f>
        <v>ｱｸﾛｽの兵長</v>
      </c>
    </row>
    <row r="181" spans="1:4" x14ac:dyDescent="0.15">
      <c r="A181" s="4">
        <v>1</v>
      </c>
      <c r="B181" s="26">
        <f t="shared" si="30"/>
        <v>10</v>
      </c>
      <c r="C181" s="4">
        <v>21</v>
      </c>
      <c r="D181" s="4" t="str">
        <f>INDEX(Sheet1!$B:$AQ,テスト!C181+2,テスト!B181)</f>
        <v>不屈の自然</v>
      </c>
    </row>
    <row r="182" spans="1:4" x14ac:dyDescent="0.15">
      <c r="A182" s="4">
        <v>1</v>
      </c>
      <c r="B182" s="26">
        <f t="shared" si="30"/>
        <v>1</v>
      </c>
      <c r="C182" s="4">
        <v>13</v>
      </c>
      <c r="D182" s="4" t="str">
        <f>INDEX(Sheet1!$B:$AQ,テスト!C182+2,テスト!B182)</f>
        <v>二人戦術</v>
      </c>
    </row>
    <row r="183" spans="1:4" x14ac:dyDescent="0.15">
      <c r="A183" s="4">
        <v>2</v>
      </c>
      <c r="B183" s="26">
        <v>12</v>
      </c>
      <c r="C183" s="4">
        <v>7</v>
      </c>
      <c r="D183" s="4" t="str">
        <f>INDEX(Sheet1!$B:$AQ,テスト!C183+2,テスト!B183)</f>
        <v>陰影Slv</v>
      </c>
    </row>
    <row r="184" spans="1:4" x14ac:dyDescent="0.15">
      <c r="A184" s="4">
        <v>2</v>
      </c>
      <c r="B184" s="26">
        <f>IF(B183&gt;19,11,B183+1)</f>
        <v>13</v>
      </c>
      <c r="C184" s="4">
        <v>3</v>
      </c>
      <c r="D184" s="4" t="str">
        <f>INDEX(Sheet1!$B:$AQ,テスト!C184+2,テスト!B184)</f>
        <v>輝く光波</v>
      </c>
    </row>
    <row r="185" spans="1:4" x14ac:dyDescent="0.15">
      <c r="A185" s="4">
        <v>2</v>
      </c>
      <c r="B185" s="26">
        <f>IF(B184&gt;19,11,B184+1)</f>
        <v>14</v>
      </c>
      <c r="C185" s="4">
        <v>30</v>
      </c>
      <c r="D185" s="4" t="str">
        <f>INDEX(Sheet1!$B:$AQ,テスト!C185+2,テスト!B185)</f>
        <v>戦乱の閃光</v>
      </c>
    </row>
    <row r="186" spans="1:4" x14ac:dyDescent="0.15">
      <c r="A186" s="4">
        <v>2</v>
      </c>
      <c r="B186" s="26">
        <f>IF(B185&gt;19,11,B185+1)</f>
        <v>15</v>
      </c>
      <c r="C186" s="4">
        <v>24</v>
      </c>
      <c r="D186" s="4" t="str">
        <f>INDEX(Sheet1!$B:$AQ,テスト!C186+2,テスト!B186)</f>
        <v>超者の意向</v>
      </c>
    </row>
    <row r="187" spans="1:4" x14ac:dyDescent="0.15">
      <c r="A187" s="4">
        <v>3</v>
      </c>
      <c r="B187" s="26">
        <v>21</v>
      </c>
      <c r="C187" s="4">
        <v>4</v>
      </c>
      <c r="D187" s="4" t="str">
        <f>INDEX(Sheet1!$B:$AQ,テスト!C187+2,テスト!B187)</f>
        <v>ﾎﾞﾛｽの導き石</v>
      </c>
    </row>
    <row r="188" spans="1:4" x14ac:dyDescent="0.15">
      <c r="A188" s="4">
        <v>3</v>
      </c>
      <c r="B188" s="26">
        <v>22</v>
      </c>
      <c r="C188" s="4">
        <v>52</v>
      </c>
      <c r="D188" s="4" t="str">
        <f>INDEX(Sheet1!$B:$AQ,テスト!C188+2,テスト!B188)</f>
        <v>GUL</v>
      </c>
    </row>
    <row r="189" spans="1:4" x14ac:dyDescent="0.15">
      <c r="A189" s="4">
        <v>4</v>
      </c>
      <c r="B189" s="26">
        <v>23</v>
      </c>
      <c r="C189" s="4">
        <v>29</v>
      </c>
      <c r="D189" s="4" t="str">
        <f>INDEX(Sheet1!$B:$AQ,テスト!C189+2,テスト!B189)</f>
        <v>念動Slv</v>
      </c>
    </row>
    <row r="190" spans="1:4" x14ac:dyDescent="0.15">
      <c r="A190" s="4">
        <v>4</v>
      </c>
      <c r="B190" s="26">
        <f t="shared" ref="B190:B191" si="31">IF(B189&gt;31,23,B189+1)</f>
        <v>24</v>
      </c>
      <c r="C190" s="4">
        <v>19</v>
      </c>
      <c r="D190" s="4" t="str">
        <f>INDEX(Sheet1!$B:$AQ,テスト!C190+2,テスト!B190)</f>
        <v>宮殿の野の神</v>
      </c>
    </row>
    <row r="191" spans="1:4" x14ac:dyDescent="0.15">
      <c r="A191" s="4">
        <v>4</v>
      </c>
      <c r="B191" s="26">
        <f t="shared" si="31"/>
        <v>25</v>
      </c>
      <c r="C191" s="4">
        <v>22</v>
      </c>
      <c r="D191" s="4" t="str">
        <f>INDEX(Sheet1!$B:$AQ,テスト!C191+2,テスト!B191)</f>
        <v>憤怒Slv</v>
      </c>
    </row>
    <row r="192" spans="1:4" x14ac:dyDescent="0.15">
      <c r="A192" s="4">
        <v>5</v>
      </c>
      <c r="B192" s="26">
        <v>38</v>
      </c>
      <c r="C192" s="4">
        <v>8</v>
      </c>
      <c r="D192" s="4" t="str">
        <f>INDEX(Sheet1!$B:$AQ,テスト!C192+2,テスト!B192)</f>
        <v>黄金たてがみのｱｼﾞｬﾆ</v>
      </c>
    </row>
    <row r="193" spans="1:4" x14ac:dyDescent="0.15">
      <c r="A193" s="4"/>
      <c r="D193" s="4">
        <v>13</v>
      </c>
    </row>
    <row r="194" spans="1:4" x14ac:dyDescent="0.15">
      <c r="A194" s="4">
        <v>1</v>
      </c>
      <c r="B194" s="26">
        <v>10</v>
      </c>
      <c r="C194" s="4">
        <v>33</v>
      </c>
      <c r="D194" s="4" t="str">
        <f>INDEX(Sheet1!$B:$AQ,テスト!C194+2,テスト!B194)</f>
        <v>甲鱗のﾜｰﾑ</v>
      </c>
    </row>
    <row r="195" spans="1:4" x14ac:dyDescent="0.15">
      <c r="A195" s="4">
        <v>1</v>
      </c>
      <c r="B195" s="26">
        <f>IF(B194&gt;9,1,B194+1)</f>
        <v>1</v>
      </c>
      <c r="C195" s="4">
        <v>30</v>
      </c>
      <c r="D195" s="4" t="str">
        <f>INDEX(Sheet1!$B:$AQ,テスト!C195+2,テスト!B195)</f>
        <v>月明かりの徘徊者</v>
      </c>
    </row>
    <row r="196" spans="1:4" x14ac:dyDescent="0.15">
      <c r="A196" s="4">
        <v>1</v>
      </c>
      <c r="B196" s="26">
        <f t="shared" ref="B196:B198" si="32">IF(B195&gt;9,1,B195+1)</f>
        <v>2</v>
      </c>
      <c r="C196" s="4">
        <v>32</v>
      </c>
      <c r="D196" s="4" t="str">
        <f>INDEX(Sheet1!$B:$AQ,テスト!C196+2,テスト!B196)</f>
        <v>同期Slv</v>
      </c>
    </row>
    <row r="197" spans="1:4" x14ac:dyDescent="0.15">
      <c r="A197" s="4">
        <v>1</v>
      </c>
      <c r="B197" s="26">
        <f t="shared" si="32"/>
        <v>3</v>
      </c>
      <c r="C197" s="4">
        <v>34</v>
      </c>
      <c r="D197" s="4" t="str">
        <f>INDEX(Sheet1!$B:$AQ,テスト!C197+2,テスト!B197)</f>
        <v>死の重み</v>
      </c>
    </row>
    <row r="198" spans="1:4" x14ac:dyDescent="0.15">
      <c r="A198" s="4">
        <v>1</v>
      </c>
      <c r="B198" s="26">
        <f t="shared" si="32"/>
        <v>4</v>
      </c>
      <c r="C198" s="4">
        <v>18</v>
      </c>
      <c r="D198" s="4" t="str">
        <f>INDEX(Sheet1!$B:$AQ,テスト!C198+2,テスト!B198)</f>
        <v>鉱夫の破滅</v>
      </c>
    </row>
    <row r="199" spans="1:4" x14ac:dyDescent="0.15">
      <c r="A199" s="4">
        <v>2</v>
      </c>
      <c r="B199" s="26">
        <v>20</v>
      </c>
      <c r="C199" s="4">
        <v>6</v>
      </c>
      <c r="D199" s="4" t="str">
        <f>INDEX(Sheet1!$B:$AQ,テスト!C199+2,テスト!B199)</f>
        <v>天上の待ち伏せ</v>
      </c>
    </row>
    <row r="200" spans="1:4" x14ac:dyDescent="0.15">
      <c r="A200" s="4">
        <v>2</v>
      </c>
      <c r="B200" s="26">
        <f>IF(B199&gt;19,11,B199+1)</f>
        <v>11</v>
      </c>
      <c r="C200" s="4">
        <v>12</v>
      </c>
      <c r="D200" s="4" t="str">
        <f>INDEX(Sheet1!$B:$AQ,テスト!C200+2,テスト!B200)</f>
        <v>哀悼のｽﾗﾙ</v>
      </c>
    </row>
    <row r="201" spans="1:4" x14ac:dyDescent="0.15">
      <c r="A201" s="4">
        <v>2</v>
      </c>
      <c r="B201" s="26">
        <f>IF(B200&gt;19,11,B200+1)</f>
        <v>12</v>
      </c>
      <c r="C201" s="4">
        <v>29</v>
      </c>
      <c r="D201" s="4" t="str">
        <f>INDEX(Sheet1!$B:$AQ,テスト!C201+2,テスト!B201)</f>
        <v>ｺﾞﾌﾞﾘﾝの電術師</v>
      </c>
    </row>
    <row r="202" spans="1:4" x14ac:dyDescent="0.15">
      <c r="A202" s="4">
        <v>2</v>
      </c>
      <c r="B202" s="26">
        <f>IF(B201&gt;19,11,B201+1)</f>
        <v>13</v>
      </c>
      <c r="C202" s="4">
        <v>22</v>
      </c>
      <c r="D202" s="4" t="str">
        <f>INDEX(Sheet1!$B:$AQ,テスト!C202+2,テスト!B202)</f>
        <v>神性の贈り物</v>
      </c>
    </row>
    <row r="203" spans="1:4" x14ac:dyDescent="0.15">
      <c r="A203" s="4">
        <v>3</v>
      </c>
      <c r="B203" s="26">
        <v>21</v>
      </c>
      <c r="C203" s="4">
        <v>28</v>
      </c>
      <c r="D203" s="4" t="str">
        <f>INDEX(Sheet1!$B:$AQ,テスト!C203+2,テスト!B203)</f>
        <v>ﾎﾞﾛｽの導き石</v>
      </c>
    </row>
    <row r="204" spans="1:4" x14ac:dyDescent="0.15">
      <c r="A204" s="4">
        <v>3</v>
      </c>
      <c r="B204" s="26">
        <v>22</v>
      </c>
      <c r="C204" s="4">
        <v>25</v>
      </c>
      <c r="D204" s="4" t="str">
        <f>INDEX(Sheet1!$B:$AQ,テスト!C204+2,テスト!B204)</f>
        <v>流砂</v>
      </c>
    </row>
    <row r="205" spans="1:4" x14ac:dyDescent="0.15">
      <c r="A205" s="4">
        <v>4</v>
      </c>
      <c r="B205" s="26">
        <v>23</v>
      </c>
      <c r="C205" s="4">
        <v>22</v>
      </c>
      <c r="D205" s="4" t="str">
        <f>INDEX(Sheet1!$B:$AQ,テスト!C205+2,テスト!B205)</f>
        <v>残忍な稲妻</v>
      </c>
    </row>
    <row r="206" spans="1:4" x14ac:dyDescent="0.15">
      <c r="A206" s="4">
        <v>4</v>
      </c>
      <c r="B206" s="26">
        <f t="shared" ref="B206:B207" si="33">IF(B205&gt;31,23,B205+1)</f>
        <v>24</v>
      </c>
      <c r="C206" s="4">
        <v>11</v>
      </c>
      <c r="D206" s="4" t="str">
        <f>INDEX(Sheet1!$B:$AQ,テスト!C206+2,テスト!B206)</f>
        <v>ｼﾙﾑｶﾞﾙの魔術師</v>
      </c>
    </row>
    <row r="207" spans="1:4" x14ac:dyDescent="0.15">
      <c r="A207" s="4">
        <v>4</v>
      </c>
      <c r="B207" s="26">
        <f t="shared" si="33"/>
        <v>25</v>
      </c>
      <c r="C207" s="4">
        <v>21</v>
      </c>
      <c r="D207" s="4" t="str">
        <f>INDEX(Sheet1!$B:$AQ,テスト!C207+2,テスト!B207)</f>
        <v>胆液の鼠</v>
      </c>
    </row>
    <row r="208" spans="1:4" x14ac:dyDescent="0.15">
      <c r="A208" s="4">
        <v>5</v>
      </c>
      <c r="B208" s="26">
        <v>35</v>
      </c>
      <c r="C208" s="4">
        <v>9</v>
      </c>
      <c r="D208" s="4" t="str">
        <f>INDEX(Sheet1!$B:$AQ,テスト!C208+2,テスト!B208)</f>
        <v>ﾐﾗｰﾘの目覚め</v>
      </c>
    </row>
    <row r="209" spans="1:4" x14ac:dyDescent="0.15">
      <c r="A209" s="4"/>
      <c r="D209" s="4">
        <v>14</v>
      </c>
    </row>
    <row r="210" spans="1:4" x14ac:dyDescent="0.15">
      <c r="A210" s="4">
        <v>1</v>
      </c>
      <c r="B210" s="26">
        <v>4</v>
      </c>
      <c r="C210" s="4">
        <v>4</v>
      </c>
      <c r="D210" s="4" t="str">
        <f>INDEX(Sheet1!$B:$AQ,テスト!C210+2,テスト!B210)</f>
        <v>鉱夫の破滅</v>
      </c>
    </row>
    <row r="211" spans="1:4" x14ac:dyDescent="0.15">
      <c r="A211" s="4">
        <v>1</v>
      </c>
      <c r="B211" s="26">
        <f>IF(B210&gt;9,1,B210+1)</f>
        <v>5</v>
      </c>
      <c r="C211" s="4">
        <v>18</v>
      </c>
      <c r="D211" s="4" t="str">
        <f>INDEX(Sheet1!$B:$AQ,テスト!C211+2,テスト!B211)</f>
        <v>反射Slv</v>
      </c>
    </row>
    <row r="212" spans="1:4" x14ac:dyDescent="0.15">
      <c r="A212" s="4">
        <v>1</v>
      </c>
      <c r="B212" s="26">
        <f t="shared" ref="B212:B214" si="34">IF(B211&gt;9,1,B211+1)</f>
        <v>6</v>
      </c>
      <c r="C212" s="4">
        <v>11</v>
      </c>
      <c r="D212" s="4" t="str">
        <f>INDEX(Sheet1!$B:$AQ,テスト!C212+2,テスト!B212)</f>
        <v>探検の猛禽</v>
      </c>
    </row>
    <row r="213" spans="1:4" x14ac:dyDescent="0.15">
      <c r="A213" s="4">
        <v>1</v>
      </c>
      <c r="B213" s="26">
        <f t="shared" si="34"/>
        <v>7</v>
      </c>
      <c r="C213" s="4">
        <v>33</v>
      </c>
      <c r="D213" s="4" t="str">
        <f>INDEX(Sheet1!$B:$AQ,テスト!C213+2,テスト!B213)</f>
        <v>ｴｲヴﾝの偵察兵</v>
      </c>
    </row>
    <row r="214" spans="1:4" x14ac:dyDescent="0.15">
      <c r="A214" s="4">
        <v>1</v>
      </c>
      <c r="B214" s="26">
        <f t="shared" si="34"/>
        <v>8</v>
      </c>
      <c r="C214" s="4">
        <v>24</v>
      </c>
      <c r="D214" s="4" t="str">
        <f>INDEX(Sheet1!$B:$AQ,テスト!C214+2,テスト!B214)</f>
        <v>遠沼の亡霊</v>
      </c>
    </row>
    <row r="215" spans="1:4" x14ac:dyDescent="0.15">
      <c r="A215" s="4">
        <v>2</v>
      </c>
      <c r="B215" s="26">
        <v>12</v>
      </c>
      <c r="C215" s="4">
        <v>9</v>
      </c>
      <c r="D215" s="4" t="str">
        <f>INDEX(Sheet1!$B:$AQ,テスト!C215+2,テスト!B215)</f>
        <v>信仰の足枷</v>
      </c>
    </row>
    <row r="216" spans="1:4" x14ac:dyDescent="0.15">
      <c r="A216" s="4">
        <v>2</v>
      </c>
      <c r="B216" s="26">
        <f>IF(B215&gt;19,11,B215+1)</f>
        <v>13</v>
      </c>
      <c r="C216" s="4">
        <v>14</v>
      </c>
      <c r="D216" s="4" t="str">
        <f>INDEX(Sheet1!$B:$AQ,テスト!C216+2,テスト!B216)</f>
        <v>新緑の安息所</v>
      </c>
    </row>
    <row r="217" spans="1:4" x14ac:dyDescent="0.15">
      <c r="A217" s="4">
        <v>2</v>
      </c>
      <c r="B217" s="26">
        <f>IF(B216&gt;19,11,B216+1)</f>
        <v>14</v>
      </c>
      <c r="C217" s="4">
        <v>6</v>
      </c>
      <c r="D217" s="4" t="str">
        <f>INDEX(Sheet1!$B:$AQ,テスト!C217+2,テスト!B217)</f>
        <v>二度裂き</v>
      </c>
    </row>
    <row r="218" spans="1:4" x14ac:dyDescent="0.15">
      <c r="A218" s="4">
        <v>2</v>
      </c>
      <c r="B218" s="26">
        <f>IF(B217&gt;19,11,B217+1)</f>
        <v>15</v>
      </c>
      <c r="C218" s="4">
        <v>11</v>
      </c>
      <c r="D218" s="4" t="str">
        <f>INDEX(Sheet1!$B:$AQ,テスト!C218+2,テスト!B218)</f>
        <v>ヴｨｸﾞの水植物</v>
      </c>
    </row>
    <row r="219" spans="1:4" x14ac:dyDescent="0.15">
      <c r="A219" s="4">
        <v>3</v>
      </c>
      <c r="B219" s="26">
        <v>21</v>
      </c>
      <c r="C219" s="4">
        <v>8</v>
      </c>
      <c r="D219" s="4" t="str">
        <f>INDEX(Sheet1!$B:$AQ,テスト!C219+2,テスト!B219)</f>
        <v>空に届くﾏﾝﾀ</v>
      </c>
    </row>
    <row r="220" spans="1:4" x14ac:dyDescent="0.15">
      <c r="A220" s="4">
        <v>3</v>
      </c>
      <c r="B220" s="26">
        <v>22</v>
      </c>
      <c r="C220" s="4">
        <v>1</v>
      </c>
      <c r="D220" s="4" t="str">
        <f>INDEX(Sheet1!$B:$AQ,テスト!C220+2,テスト!B220)</f>
        <v>WBL</v>
      </c>
    </row>
    <row r="221" spans="1:4" x14ac:dyDescent="0.15">
      <c r="A221" s="4">
        <v>4</v>
      </c>
      <c r="B221" s="26">
        <v>24</v>
      </c>
      <c r="C221" s="4">
        <v>15</v>
      </c>
      <c r="D221" s="4" t="str">
        <f>INDEX(Sheet1!$B:$AQ,テスト!C221+2,テスト!B221)</f>
        <v>狂気Slv</v>
      </c>
    </row>
    <row r="222" spans="1:4" x14ac:dyDescent="0.15">
      <c r="A222" s="4">
        <v>4</v>
      </c>
      <c r="B222" s="26">
        <f t="shared" ref="B222:B223" si="35">IF(B221&gt;31,23,B221+1)</f>
        <v>25</v>
      </c>
      <c r="C222" s="4">
        <v>10</v>
      </c>
      <c r="D222" s="4" t="str">
        <f>INDEX(Sheet1!$B:$AQ,テスト!C222+2,テスト!B222)</f>
        <v>名誉の手</v>
      </c>
    </row>
    <row r="223" spans="1:4" x14ac:dyDescent="0.15">
      <c r="A223" s="4">
        <v>4</v>
      </c>
      <c r="B223" s="26">
        <f t="shared" si="35"/>
        <v>26</v>
      </c>
      <c r="C223" s="4">
        <v>30</v>
      </c>
      <c r="D223" s="4" t="str">
        <f>INDEX(Sheet1!$B:$AQ,テスト!C223+2,テスト!B223)</f>
        <v>忌まわしい笑い</v>
      </c>
    </row>
    <row r="224" spans="1:4" x14ac:dyDescent="0.15">
      <c r="A224" s="4">
        <v>5</v>
      </c>
      <c r="B224" s="26">
        <v>41</v>
      </c>
      <c r="C224" s="4">
        <v>3</v>
      </c>
      <c r="D224" s="4" t="str">
        <f>INDEX(Sheet1!$B:$AQ,テスト!C224+2,テスト!B224)</f>
        <v>黒の太陽の頂点</v>
      </c>
    </row>
    <row r="225" spans="1:4" x14ac:dyDescent="0.15">
      <c r="A225" s="4"/>
      <c r="D225" s="4">
        <v>15</v>
      </c>
    </row>
    <row r="226" spans="1:4" x14ac:dyDescent="0.15">
      <c r="A226" s="4">
        <v>1</v>
      </c>
      <c r="B226" s="26">
        <v>7</v>
      </c>
      <c r="C226" s="4">
        <v>3</v>
      </c>
      <c r="D226" s="4" t="str">
        <f>INDEX(Sheet1!$B:$AQ,テスト!C226+2,テスト!B226)</f>
        <v>熟考漂い</v>
      </c>
    </row>
    <row r="227" spans="1:4" x14ac:dyDescent="0.15">
      <c r="A227" s="4">
        <v>1</v>
      </c>
      <c r="B227" s="26">
        <f>IF(B226&gt;9,1,B226+1)</f>
        <v>8</v>
      </c>
      <c r="C227" s="4">
        <v>8</v>
      </c>
      <c r="D227" s="4" t="str">
        <f>INDEX(Sheet1!$B:$AQ,テスト!C227+2,テスト!B227)</f>
        <v>ｸﾞﾚｲﾌﾞﾃﾞｨｶﾞｰ</v>
      </c>
    </row>
    <row r="228" spans="1:4" x14ac:dyDescent="0.15">
      <c r="A228" s="4">
        <v>1</v>
      </c>
      <c r="B228" s="26">
        <f t="shared" ref="B228:B230" si="36">IF(B227&gt;9,1,B227+1)</f>
        <v>9</v>
      </c>
      <c r="C228" s="4">
        <v>7</v>
      </c>
      <c r="D228" s="4" t="str">
        <f>INDEX(Sheet1!$B:$AQ,テスト!C228+2,テスト!B228)</f>
        <v>氷河の光線</v>
      </c>
    </row>
    <row r="229" spans="1:4" x14ac:dyDescent="0.15">
      <c r="A229" s="4">
        <v>1</v>
      </c>
      <c r="B229" s="26">
        <f t="shared" si="36"/>
        <v>10</v>
      </c>
      <c r="C229" s="4">
        <v>35</v>
      </c>
      <c r="D229" s="4" t="str">
        <f>INDEX(Sheet1!$B:$AQ,テスト!C229+2,テスト!B229)</f>
        <v>ﾋﾟｽﾀｽの一撃</v>
      </c>
    </row>
    <row r="230" spans="1:4" x14ac:dyDescent="0.15">
      <c r="A230" s="4">
        <v>1</v>
      </c>
      <c r="B230" s="26">
        <f t="shared" si="36"/>
        <v>1</v>
      </c>
      <c r="C230" s="4">
        <v>26</v>
      </c>
      <c r="D230" s="4" t="str">
        <f>INDEX(Sheet1!$B:$AQ,テスト!C230+2,テスト!B230)</f>
        <v>筋力Slv</v>
      </c>
    </row>
    <row r="231" spans="1:4" x14ac:dyDescent="0.15">
      <c r="A231" s="4">
        <v>2</v>
      </c>
      <c r="B231" s="26">
        <v>17</v>
      </c>
      <c r="C231" s="4">
        <v>11</v>
      </c>
      <c r="D231" s="4" t="str">
        <f>INDEX(Sheet1!$B:$AQ,テスト!C231+2,テスト!B231)</f>
        <v>ｺﾞﾌﾞﾘﾝの電術師</v>
      </c>
    </row>
    <row r="232" spans="1:4" x14ac:dyDescent="0.15">
      <c r="A232" s="4">
        <v>2</v>
      </c>
      <c r="B232" s="26">
        <f>IF(B231&gt;19,11,B231+1)</f>
        <v>18</v>
      </c>
      <c r="C232" s="4">
        <v>15</v>
      </c>
      <c r="D232" s="4" t="str">
        <f>INDEX(Sheet1!$B:$AQ,テスト!C232+2,テスト!B232)</f>
        <v>着実な進歩</v>
      </c>
    </row>
    <row r="233" spans="1:4" x14ac:dyDescent="0.15">
      <c r="A233" s="4">
        <v>2</v>
      </c>
      <c r="B233" s="26">
        <f>IF(B232&gt;19,11,B232+1)</f>
        <v>19</v>
      </c>
      <c r="C233" s="4">
        <v>14</v>
      </c>
      <c r="D233" s="4" t="str">
        <f>INDEX(Sheet1!$B:$AQ,テスト!C233+2,テスト!B233)</f>
        <v>天使の贈り物</v>
      </c>
    </row>
    <row r="234" spans="1:4" x14ac:dyDescent="0.15">
      <c r="A234" s="4">
        <v>2</v>
      </c>
      <c r="B234" s="26">
        <f>IF(B233&gt;19,11,B233+1)</f>
        <v>20</v>
      </c>
      <c r="C234" s="4">
        <v>9</v>
      </c>
      <c r="D234" s="4" t="str">
        <f>INDEX(Sheet1!$B:$AQ,テスト!C234+2,テスト!B234)</f>
        <v>信仰無き物あさり</v>
      </c>
    </row>
    <row r="235" spans="1:4" x14ac:dyDescent="0.15">
      <c r="A235" s="4">
        <v>3</v>
      </c>
      <c r="B235" s="26">
        <v>21</v>
      </c>
      <c r="C235" s="4">
        <v>16</v>
      </c>
      <c r="D235" s="4" t="str">
        <f>INDEX(Sheet1!$B:$AQ,テスト!C235+2,テスト!B235)</f>
        <v>空に届くﾏﾝﾀ</v>
      </c>
    </row>
    <row r="236" spans="1:4" x14ac:dyDescent="0.15">
      <c r="A236" s="4">
        <v>3</v>
      </c>
      <c r="B236" s="26">
        <v>22</v>
      </c>
      <c r="C236" s="4">
        <v>24</v>
      </c>
      <c r="D236" s="4" t="str">
        <f>INDEX(Sheet1!$B:$AQ,テスト!C236+2,テスト!B236)</f>
        <v>GUL</v>
      </c>
    </row>
    <row r="237" spans="1:4" x14ac:dyDescent="0.15">
      <c r="A237" s="4">
        <v>4</v>
      </c>
      <c r="B237" s="26">
        <v>26</v>
      </c>
      <c r="C237" s="4">
        <v>33</v>
      </c>
      <c r="D237" s="4" t="str">
        <f>INDEX(Sheet1!$B:$AQ,テスト!C237+2,テスト!B237)</f>
        <v>火跡Slv</v>
      </c>
    </row>
    <row r="238" spans="1:4" x14ac:dyDescent="0.15">
      <c r="A238" s="4">
        <v>4</v>
      </c>
      <c r="B238" s="26">
        <f t="shared" ref="B238:B239" si="37">IF(B237&gt;31,23,B237+1)</f>
        <v>27</v>
      </c>
      <c r="C238" s="4">
        <v>2</v>
      </c>
      <c r="D238" s="4" t="str">
        <f>INDEX(Sheet1!$B:$AQ,テスト!C238+2,テスト!B238)</f>
        <v>ｻﾌｧｲｱのﾄﾞﾚｲｸ</v>
      </c>
    </row>
    <row r="239" spans="1:4" x14ac:dyDescent="0.15">
      <c r="A239" s="4">
        <v>4</v>
      </c>
      <c r="B239" s="26">
        <f t="shared" si="37"/>
        <v>28</v>
      </c>
      <c r="C239" s="4">
        <v>27</v>
      </c>
      <c r="D239" s="4" t="str">
        <f>INDEX(Sheet1!$B:$AQ,テスト!C239+2,テスト!B239)</f>
        <v>ｽｩﾙﾀｲ土地</v>
      </c>
    </row>
    <row r="240" spans="1:4" x14ac:dyDescent="0.15">
      <c r="A240" s="4">
        <v>5</v>
      </c>
      <c r="B240" s="26">
        <v>35</v>
      </c>
      <c r="C240" s="4">
        <v>3</v>
      </c>
      <c r="D240" s="4" t="str">
        <f>INDEX(Sheet1!$B:$AQ,テスト!C240+2,テスト!B240)</f>
        <v>精霊信者の剣</v>
      </c>
    </row>
    <row r="241" spans="1:4" x14ac:dyDescent="0.15">
      <c r="A241" s="4"/>
      <c r="D241" s="4">
        <v>16</v>
      </c>
    </row>
    <row r="242" spans="1:4" x14ac:dyDescent="0.15">
      <c r="A242" s="4">
        <v>1</v>
      </c>
      <c r="B242" s="26">
        <v>10</v>
      </c>
      <c r="C242" s="4">
        <v>2</v>
      </c>
      <c r="D242" s="4" t="str">
        <f>INDEX(Sheet1!$B:$AQ,テスト!C242+2,テスト!B242)</f>
        <v>彼方地のｴﾙﾌ</v>
      </c>
    </row>
    <row r="243" spans="1:4" x14ac:dyDescent="0.15">
      <c r="A243" s="4">
        <v>1</v>
      </c>
      <c r="B243" s="26">
        <f>IF(B242&gt;9,1,B242+1)</f>
        <v>1</v>
      </c>
      <c r="C243" s="4">
        <v>12</v>
      </c>
      <c r="D243" s="4" t="str">
        <f>INDEX(Sheet1!$B:$AQ,テスト!C243+2,テスト!B243)</f>
        <v>筋力Slv</v>
      </c>
    </row>
    <row r="244" spans="1:4" x14ac:dyDescent="0.15">
      <c r="A244" s="4">
        <v>1</v>
      </c>
      <c r="B244" s="26">
        <f t="shared" ref="B244:B246" si="38">IF(B243&gt;9,1,B243+1)</f>
        <v>2</v>
      </c>
      <c r="C244" s="4">
        <v>20</v>
      </c>
      <c r="D244" s="4" t="str">
        <f>INDEX(Sheet1!$B:$AQ,テスト!C244+2,テスト!B244)</f>
        <v>否認</v>
      </c>
    </row>
    <row r="245" spans="1:4" x14ac:dyDescent="0.15">
      <c r="A245" s="4">
        <v>1</v>
      </c>
      <c r="B245" s="26">
        <f t="shared" si="38"/>
        <v>3</v>
      </c>
      <c r="C245" s="4">
        <v>18</v>
      </c>
      <c r="D245" s="4" t="str">
        <f>INDEX(Sheet1!$B:$AQ,テスト!C245+2,テスト!B245)</f>
        <v>毒の屍賊</v>
      </c>
    </row>
    <row r="246" spans="1:4" x14ac:dyDescent="0.15">
      <c r="A246" s="4">
        <v>1</v>
      </c>
      <c r="B246" s="26">
        <f t="shared" si="38"/>
        <v>4</v>
      </c>
      <c r="C246" s="4">
        <v>7</v>
      </c>
      <c r="D246" s="4" t="str">
        <f>INDEX(Sheet1!$B:$AQ,テスト!C246+2,テスト!B246)</f>
        <v>感電の弧炎</v>
      </c>
    </row>
    <row r="247" spans="1:4" x14ac:dyDescent="0.15">
      <c r="A247" s="4">
        <v>2</v>
      </c>
      <c r="B247" s="26">
        <v>18</v>
      </c>
      <c r="C247" s="4">
        <v>30</v>
      </c>
      <c r="D247" s="4" t="str">
        <f>INDEX(Sheet1!$B:$AQ,テスト!C247+2,テスト!B247)</f>
        <v>よろめく殻</v>
      </c>
    </row>
    <row r="248" spans="1:4" x14ac:dyDescent="0.15">
      <c r="A248" s="4">
        <v>2</v>
      </c>
      <c r="B248" s="26">
        <f>IF(B247&gt;19,11,B247+1)</f>
        <v>19</v>
      </c>
      <c r="C248" s="4">
        <v>27</v>
      </c>
      <c r="D248" s="4" t="str">
        <f>INDEX(Sheet1!$B:$AQ,テスト!C248+2,テスト!B248)</f>
        <v>骨読み</v>
      </c>
    </row>
    <row r="249" spans="1:4" x14ac:dyDescent="0.15">
      <c r="A249" s="4">
        <v>2</v>
      </c>
      <c r="B249" s="26">
        <f>IF(B248&gt;19,11,B248+1)</f>
        <v>20</v>
      </c>
      <c r="C249" s="4">
        <v>5</v>
      </c>
      <c r="D249" s="4" t="str">
        <f>INDEX(Sheet1!$B:$AQ,テスト!C249+2,テスト!B249)</f>
        <v>とぐろ巻きの巫女</v>
      </c>
    </row>
    <row r="250" spans="1:4" x14ac:dyDescent="0.15">
      <c r="A250" s="4">
        <v>2</v>
      </c>
      <c r="B250" s="26">
        <f>IF(B249&gt;19,11,B249+1)</f>
        <v>11</v>
      </c>
      <c r="C250" s="4">
        <v>9</v>
      </c>
      <c r="D250" s="4" t="str">
        <f>INDEX(Sheet1!$B:$AQ,テスト!C250+2,テスト!B250)</f>
        <v>弱者狩り</v>
      </c>
    </row>
    <row r="251" spans="1:4" x14ac:dyDescent="0.15">
      <c r="A251" s="4">
        <v>3</v>
      </c>
      <c r="B251" s="26">
        <v>21</v>
      </c>
      <c r="C251" s="4">
        <v>11</v>
      </c>
      <c r="D251" s="4" t="str">
        <f>INDEX(Sheet1!$B:$AQ,テスト!C251+2,テスト!B251)</f>
        <v>ｺﾞﾙｶﾞﾘの導き石</v>
      </c>
    </row>
    <row r="252" spans="1:4" x14ac:dyDescent="0.15">
      <c r="A252" s="4">
        <v>3</v>
      </c>
      <c r="B252" s="26">
        <v>22</v>
      </c>
      <c r="C252" s="4">
        <v>31</v>
      </c>
      <c r="D252" s="4" t="str">
        <f>INDEX(Sheet1!$B:$AQ,テスト!C252+2,テスト!B252)</f>
        <v>BGL</v>
      </c>
    </row>
    <row r="253" spans="1:4" x14ac:dyDescent="0.15">
      <c r="A253" s="4">
        <v>4</v>
      </c>
      <c r="B253" s="26">
        <v>31</v>
      </c>
      <c r="C253" s="4">
        <v>21</v>
      </c>
      <c r="D253" s="4" t="str">
        <f>INDEX(Sheet1!$B:$AQ,テスト!C253+2,テスト!B253)</f>
        <v>吸血Slv</v>
      </c>
    </row>
    <row r="254" spans="1:4" x14ac:dyDescent="0.15">
      <c r="A254" s="4">
        <v>4</v>
      </c>
      <c r="B254" s="26">
        <f t="shared" ref="B254:B255" si="39">IF(B253&gt;31,23,B253+1)</f>
        <v>32</v>
      </c>
      <c r="C254" s="4">
        <v>35</v>
      </c>
      <c r="D254" s="4" t="str">
        <f>INDEX(Sheet1!$B:$AQ,テスト!C254+2,テスト!B254)</f>
        <v>投与+享受</v>
      </c>
    </row>
    <row r="255" spans="1:4" x14ac:dyDescent="0.15">
      <c r="A255" s="4">
        <v>4</v>
      </c>
      <c r="B255" s="26">
        <f t="shared" si="39"/>
        <v>23</v>
      </c>
      <c r="C255" s="4">
        <v>28</v>
      </c>
      <c r="D255" s="4" t="str">
        <f>INDEX(Sheet1!$B:$AQ,テスト!C255+2,テスト!B255)</f>
        <v>糾弾</v>
      </c>
    </row>
    <row r="256" spans="1:4" x14ac:dyDescent="0.15">
      <c r="A256" s="4">
        <v>5</v>
      </c>
      <c r="B256" s="26">
        <v>39</v>
      </c>
      <c r="C256" s="4">
        <v>13</v>
      </c>
      <c r="D256" s="4" t="str">
        <f>INDEX(Sheet1!$B:$AQ,テスト!C256+2,テスト!B256)</f>
        <v>ｼヴ山のﾄﾞﾗｺﾞﾝ</v>
      </c>
    </row>
    <row r="257" spans="1:4" x14ac:dyDescent="0.15">
      <c r="A257" s="4"/>
      <c r="D257" s="4">
        <v>17</v>
      </c>
    </row>
    <row r="258" spans="1:4" x14ac:dyDescent="0.15">
      <c r="A258" s="4">
        <v>1</v>
      </c>
      <c r="B258" s="26">
        <v>2</v>
      </c>
      <c r="C258" s="4">
        <v>31</v>
      </c>
      <c r="D258" s="4" t="str">
        <f>INDEX(Sheet1!$B:$AQ,テスト!C258+2,テスト!B258)</f>
        <v>熟考漂い</v>
      </c>
    </row>
    <row r="259" spans="1:4" x14ac:dyDescent="0.15">
      <c r="A259" s="4">
        <v>1</v>
      </c>
      <c r="B259" s="26">
        <f>IF(B258&gt;9,1,B258+1)</f>
        <v>3</v>
      </c>
      <c r="C259" s="4">
        <v>11</v>
      </c>
      <c r="D259" s="4" t="str">
        <f>INDEX(Sheet1!$B:$AQ,テスト!C259+2,テスト!B259)</f>
        <v>毒の屍賊</v>
      </c>
    </row>
    <row r="260" spans="1:4" x14ac:dyDescent="0.15">
      <c r="A260" s="4">
        <v>1</v>
      </c>
      <c r="B260" s="26">
        <f t="shared" ref="B260:B262" si="40">IF(B259&gt;9,1,B259+1)</f>
        <v>4</v>
      </c>
      <c r="C260" s="4">
        <v>28</v>
      </c>
      <c r="D260" s="4" t="str">
        <f>INDEX(Sheet1!$B:$AQ,テスト!C260+2,テスト!B260)</f>
        <v>感電の弧炎</v>
      </c>
    </row>
    <row r="261" spans="1:4" x14ac:dyDescent="0.15">
      <c r="A261" s="4">
        <v>1</v>
      </c>
      <c r="B261" s="26">
        <f t="shared" si="40"/>
        <v>5</v>
      </c>
      <c r="C261" s="4">
        <v>2</v>
      </c>
      <c r="D261" s="4" t="str">
        <f>INDEX(Sheet1!$B:$AQ,テスト!C261+2,テスト!B261)</f>
        <v>嚢胞抱え</v>
      </c>
    </row>
    <row r="262" spans="1:4" x14ac:dyDescent="0.15">
      <c r="A262" s="4">
        <v>1</v>
      </c>
      <c r="B262" s="26">
        <f t="shared" si="40"/>
        <v>6</v>
      </c>
      <c r="C262" s="4">
        <v>21</v>
      </c>
      <c r="D262" s="4" t="str">
        <f>INDEX(Sheet1!$B:$AQ,テスト!C262+2,テスト!B262)</f>
        <v>必殺の一射</v>
      </c>
    </row>
    <row r="263" spans="1:4" x14ac:dyDescent="0.15">
      <c r="A263" s="4">
        <v>2</v>
      </c>
      <c r="B263" s="26">
        <v>16</v>
      </c>
      <c r="C263" s="4">
        <v>28</v>
      </c>
      <c r="D263" s="4" t="str">
        <f>INDEX(Sheet1!$B:$AQ,テスト!C263+2,テスト!B263)</f>
        <v>盲目の狩人</v>
      </c>
    </row>
    <row r="264" spans="1:4" x14ac:dyDescent="0.15">
      <c r="A264" s="4">
        <v>2</v>
      </c>
      <c r="B264" s="26">
        <f>IF(B263&gt;19,11,B263+1)</f>
        <v>17</v>
      </c>
      <c r="C264" s="4">
        <v>7</v>
      </c>
      <c r="D264" s="4" t="str">
        <f>INDEX(Sheet1!$B:$AQ,テスト!C264+2,テスト!B264)</f>
        <v>催眠Slv</v>
      </c>
    </row>
    <row r="265" spans="1:4" x14ac:dyDescent="0.15">
      <c r="A265" s="4">
        <v>2</v>
      </c>
      <c r="B265" s="26">
        <f>IF(B264&gt;19,11,B264+1)</f>
        <v>18</v>
      </c>
      <c r="C265" s="4">
        <v>10</v>
      </c>
      <c r="D265" s="4" t="str">
        <f>INDEX(Sheet1!$B:$AQ,テスト!C265+2,テスト!B265)</f>
        <v>忌まわしい回収</v>
      </c>
    </row>
    <row r="266" spans="1:4" x14ac:dyDescent="0.15">
      <c r="A266" s="4">
        <v>2</v>
      </c>
      <c r="B266" s="26">
        <f>IF(B265&gt;19,11,B265+1)</f>
        <v>19</v>
      </c>
      <c r="C266" s="4">
        <v>4</v>
      </c>
      <c r="D266" s="4" t="str">
        <f>INDEX(Sheet1!$B:$AQ,テスト!C266+2,テスト!B266)</f>
        <v>ﾎﾞﾛｽの補充兵</v>
      </c>
    </row>
    <row r="267" spans="1:4" x14ac:dyDescent="0.15">
      <c r="A267" s="4">
        <v>3</v>
      </c>
      <c r="B267" s="26">
        <v>21</v>
      </c>
      <c r="C267" s="4">
        <v>31</v>
      </c>
      <c r="D267" s="4" t="str">
        <f>INDEX(Sheet1!$B:$AQ,テスト!C267+2,テスト!B267)</f>
        <v>ｳﾙ=ｺﾞｰﾚﾑの目</v>
      </c>
    </row>
    <row r="268" spans="1:4" x14ac:dyDescent="0.15">
      <c r="A268" s="4">
        <v>3</v>
      </c>
      <c r="B268" s="26">
        <v>22</v>
      </c>
      <c r="C268" s="4">
        <v>59</v>
      </c>
      <c r="D268" s="4" t="str">
        <f>INDEX(Sheet1!$B:$AQ,テスト!C268+2,テスト!B268)</f>
        <v>BGL</v>
      </c>
    </row>
    <row r="269" spans="1:4" x14ac:dyDescent="0.15">
      <c r="A269" s="4">
        <v>4</v>
      </c>
      <c r="B269" s="26">
        <v>29</v>
      </c>
      <c r="C269" s="4">
        <v>29</v>
      </c>
      <c r="D269" s="4" t="str">
        <f>INDEX(Sheet1!$B:$AQ,テスト!C269+2,テスト!B269)</f>
        <v>沿岸の発見</v>
      </c>
    </row>
    <row r="270" spans="1:4" x14ac:dyDescent="0.15">
      <c r="A270" s="4">
        <v>4</v>
      </c>
      <c r="B270" s="26">
        <f t="shared" ref="B270:B271" si="41">IF(B269&gt;31,23,B269+1)</f>
        <v>30</v>
      </c>
      <c r="C270" s="4">
        <v>20</v>
      </c>
      <c r="D270" s="4" t="str">
        <f>INDEX(Sheet1!$B:$AQ,テスト!C270+2,テスト!B270)</f>
        <v>ｱﾒｰﾊﾞの変わり身</v>
      </c>
    </row>
    <row r="271" spans="1:4" x14ac:dyDescent="0.15">
      <c r="A271" s="4">
        <v>4</v>
      </c>
      <c r="B271" s="26">
        <f t="shared" si="41"/>
        <v>31</v>
      </c>
      <c r="C271" s="4">
        <v>18</v>
      </c>
      <c r="D271" s="4" t="str">
        <f>INDEX(Sheet1!$B:$AQ,テスト!C271+2,テスト!B271)</f>
        <v>ﾏﾅ力の鎚鉾</v>
      </c>
    </row>
    <row r="272" spans="1:4" x14ac:dyDescent="0.15">
      <c r="A272" s="4">
        <v>5</v>
      </c>
      <c r="B272" s="26">
        <v>33</v>
      </c>
      <c r="C272" s="4">
        <v>8</v>
      </c>
      <c r="D272" s="4" t="str">
        <f>INDEX(Sheet1!$B:$AQ,テスト!C272+2,テスト!B272)</f>
        <v>永岩城の君主､今田</v>
      </c>
    </row>
    <row r="273" spans="1:4" x14ac:dyDescent="0.15">
      <c r="A273" s="4"/>
      <c r="D273" s="4">
        <v>18</v>
      </c>
    </row>
    <row r="274" spans="1:4" x14ac:dyDescent="0.15">
      <c r="A274" s="4">
        <v>1</v>
      </c>
      <c r="B274" s="26">
        <v>8</v>
      </c>
      <c r="C274" s="4">
        <v>28</v>
      </c>
      <c r="D274" s="4" t="str">
        <f>INDEX(Sheet1!$B:$AQ,テスト!C274+2,テスト!B274)</f>
        <v>闇への追放</v>
      </c>
    </row>
    <row r="275" spans="1:4" x14ac:dyDescent="0.15">
      <c r="A275" s="4">
        <v>1</v>
      </c>
      <c r="B275" s="26">
        <f>IF(B274&gt;9,1,B274+1)</f>
        <v>9</v>
      </c>
      <c r="C275" s="4">
        <v>20</v>
      </c>
      <c r="D275" s="4" t="str">
        <f>INDEX(Sheet1!$B:$AQ,テスト!C275+2,テスト!B275)</f>
        <v>沸き立つ大地</v>
      </c>
    </row>
    <row r="276" spans="1:4" x14ac:dyDescent="0.15">
      <c r="A276" s="4">
        <v>1</v>
      </c>
      <c r="B276" s="26">
        <f t="shared" ref="B276:B278" si="42">IF(B275&gt;9,1,B275+1)</f>
        <v>10</v>
      </c>
      <c r="C276" s="4">
        <v>5</v>
      </c>
      <c r="D276" s="4" t="str">
        <f>INDEX(Sheet1!$B:$AQ,テスト!C276+2,テスト!B276)</f>
        <v>確約の神主</v>
      </c>
    </row>
    <row r="277" spans="1:4" x14ac:dyDescent="0.15">
      <c r="A277" s="4">
        <v>1</v>
      </c>
      <c r="B277" s="26">
        <f t="shared" si="42"/>
        <v>1</v>
      </c>
      <c r="C277" s="4">
        <v>1</v>
      </c>
      <c r="D277" s="4" t="str">
        <f>INDEX(Sheet1!$B:$AQ,テスト!C277+2,テスト!B277)</f>
        <v>狐の刃遣い</v>
      </c>
    </row>
    <row r="278" spans="1:4" x14ac:dyDescent="0.15">
      <c r="A278" s="4">
        <v>1</v>
      </c>
      <c r="B278" s="26">
        <f t="shared" si="42"/>
        <v>2</v>
      </c>
      <c r="C278" s="4">
        <v>6</v>
      </c>
      <c r="D278" s="4" t="str">
        <f>INDEX(Sheet1!$B:$AQ,テスト!C278+2,テスト!B278)</f>
        <v>否認</v>
      </c>
    </row>
    <row r="279" spans="1:4" x14ac:dyDescent="0.15">
      <c r="A279" s="4">
        <v>2</v>
      </c>
      <c r="B279" s="26">
        <v>11</v>
      </c>
      <c r="C279" s="4">
        <v>10</v>
      </c>
      <c r="D279" s="4" t="str">
        <f>INDEX(Sheet1!$B:$AQ,テスト!C279+2,テスト!B279)</f>
        <v>盲目の狩人</v>
      </c>
    </row>
    <row r="280" spans="1:4" x14ac:dyDescent="0.15">
      <c r="A280" s="4">
        <v>2</v>
      </c>
      <c r="B280" s="26">
        <f>IF(B279&gt;19,11,B279+1)</f>
        <v>12</v>
      </c>
      <c r="C280" s="4">
        <v>25</v>
      </c>
      <c r="D280" s="4" t="str">
        <f>INDEX(Sheet1!$B:$AQ,テスト!C280+2,テスト!B280)</f>
        <v>催眠Slv</v>
      </c>
    </row>
    <row r="281" spans="1:4" x14ac:dyDescent="0.15">
      <c r="A281" s="4">
        <v>2</v>
      </c>
      <c r="B281" s="26">
        <f>IF(B280&gt;19,11,B280+1)</f>
        <v>13</v>
      </c>
      <c r="C281" s="4">
        <v>8</v>
      </c>
      <c r="D281" s="4" t="str">
        <f>INDEX(Sheet1!$B:$AQ,テスト!C281+2,テスト!B281)</f>
        <v>新緑の安息所</v>
      </c>
    </row>
    <row r="282" spans="1:4" x14ac:dyDescent="0.15">
      <c r="A282" s="4">
        <v>2</v>
      </c>
      <c r="B282" s="26">
        <f>IF(B281&gt;19,11,B281+1)</f>
        <v>14</v>
      </c>
      <c r="C282" s="4">
        <v>12</v>
      </c>
      <c r="D282" s="4" t="str">
        <f>INDEX(Sheet1!$B:$AQ,テスト!C282+2,テスト!B282)</f>
        <v>二度裂き</v>
      </c>
    </row>
    <row r="283" spans="1:4" x14ac:dyDescent="0.15">
      <c r="A283" s="4">
        <v>3</v>
      </c>
      <c r="B283" s="26">
        <v>21</v>
      </c>
      <c r="C283" s="4">
        <v>24</v>
      </c>
      <c r="D283" s="4" t="str">
        <f>INDEX(Sheet1!$B:$AQ,テスト!C283+2,テスト!B283)</f>
        <v>空に届くﾏﾝﾀ</v>
      </c>
    </row>
    <row r="284" spans="1:4" x14ac:dyDescent="0.15">
      <c r="A284" s="4">
        <v>3</v>
      </c>
      <c r="B284" s="26">
        <v>22</v>
      </c>
      <c r="C284" s="4">
        <v>50</v>
      </c>
      <c r="D284" s="4" t="str">
        <f>INDEX(Sheet1!$B:$AQ,テスト!C284+2,テスト!B284)</f>
        <v>BGL</v>
      </c>
    </row>
    <row r="285" spans="1:4" x14ac:dyDescent="0.15">
      <c r="A285" s="4">
        <v>4</v>
      </c>
      <c r="B285" s="26">
        <v>30</v>
      </c>
      <c r="C285" s="4">
        <v>15</v>
      </c>
      <c r="D285" s="4" t="str">
        <f>INDEX(Sheet1!$B:$AQ,テスト!C285+2,テスト!B285)</f>
        <v>暗心Slv</v>
      </c>
    </row>
    <row r="286" spans="1:4" x14ac:dyDescent="0.15">
      <c r="A286" s="4">
        <v>4</v>
      </c>
      <c r="B286" s="26">
        <f t="shared" ref="B286:B287" si="43">IF(B285&gt;31,23,B285+1)</f>
        <v>31</v>
      </c>
      <c r="C286" s="4">
        <v>34</v>
      </c>
      <c r="D286" s="4" t="str">
        <f>INDEX(Sheet1!$B:$AQ,テスト!C286+2,テスト!B286)</f>
        <v>好戦的な雛</v>
      </c>
    </row>
    <row r="287" spans="1:4" x14ac:dyDescent="0.15">
      <c r="A287" s="4">
        <v>4</v>
      </c>
      <c r="B287" s="26">
        <f t="shared" si="43"/>
        <v>32</v>
      </c>
      <c r="C287" s="4">
        <v>19</v>
      </c>
      <c r="D287" s="4" t="str">
        <f>INDEX(Sheet1!$B:$AQ,テスト!C287+2,テスト!B287)</f>
        <v>払拭の光</v>
      </c>
    </row>
    <row r="288" spans="1:4" x14ac:dyDescent="0.15">
      <c r="A288" s="4">
        <v>5</v>
      </c>
      <c r="B288" s="26">
        <v>39</v>
      </c>
      <c r="C288" s="4">
        <v>12</v>
      </c>
      <c r="D288" s="4" t="str">
        <f>INDEX(Sheet1!$B:$AQ,テスト!C288+2,テスト!B288)</f>
        <v>魂の捕縛</v>
      </c>
    </row>
    <row r="289" spans="1:4" x14ac:dyDescent="0.15">
      <c r="A289" s="4"/>
      <c r="D289" s="4">
        <v>19</v>
      </c>
    </row>
    <row r="290" spans="1:4" x14ac:dyDescent="0.15">
      <c r="A290" s="4">
        <v>1</v>
      </c>
      <c r="B290" s="26">
        <v>10</v>
      </c>
      <c r="C290" s="4">
        <v>27</v>
      </c>
      <c r="D290" s="4" t="str">
        <f>INDEX(Sheet1!$B:$AQ,テスト!C290+2,テスト!B290)</f>
        <v>刻みを継ぐもの</v>
      </c>
    </row>
    <row r="291" spans="1:4" x14ac:dyDescent="0.15">
      <c r="A291" s="4">
        <v>1</v>
      </c>
      <c r="B291" s="26">
        <f>IF(B290&gt;9,1,B290+1)</f>
        <v>1</v>
      </c>
      <c r="C291" s="4">
        <v>7</v>
      </c>
      <c r="D291" s="4" t="str">
        <f>INDEX(Sheet1!$B:$AQ,テスト!C291+2,テスト!B291)</f>
        <v>安全な道</v>
      </c>
    </row>
    <row r="292" spans="1:4" x14ac:dyDescent="0.15">
      <c r="A292" s="4">
        <v>1</v>
      </c>
      <c r="B292" s="26">
        <f t="shared" ref="B292:B294" si="44">IF(B291&gt;9,1,B291+1)</f>
        <v>2</v>
      </c>
      <c r="C292" s="4">
        <v>28</v>
      </c>
      <c r="D292" s="4" t="str">
        <f>INDEX(Sheet1!$B:$AQ,テスト!C292+2,テスト!B292)</f>
        <v>閉所恐怖症</v>
      </c>
    </row>
    <row r="293" spans="1:4" x14ac:dyDescent="0.15">
      <c r="A293" s="4">
        <v>1</v>
      </c>
      <c r="B293" s="26">
        <f t="shared" si="44"/>
        <v>3</v>
      </c>
      <c r="C293" s="4">
        <v>31</v>
      </c>
      <c r="D293" s="4" t="str">
        <f>INDEX(Sheet1!$B:$AQ,テスト!C293+2,テスト!B293)</f>
        <v>遠沼の亡霊</v>
      </c>
    </row>
    <row r="294" spans="1:4" x14ac:dyDescent="0.15">
      <c r="A294" s="4">
        <v>1</v>
      </c>
      <c r="B294" s="26">
        <f t="shared" si="44"/>
        <v>4</v>
      </c>
      <c r="C294" s="4">
        <v>16</v>
      </c>
      <c r="D294" s="4" t="str">
        <f>INDEX(Sheet1!$B:$AQ,テスト!C294+2,テスト!B294)</f>
        <v>熱血漢の聖戦士</v>
      </c>
    </row>
    <row r="295" spans="1:4" x14ac:dyDescent="0.15">
      <c r="A295" s="4">
        <v>2</v>
      </c>
      <c r="B295" s="26">
        <v>12</v>
      </c>
      <c r="C295" s="4">
        <v>2</v>
      </c>
      <c r="D295" s="4" t="str">
        <f>INDEX(Sheet1!$B:$AQ,テスト!C295+2,テスト!B295)</f>
        <v>ｾﾞｸﾀｰ祭殿の探検</v>
      </c>
    </row>
    <row r="296" spans="1:4" x14ac:dyDescent="0.15">
      <c r="A296" s="4">
        <v>2</v>
      </c>
      <c r="B296" s="26">
        <f>IF(B295&gt;19,11,B295+1)</f>
        <v>13</v>
      </c>
      <c r="C296" s="4">
        <v>17</v>
      </c>
      <c r="D296" s="4" t="str">
        <f>INDEX(Sheet1!$B:$AQ,テスト!C296+2,テスト!B296)</f>
        <v>冒涜するﾊｯｸﾞ</v>
      </c>
    </row>
    <row r="297" spans="1:4" x14ac:dyDescent="0.15">
      <c r="A297" s="4">
        <v>2</v>
      </c>
      <c r="B297" s="26">
        <f>IF(B296&gt;19,11,B296+1)</f>
        <v>14</v>
      </c>
      <c r="C297" s="4">
        <v>10</v>
      </c>
      <c r="D297" s="4" t="str">
        <f>INDEX(Sheet1!$B:$AQ,テスト!C297+2,テスト!B297)</f>
        <v>ヴｨｰｱｼｰﾉの初太刀</v>
      </c>
    </row>
    <row r="298" spans="1:4" x14ac:dyDescent="0.15">
      <c r="A298" s="4">
        <v>2</v>
      </c>
      <c r="B298" s="26">
        <f>IF(B297&gt;19,11,B297+1)</f>
        <v>15</v>
      </c>
      <c r="C298" s="4">
        <v>26</v>
      </c>
      <c r="D298" s="4" t="str">
        <f>INDEX(Sheet1!$B:$AQ,テスト!C298+2,テスト!B298)</f>
        <v>計算された放逐</v>
      </c>
    </row>
    <row r="299" spans="1:4" x14ac:dyDescent="0.15">
      <c r="A299" s="4">
        <v>3</v>
      </c>
      <c r="B299" s="26">
        <v>21</v>
      </c>
      <c r="C299" s="4">
        <v>2</v>
      </c>
      <c r="D299" s="4" t="str">
        <f>INDEX(Sheet1!$B:$AQ,テスト!C299+2,テスト!B299)</f>
        <v>ｲｾﾞｯﾄの導き石</v>
      </c>
    </row>
    <row r="300" spans="1:4" x14ac:dyDescent="0.15">
      <c r="A300" s="4">
        <v>3</v>
      </c>
      <c r="B300" s="26">
        <v>22</v>
      </c>
      <c r="C300" s="4">
        <v>65</v>
      </c>
      <c r="D300" s="4" t="str">
        <f>INDEX(Sheet1!$B:$AQ,テスト!C300+2,テスト!B300)</f>
        <v>RWL</v>
      </c>
    </row>
    <row r="301" spans="1:4" x14ac:dyDescent="0.15">
      <c r="A301" s="4">
        <v>4</v>
      </c>
      <c r="B301" s="26">
        <v>27</v>
      </c>
      <c r="C301" s="4">
        <v>23</v>
      </c>
      <c r="D301" s="4" t="str">
        <f>INDEX(Sheet1!$B:$AQ,テスト!C301+2,テスト!B301)</f>
        <v>ｶﾙ･ｼｽﾏの風</v>
      </c>
    </row>
    <row r="302" spans="1:4" x14ac:dyDescent="0.15">
      <c r="A302" s="4">
        <v>4</v>
      </c>
      <c r="B302" s="26">
        <f t="shared" ref="B302:B303" si="45">IF(B301&gt;31,23,B301+1)</f>
        <v>28</v>
      </c>
      <c r="C302" s="4">
        <v>12</v>
      </c>
      <c r="D302" s="4" t="str">
        <f>INDEX(Sheet1!$B:$AQ,テスト!C302+2,テスト!B302)</f>
        <v>悪意に満ちた蘇りし者</v>
      </c>
    </row>
    <row r="303" spans="1:4" x14ac:dyDescent="0.15">
      <c r="A303" s="4">
        <v>4</v>
      </c>
      <c r="B303" s="26">
        <f t="shared" si="45"/>
        <v>29</v>
      </c>
      <c r="C303" s="4">
        <v>15</v>
      </c>
      <c r="D303" s="4" t="str">
        <f>INDEX(Sheet1!$B:$AQ,テスト!C303+2,テスト!B303)</f>
        <v>熱狂Slv</v>
      </c>
    </row>
    <row r="304" spans="1:4" x14ac:dyDescent="0.15">
      <c r="A304" s="4">
        <v>5</v>
      </c>
      <c r="B304" s="26">
        <v>38</v>
      </c>
      <c r="C304" s="4">
        <v>1</v>
      </c>
      <c r="D304" s="4" t="str">
        <f>INDEX(Sheet1!$B:$AQ,テスト!C304+2,テスト!B304)</f>
        <v>修復の天使</v>
      </c>
    </row>
    <row r="305" spans="1:4" x14ac:dyDescent="0.15">
      <c r="A305" s="4"/>
      <c r="D305" s="4">
        <v>20</v>
      </c>
    </row>
    <row r="306" spans="1:4" x14ac:dyDescent="0.15">
      <c r="A306" s="4">
        <v>1</v>
      </c>
      <c r="B306" s="26">
        <v>1</v>
      </c>
      <c r="C306" s="4">
        <v>33</v>
      </c>
      <c r="D306" s="4" t="str">
        <f>INDEX(Sheet1!$B:$AQ,テスト!C306+2,テスト!B306)</f>
        <v>薄れ馬</v>
      </c>
    </row>
    <row r="307" spans="1:4" x14ac:dyDescent="0.15">
      <c r="A307" s="4">
        <v>1</v>
      </c>
      <c r="B307" s="26">
        <f>IF(B306&gt;9,1,B306+1)</f>
        <v>2</v>
      </c>
      <c r="C307" s="4">
        <v>29</v>
      </c>
      <c r="D307" s="4" t="str">
        <f>INDEX(Sheet1!$B:$AQ,テスト!C307+2,テスト!B307)</f>
        <v>上昇気流の精霊</v>
      </c>
    </row>
    <row r="308" spans="1:4" x14ac:dyDescent="0.15">
      <c r="A308" s="4">
        <v>1</v>
      </c>
      <c r="B308" s="26">
        <f t="shared" ref="B308:B310" si="46">IF(B307&gt;9,1,B307+1)</f>
        <v>3</v>
      </c>
      <c r="C308" s="4">
        <v>28</v>
      </c>
      <c r="D308" s="4" t="str">
        <f>INDEX(Sheet1!$B:$AQ,テスト!C308+2,テスト!B308)</f>
        <v>影切り</v>
      </c>
    </row>
    <row r="309" spans="1:4" x14ac:dyDescent="0.15">
      <c r="A309" s="4">
        <v>1</v>
      </c>
      <c r="B309" s="26">
        <f t="shared" si="46"/>
        <v>4</v>
      </c>
      <c r="C309" s="4">
        <v>5</v>
      </c>
      <c r="D309" s="4" t="str">
        <f>INDEX(Sheet1!$B:$AQ,テスト!C309+2,テスト!B309)</f>
        <v>ｱﾀﾙｶのｲﾌﾘｰﾄ</v>
      </c>
    </row>
    <row r="310" spans="1:4" x14ac:dyDescent="0.15">
      <c r="A310" s="4">
        <v>1</v>
      </c>
      <c r="B310" s="26">
        <f t="shared" si="46"/>
        <v>5</v>
      </c>
      <c r="C310" s="4">
        <v>1</v>
      </c>
      <c r="D310" s="4" t="str">
        <f>INDEX(Sheet1!$B:$AQ,テスト!C310+2,テスト!B310)</f>
        <v>荒廃のﾏﾝﾊﾞ</v>
      </c>
    </row>
    <row r="311" spans="1:4" x14ac:dyDescent="0.15">
      <c r="A311" s="4">
        <v>2</v>
      </c>
      <c r="B311" s="26">
        <v>18</v>
      </c>
      <c r="C311" s="4">
        <v>23</v>
      </c>
      <c r="D311" s="4" t="str">
        <f>INDEX(Sheet1!$B:$AQ,テスト!C311+2,テスト!B311)</f>
        <v>水路の蠍</v>
      </c>
    </row>
    <row r="312" spans="1:4" x14ac:dyDescent="0.15">
      <c r="A312" s="4">
        <v>2</v>
      </c>
      <c r="B312" s="26">
        <f>IF(B311&gt;19,11,B311+1)</f>
        <v>19</v>
      </c>
      <c r="C312" s="4">
        <v>10</v>
      </c>
      <c r="D312" s="4" t="str">
        <f>INDEX(Sheet1!$B:$AQ,テスト!C312+2,テスト!B312)</f>
        <v>ﾎﾞﾛｽの補充兵</v>
      </c>
    </row>
    <row r="313" spans="1:4" x14ac:dyDescent="0.15">
      <c r="A313" s="4">
        <v>2</v>
      </c>
      <c r="B313" s="26">
        <f>IF(B312&gt;19,11,B312+1)</f>
        <v>20</v>
      </c>
      <c r="C313" s="4">
        <v>16</v>
      </c>
      <c r="D313" s="4" t="str">
        <f>INDEX(Sheet1!$B:$AQ,テスト!C313+2,テスト!B313)</f>
        <v>生体変化</v>
      </c>
    </row>
    <row r="314" spans="1:4" x14ac:dyDescent="0.15">
      <c r="A314" s="4">
        <v>2</v>
      </c>
      <c r="B314" s="26">
        <f>IF(B313&gt;19,11,B313+1)</f>
        <v>11</v>
      </c>
      <c r="C314" s="4">
        <v>1</v>
      </c>
      <c r="D314" s="4" t="str">
        <f>INDEX(Sheet1!$B:$AQ,テスト!C314+2,テスト!B314)</f>
        <v>血清Slv</v>
      </c>
    </row>
    <row r="315" spans="1:4" x14ac:dyDescent="0.15">
      <c r="A315" s="4">
        <v>3</v>
      </c>
      <c r="B315" s="26">
        <v>21</v>
      </c>
      <c r="C315" s="4">
        <v>40</v>
      </c>
      <c r="D315" s="4" t="str">
        <f>INDEX(Sheet1!$B:$AQ,テスト!C315+2,テスト!B315)</f>
        <v>空に届くﾏﾝﾀ</v>
      </c>
    </row>
    <row r="316" spans="1:4" x14ac:dyDescent="0.15">
      <c r="A316" s="4">
        <v>3</v>
      </c>
      <c r="B316" s="26">
        <v>22</v>
      </c>
      <c r="C316" s="4">
        <v>54</v>
      </c>
      <c r="D316" s="4" t="str">
        <f>INDEX(Sheet1!$B:$AQ,テスト!C316+2,テスト!B316)</f>
        <v>憑依された沼墓</v>
      </c>
    </row>
    <row r="317" spans="1:4" x14ac:dyDescent="0.15">
      <c r="A317" s="4">
        <v>4</v>
      </c>
      <c r="B317" s="26">
        <v>28</v>
      </c>
      <c r="C317" s="4">
        <v>4</v>
      </c>
      <c r="D317" s="4" t="str">
        <f>INDEX(Sheet1!$B:$AQ,テスト!C317+2,テスト!B317)</f>
        <v>攻撃の元型</v>
      </c>
    </row>
    <row r="318" spans="1:4" x14ac:dyDescent="0.15">
      <c r="A318" s="4">
        <v>4</v>
      </c>
      <c r="B318" s="26">
        <f t="shared" ref="B318:B319" si="47">IF(B317&gt;31,23,B317+1)</f>
        <v>29</v>
      </c>
      <c r="C318" s="4">
        <v>32</v>
      </c>
      <c r="D318" s="4" t="str">
        <f>INDEX(Sheet1!$B:$AQ,テスト!C318+2,テスト!B318)</f>
        <v>増力Slv</v>
      </c>
    </row>
    <row r="319" spans="1:4" x14ac:dyDescent="0.15">
      <c r="A319" s="4">
        <v>4</v>
      </c>
      <c r="B319" s="26">
        <f t="shared" si="47"/>
        <v>30</v>
      </c>
      <c r="C319" s="4">
        <v>9</v>
      </c>
      <c r="D319" s="4" t="str">
        <f>INDEX(Sheet1!$B:$AQ,テスト!C319+2,テスト!B319)</f>
        <v>ﾏﾙﾄﾞｩ土地</v>
      </c>
    </row>
    <row r="320" spans="1:4" x14ac:dyDescent="0.15">
      <c r="A320" s="4">
        <v>5</v>
      </c>
      <c r="B320" s="26">
        <v>42</v>
      </c>
      <c r="C320" s="4">
        <v>11</v>
      </c>
      <c r="D320" s="4" t="str">
        <f>INDEX(Sheet1!$B:$AQ,テスト!C320+2,テスト!B320)</f>
        <v>複製の儀式</v>
      </c>
    </row>
    <row r="321" spans="1:4" x14ac:dyDescent="0.15">
      <c r="A321" s="4"/>
      <c r="D321" s="4">
        <v>21</v>
      </c>
    </row>
    <row r="322" spans="1:4" x14ac:dyDescent="0.15">
      <c r="A322" s="4">
        <v>1</v>
      </c>
      <c r="B322" s="26">
        <v>7</v>
      </c>
      <c r="C322" s="4">
        <v>4</v>
      </c>
      <c r="D322" s="4" t="str">
        <f>INDEX(Sheet1!$B:$AQ,テスト!C322+2,テスト!B322)</f>
        <v>同期Slv</v>
      </c>
    </row>
    <row r="323" spans="1:4" x14ac:dyDescent="0.15">
      <c r="A323" s="4">
        <v>1</v>
      </c>
      <c r="B323" s="26">
        <f>IF(B322&gt;9,1,B322+1)</f>
        <v>8</v>
      </c>
      <c r="C323" s="4">
        <v>32</v>
      </c>
      <c r="D323" s="4" t="str">
        <f>INDEX(Sheet1!$B:$AQ,テスト!C323+2,テスト!B323)</f>
        <v>毒の屍賊</v>
      </c>
    </row>
    <row r="324" spans="1:4" x14ac:dyDescent="0.15">
      <c r="A324" s="4">
        <v>1</v>
      </c>
      <c r="B324" s="26">
        <f t="shared" ref="B324:B326" si="48">IF(B323&gt;9,1,B323+1)</f>
        <v>9</v>
      </c>
      <c r="C324" s="4">
        <v>25</v>
      </c>
      <c r="D324" s="4" t="str">
        <f>INDEX(Sheet1!$B:$AQ,テスト!C324+2,テスト!B324)</f>
        <v>乱打Slv</v>
      </c>
    </row>
    <row r="325" spans="1:4" x14ac:dyDescent="0.15">
      <c r="A325" s="4">
        <v>1</v>
      </c>
      <c r="B325" s="26">
        <f t="shared" si="48"/>
        <v>10</v>
      </c>
      <c r="C325" s="4">
        <v>18</v>
      </c>
      <c r="D325" s="4" t="str">
        <f>INDEX(Sheet1!$B:$AQ,テスト!C325+2,テスト!B325)</f>
        <v>順応する跳ね顎</v>
      </c>
    </row>
    <row r="326" spans="1:4" x14ac:dyDescent="0.15">
      <c r="A326" s="4">
        <v>1</v>
      </c>
      <c r="B326" s="26">
        <f t="shared" si="48"/>
        <v>1</v>
      </c>
      <c r="C326" s="4">
        <v>3</v>
      </c>
      <c r="D326" s="4" t="str">
        <f>INDEX(Sheet1!$B:$AQ,テスト!C326+2,テスト!B326)</f>
        <v>狐の明け刃</v>
      </c>
    </row>
    <row r="327" spans="1:4" x14ac:dyDescent="0.15">
      <c r="A327" s="4">
        <v>2</v>
      </c>
      <c r="B327" s="26">
        <v>12</v>
      </c>
      <c r="C327" s="4">
        <v>12</v>
      </c>
      <c r="D327" s="4" t="str">
        <f>INDEX(Sheet1!$B:$AQ,テスト!C327+2,テスト!B327)</f>
        <v>凍結燃焼の奇魔</v>
      </c>
    </row>
    <row r="328" spans="1:4" x14ac:dyDescent="0.15">
      <c r="A328" s="4">
        <v>2</v>
      </c>
      <c r="B328" s="26">
        <f>IF(B327&gt;19,11,B327+1)</f>
        <v>13</v>
      </c>
      <c r="C328" s="4">
        <v>28</v>
      </c>
      <c r="D328" s="4" t="str">
        <f>INDEX(Sheet1!$B:$AQ,テスト!C328+2,テスト!B328)</f>
        <v>忌まわしい回収</v>
      </c>
    </row>
    <row r="329" spans="1:4" x14ac:dyDescent="0.15">
      <c r="A329" s="4">
        <v>2</v>
      </c>
      <c r="B329" s="26">
        <f>IF(B328&gt;19,11,B328+1)</f>
        <v>14</v>
      </c>
      <c r="C329" s="4">
        <v>20</v>
      </c>
      <c r="D329" s="4" t="str">
        <f>INDEX(Sheet1!$B:$AQ,テスト!C329+2,テスト!B329)</f>
        <v>天羅至の叫び</v>
      </c>
    </row>
    <row r="330" spans="1:4" x14ac:dyDescent="0.15">
      <c r="A330" s="4">
        <v>2</v>
      </c>
      <c r="B330" s="26">
        <f>IF(B329&gt;19,11,B329+1)</f>
        <v>15</v>
      </c>
      <c r="C330" s="4">
        <v>15</v>
      </c>
      <c r="D330" s="4" t="str">
        <f>INDEX(Sheet1!$B:$AQ,テスト!C330+2,テスト!B330)</f>
        <v>構造のひずみ</v>
      </c>
    </row>
    <row r="331" spans="1:4" x14ac:dyDescent="0.15">
      <c r="A331" s="4">
        <v>3</v>
      </c>
      <c r="B331" s="26">
        <v>21</v>
      </c>
      <c r="C331" s="4">
        <v>1</v>
      </c>
      <c r="D331" s="4" t="str">
        <f>INDEX(Sheet1!$B:$AQ,テスト!C331+2,テスト!B331)</f>
        <v>ｵﾙｿﾞﾌの導き石</v>
      </c>
    </row>
    <row r="332" spans="1:4" x14ac:dyDescent="0.15">
      <c r="A332" s="4">
        <v>3</v>
      </c>
      <c r="B332" s="26">
        <v>22</v>
      </c>
      <c r="C332" s="4">
        <v>9</v>
      </c>
      <c r="D332" s="4" t="str">
        <f>INDEX(Sheet1!$B:$AQ,テスト!C332+2,テスト!B332)</f>
        <v>RWL</v>
      </c>
    </row>
    <row r="333" spans="1:4" x14ac:dyDescent="0.15">
      <c r="A333" s="4">
        <v>4</v>
      </c>
      <c r="B333" s="26">
        <v>27</v>
      </c>
      <c r="C333" s="4">
        <v>11</v>
      </c>
      <c r="D333" s="4" t="str">
        <f>INDEX(Sheet1!$B:$AQ,テスト!C333+2,テスト!B333)</f>
        <v>ｻﾌｧｲｱのﾄﾞﾚｲｸ</v>
      </c>
    </row>
    <row r="334" spans="1:4" x14ac:dyDescent="0.15">
      <c r="A334" s="4">
        <v>4</v>
      </c>
      <c r="B334" s="26">
        <f t="shared" ref="B334:B335" si="49">IF(B333&gt;31,23,B333+1)</f>
        <v>28</v>
      </c>
      <c r="C334" s="4">
        <v>31</v>
      </c>
      <c r="D334" s="4" t="str">
        <f>INDEX(Sheet1!$B:$AQ,テスト!C334+2,テスト!B334)</f>
        <v>攻撃の元型</v>
      </c>
    </row>
    <row r="335" spans="1:4" x14ac:dyDescent="0.15">
      <c r="A335" s="4">
        <v>4</v>
      </c>
      <c r="B335" s="26">
        <f t="shared" si="49"/>
        <v>29</v>
      </c>
      <c r="C335" s="4">
        <v>27</v>
      </c>
      <c r="D335" s="4" t="str">
        <f>INDEX(Sheet1!$B:$AQ,テスト!C335+2,テスト!B335)</f>
        <v>信号の邪魔者</v>
      </c>
    </row>
    <row r="336" spans="1:4" x14ac:dyDescent="0.15">
      <c r="A336" s="4">
        <v>5</v>
      </c>
      <c r="B336" s="26">
        <v>42</v>
      </c>
      <c r="C336" s="4">
        <v>15</v>
      </c>
      <c r="D336" s="4" t="str">
        <f>INDEX(Sheet1!$B:$AQ,テスト!C336+2,テスト!B336)</f>
        <v>白日の下に</v>
      </c>
    </row>
    <row r="337" spans="1:4" x14ac:dyDescent="0.15">
      <c r="A337" s="4"/>
      <c r="D337" s="4">
        <v>22</v>
      </c>
    </row>
    <row r="338" spans="1:4" x14ac:dyDescent="0.15">
      <c r="A338" s="4">
        <v>1</v>
      </c>
      <c r="B338" s="26">
        <v>9</v>
      </c>
      <c r="C338" s="4">
        <v>4</v>
      </c>
      <c r="D338" s="4" t="str">
        <f>INDEX(Sheet1!$B:$AQ,テスト!C338+2,テスト!B338)</f>
        <v>乱打Slv</v>
      </c>
    </row>
    <row r="339" spans="1:4" x14ac:dyDescent="0.15">
      <c r="A339" s="4">
        <v>1</v>
      </c>
      <c r="B339" s="26">
        <f>IF(B338&gt;9,1,B338+1)</f>
        <v>10</v>
      </c>
      <c r="C339" s="4">
        <v>24</v>
      </c>
      <c r="D339" s="4" t="str">
        <f>INDEX(Sheet1!$B:$AQ,テスト!C339+2,テスト!B339)</f>
        <v>道壊しﾜｰﾑ</v>
      </c>
    </row>
    <row r="340" spans="1:4" x14ac:dyDescent="0.15">
      <c r="A340" s="4">
        <v>1</v>
      </c>
      <c r="B340" s="26">
        <f t="shared" ref="B340:B342" si="50">IF(B339&gt;9,1,B339+1)</f>
        <v>1</v>
      </c>
      <c r="C340" s="4">
        <v>31</v>
      </c>
      <c r="D340" s="4" t="str">
        <f>INDEX(Sheet1!$B:$AQ,テスト!C340+2,テスト!B340)</f>
        <v>ﾑｰｱﾗﾝﾄﾞの流れ者</v>
      </c>
    </row>
    <row r="341" spans="1:4" x14ac:dyDescent="0.15">
      <c r="A341" s="4">
        <v>1</v>
      </c>
      <c r="B341" s="26">
        <f t="shared" si="50"/>
        <v>2</v>
      </c>
      <c r="C341" s="4">
        <v>24</v>
      </c>
      <c r="D341" s="4" t="str">
        <f>INDEX(Sheet1!$B:$AQ,テスト!C341+2,テスト!B341)</f>
        <v>ﾍﾘｳﾑ噴射獣</v>
      </c>
    </row>
    <row r="342" spans="1:4" x14ac:dyDescent="0.15">
      <c r="A342" s="4">
        <v>1</v>
      </c>
      <c r="B342" s="26">
        <f t="shared" si="50"/>
        <v>3</v>
      </c>
      <c r="C342" s="4">
        <v>9</v>
      </c>
      <c r="D342" s="4" t="str">
        <f>INDEX(Sheet1!$B:$AQ,テスト!C342+2,テスト!B342)</f>
        <v>黒割れのｺﾞﾌﾞﾘﾝ</v>
      </c>
    </row>
    <row r="343" spans="1:4" x14ac:dyDescent="0.15">
      <c r="A343" s="4">
        <v>2</v>
      </c>
      <c r="B343" s="26">
        <v>17</v>
      </c>
      <c r="C343" s="4">
        <v>28</v>
      </c>
      <c r="D343" s="4" t="str">
        <f>INDEX(Sheet1!$B:$AQ,テスト!C343+2,テスト!B343)</f>
        <v>裏返し</v>
      </c>
    </row>
    <row r="344" spans="1:4" x14ac:dyDescent="0.15">
      <c r="A344" s="4">
        <v>2</v>
      </c>
      <c r="B344" s="26">
        <f>IF(B343&gt;19,11,B343+1)</f>
        <v>18</v>
      </c>
      <c r="C344" s="4">
        <v>2</v>
      </c>
      <c r="D344" s="4" t="str">
        <f>INDEX(Sheet1!$B:$AQ,テスト!C344+2,テスト!B344)</f>
        <v>剛力化</v>
      </c>
    </row>
    <row r="345" spans="1:4" x14ac:dyDescent="0.15">
      <c r="A345" s="4">
        <v>2</v>
      </c>
      <c r="B345" s="26">
        <f>IF(B344&gt;19,11,B344+1)</f>
        <v>19</v>
      </c>
      <c r="C345" s="4">
        <v>6</v>
      </c>
      <c r="D345" s="4" t="str">
        <f>INDEX(Sheet1!$B:$AQ,テスト!C345+2,テスト!B345)</f>
        <v>戦乱の閃光</v>
      </c>
    </row>
    <row r="346" spans="1:4" x14ac:dyDescent="0.15">
      <c r="A346" s="4">
        <v>2</v>
      </c>
      <c r="B346" s="26">
        <f>IF(B345&gt;19,11,B345+1)</f>
        <v>20</v>
      </c>
      <c r="C346" s="4">
        <v>22</v>
      </c>
      <c r="D346" s="4" t="str">
        <f>INDEX(Sheet1!$B:$AQ,テスト!C346+2,テスト!B346)</f>
        <v>生体変化</v>
      </c>
    </row>
    <row r="347" spans="1:4" x14ac:dyDescent="0.15">
      <c r="A347" s="4">
        <v>3</v>
      </c>
      <c r="B347" s="26">
        <v>21</v>
      </c>
      <c r="C347" s="4">
        <v>36</v>
      </c>
      <c r="D347" s="4" t="str">
        <f>INDEX(Sheet1!$B:$AQ,テスト!C347+2,テスト!B347)</f>
        <v>ﾎﾞﾛｽの導き石</v>
      </c>
    </row>
    <row r="348" spans="1:4" x14ac:dyDescent="0.15">
      <c r="A348" s="4">
        <v>3</v>
      </c>
      <c r="B348" s="26">
        <v>22</v>
      </c>
      <c r="C348" s="4">
        <v>30</v>
      </c>
      <c r="D348" s="4" t="str">
        <f>INDEX(Sheet1!$B:$AQ,テスト!C348+2,テスト!B348)</f>
        <v>URL</v>
      </c>
    </row>
    <row r="349" spans="1:4" x14ac:dyDescent="0.15">
      <c r="A349" s="4">
        <v>4</v>
      </c>
      <c r="B349" s="26">
        <v>25</v>
      </c>
      <c r="C349" s="4">
        <v>15</v>
      </c>
      <c r="D349" s="4" t="str">
        <f>INDEX(Sheet1!$B:$AQ,テスト!C349+2,テスト!B349)</f>
        <v>霊炎Slv</v>
      </c>
    </row>
    <row r="350" spans="1:4" x14ac:dyDescent="0.15">
      <c r="A350" s="4">
        <v>4</v>
      </c>
      <c r="B350" s="26">
        <f t="shared" ref="B350:B351" si="51">IF(B349&gt;31,23,B349+1)</f>
        <v>26</v>
      </c>
      <c r="C350" s="4">
        <v>20</v>
      </c>
      <c r="D350" s="4" t="str">
        <f>INDEX(Sheet1!$B:$AQ,テスト!C350+2,テスト!B350)</f>
        <v>意思の激突</v>
      </c>
    </row>
    <row r="351" spans="1:4" x14ac:dyDescent="0.15">
      <c r="A351" s="4">
        <v>4</v>
      </c>
      <c r="B351" s="26">
        <f t="shared" si="51"/>
        <v>27</v>
      </c>
      <c r="C351" s="4">
        <v>16</v>
      </c>
      <c r="D351" s="4" t="str">
        <f>INDEX(Sheet1!$B:$AQ,テスト!C351+2,テスト!B351)</f>
        <v>頑丈な雛</v>
      </c>
    </row>
    <row r="352" spans="1:4" x14ac:dyDescent="0.15">
      <c r="A352" s="4">
        <v>5</v>
      </c>
      <c r="B352" s="26">
        <v>37</v>
      </c>
      <c r="C352" s="4">
        <v>1</v>
      </c>
      <c r="D352" s="4" t="str">
        <f>INDEX(Sheet1!$B:$AQ,テスト!C352+2,テスト!B352)</f>
        <v>神の怒り</v>
      </c>
    </row>
    <row r="353" spans="1:4" x14ac:dyDescent="0.15">
      <c r="A353" s="4"/>
      <c r="D353" s="4">
        <v>23</v>
      </c>
    </row>
    <row r="354" spans="1:4" x14ac:dyDescent="0.15">
      <c r="A354" s="4">
        <v>1</v>
      </c>
      <c r="B354" s="26">
        <v>6</v>
      </c>
      <c r="C354" s="4">
        <v>20</v>
      </c>
      <c r="D354" s="4" t="str">
        <f>INDEX(Sheet1!$B:$AQ,テスト!C354+2,テスト!B354)</f>
        <v>三つぞろいの霊魂</v>
      </c>
    </row>
    <row r="355" spans="1:4" x14ac:dyDescent="0.15">
      <c r="A355" s="4">
        <v>1</v>
      </c>
      <c r="B355" s="26">
        <f>IF(B354&gt;9,1,B354+1)</f>
        <v>7</v>
      </c>
      <c r="C355" s="4">
        <v>17</v>
      </c>
      <c r="D355" s="4" t="str">
        <f>INDEX(Sheet1!$B:$AQ,テスト!C355+2,テスト!B355)</f>
        <v>熟考漂い</v>
      </c>
    </row>
    <row r="356" spans="1:4" x14ac:dyDescent="0.15">
      <c r="A356" s="4">
        <v>1</v>
      </c>
      <c r="B356" s="26">
        <f t="shared" ref="B356:B358" si="52">IF(B355&gt;9,1,B355+1)</f>
        <v>8</v>
      </c>
      <c r="C356" s="4">
        <v>18</v>
      </c>
      <c r="D356" s="4" t="str">
        <f>INDEX(Sheet1!$B:$AQ,テスト!C356+2,テスト!B356)</f>
        <v>小走りの死神</v>
      </c>
    </row>
    <row r="357" spans="1:4" x14ac:dyDescent="0.15">
      <c r="A357" s="4">
        <v>1</v>
      </c>
      <c r="B357" s="26">
        <f t="shared" si="52"/>
        <v>9</v>
      </c>
      <c r="C357" s="4">
        <v>35</v>
      </c>
      <c r="D357" s="4" t="str">
        <f>INDEX(Sheet1!$B:$AQ,テスト!C357+2,テスト!B357)</f>
        <v>感電の弧炎</v>
      </c>
    </row>
    <row r="358" spans="1:4" x14ac:dyDescent="0.15">
      <c r="A358" s="4">
        <v>1</v>
      </c>
      <c r="B358" s="26">
        <f t="shared" si="52"/>
        <v>10</v>
      </c>
      <c r="C358" s="4">
        <v>32</v>
      </c>
      <c r="D358" s="4" t="str">
        <f>INDEX(Sheet1!$B:$AQ,テスト!C358+2,テスト!B358)</f>
        <v>反射Slv</v>
      </c>
    </row>
    <row r="359" spans="1:4" x14ac:dyDescent="0.15">
      <c r="A359" s="4">
        <v>2</v>
      </c>
      <c r="B359" s="26">
        <v>11</v>
      </c>
      <c r="C359" s="4">
        <v>24</v>
      </c>
      <c r="D359" s="4" t="str">
        <f>INDEX(Sheet1!$B:$AQ,テスト!C359+2,テスト!B359)</f>
        <v>哀悼のｽﾗﾙ</v>
      </c>
    </row>
    <row r="360" spans="1:4" x14ac:dyDescent="0.15">
      <c r="A360" s="4">
        <v>2</v>
      </c>
      <c r="B360" s="26">
        <f>IF(B359&gt;19,11,B359+1)</f>
        <v>12</v>
      </c>
      <c r="C360" s="4">
        <v>3</v>
      </c>
      <c r="D360" s="4" t="str">
        <f>INDEX(Sheet1!$B:$AQ,テスト!C360+2,テスト!B360)</f>
        <v>信仰の足枷</v>
      </c>
    </row>
    <row r="361" spans="1:4" x14ac:dyDescent="0.15">
      <c r="A361" s="4">
        <v>2</v>
      </c>
      <c r="B361" s="26">
        <f>IF(B360&gt;19,11,B360+1)</f>
        <v>13</v>
      </c>
      <c r="C361" s="4">
        <v>13</v>
      </c>
      <c r="D361" s="4" t="str">
        <f>INDEX(Sheet1!$B:$AQ,テスト!C361+2,テスト!B361)</f>
        <v>激情Slv</v>
      </c>
    </row>
    <row r="362" spans="1:4" x14ac:dyDescent="0.15">
      <c r="A362" s="4">
        <v>2</v>
      </c>
      <c r="B362" s="26">
        <f>IF(B361&gt;19,11,B361+1)</f>
        <v>14</v>
      </c>
      <c r="C362" s="4">
        <v>16</v>
      </c>
      <c r="D362" s="4" t="str">
        <f>INDEX(Sheet1!$B:$AQ,テスト!C362+2,テスト!B362)</f>
        <v>ヴｨｰｱｼｰﾉの初太刀</v>
      </c>
    </row>
    <row r="363" spans="1:4" x14ac:dyDescent="0.15">
      <c r="A363" s="4">
        <v>3</v>
      </c>
      <c r="B363" s="26">
        <v>21</v>
      </c>
      <c r="C363" s="4">
        <v>6</v>
      </c>
      <c r="D363" s="4" t="str">
        <f>INDEX(Sheet1!$B:$AQ,テスト!C363+2,テスト!B363)</f>
        <v>心鍛のｺﾞｰﾚﾑ</v>
      </c>
    </row>
    <row r="364" spans="1:4" x14ac:dyDescent="0.15">
      <c r="A364" s="4">
        <v>3</v>
      </c>
      <c r="B364" s="26">
        <v>22</v>
      </c>
      <c r="C364" s="4">
        <v>51</v>
      </c>
      <c r="D364" s="4" t="str">
        <f>INDEX(Sheet1!$B:$AQ,テスト!C364+2,テスト!B364)</f>
        <v>RWL</v>
      </c>
    </row>
    <row r="365" spans="1:4" x14ac:dyDescent="0.15">
      <c r="A365" s="4">
        <v>4</v>
      </c>
      <c r="B365" s="26">
        <v>28</v>
      </c>
      <c r="C365" s="4">
        <v>14</v>
      </c>
      <c r="D365" s="4" t="str">
        <f>INDEX(Sheet1!$B:$AQ,テスト!C365+2,テスト!B365)</f>
        <v>脊柱噛み</v>
      </c>
    </row>
    <row r="366" spans="1:4" x14ac:dyDescent="0.15">
      <c r="A366" s="4">
        <v>4</v>
      </c>
      <c r="B366" s="26">
        <f t="shared" ref="B366:B367" si="53">IF(B365&gt;31,23,B365+1)</f>
        <v>29</v>
      </c>
      <c r="C366" s="4">
        <v>9</v>
      </c>
      <c r="D366" s="4" t="str">
        <f>INDEX(Sheet1!$B:$AQ,テスト!C366+2,テスト!B366)</f>
        <v>信号の邪魔者</v>
      </c>
    </row>
    <row r="367" spans="1:4" x14ac:dyDescent="0.15">
      <c r="A367" s="4">
        <v>4</v>
      </c>
      <c r="B367" s="26">
        <f t="shared" si="53"/>
        <v>30</v>
      </c>
      <c r="C367" s="4">
        <v>8</v>
      </c>
      <c r="D367" s="4" t="str">
        <f>INDEX(Sheet1!$B:$AQ,テスト!C367+2,テスト!B367)</f>
        <v>摩耗+損耗</v>
      </c>
    </row>
    <row r="368" spans="1:4" x14ac:dyDescent="0.15">
      <c r="A368" s="4">
        <v>5</v>
      </c>
      <c r="B368" s="26">
        <v>34</v>
      </c>
      <c r="C368" s="4">
        <v>4</v>
      </c>
      <c r="D368" s="4" t="str">
        <f>INDEX(Sheet1!$B:$AQ,テスト!C368+2,テスト!B368)</f>
        <v>怒りの反射</v>
      </c>
    </row>
    <row r="369" spans="1:4" x14ac:dyDescent="0.15">
      <c r="A369" s="4"/>
      <c r="D369" s="4">
        <v>24</v>
      </c>
    </row>
    <row r="370" spans="1:4" x14ac:dyDescent="0.15">
      <c r="A370" s="4">
        <v>1</v>
      </c>
      <c r="B370" s="26">
        <v>10</v>
      </c>
      <c r="C370" s="4">
        <v>22</v>
      </c>
      <c r="D370" s="4" t="str">
        <f>INDEX(Sheet1!$B:$AQ,テスト!C370+2,テスト!B370)</f>
        <v>黄金の木立ちの蛇</v>
      </c>
    </row>
    <row r="371" spans="1:4" x14ac:dyDescent="0.15">
      <c r="A371" s="4">
        <v>1</v>
      </c>
      <c r="B371" s="26">
        <f>IF(B370&gt;9,1,B370+1)</f>
        <v>1</v>
      </c>
      <c r="C371" s="4">
        <v>24</v>
      </c>
      <c r="D371" s="4" t="str">
        <f>INDEX(Sheet1!$B:$AQ,テスト!C371+2,テスト!B371)</f>
        <v>狐の明け刃</v>
      </c>
    </row>
    <row r="372" spans="1:4" x14ac:dyDescent="0.15">
      <c r="A372" s="4">
        <v>1</v>
      </c>
      <c r="B372" s="26">
        <f t="shared" ref="B372:B374" si="54">IF(B371&gt;9,1,B371+1)</f>
        <v>2</v>
      </c>
      <c r="C372" s="4">
        <v>26</v>
      </c>
      <c r="D372" s="4" t="str">
        <f>INDEX(Sheet1!$B:$AQ,テスト!C372+2,テスト!B372)</f>
        <v>ｴｲヴﾝの偵察兵</v>
      </c>
    </row>
    <row r="373" spans="1:4" x14ac:dyDescent="0.15">
      <c r="A373" s="4">
        <v>1</v>
      </c>
      <c r="B373" s="26">
        <f t="shared" si="54"/>
        <v>3</v>
      </c>
      <c r="C373" s="4">
        <v>4</v>
      </c>
      <c r="D373" s="4" t="str">
        <f>INDEX(Sheet1!$B:$AQ,テスト!C373+2,テスト!B373)</f>
        <v>毒の屍賊</v>
      </c>
    </row>
    <row r="374" spans="1:4" x14ac:dyDescent="0.15">
      <c r="A374" s="4">
        <v>1</v>
      </c>
      <c r="B374" s="26">
        <f t="shared" si="54"/>
        <v>4</v>
      </c>
      <c r="C374" s="4">
        <v>9</v>
      </c>
      <c r="D374" s="4" t="str">
        <f>INDEX(Sheet1!$B:$AQ,テスト!C374+2,テスト!B374)</f>
        <v>熱血漢の聖戦士</v>
      </c>
    </row>
    <row r="375" spans="1:4" x14ac:dyDescent="0.15">
      <c r="A375" s="4">
        <v>2</v>
      </c>
      <c r="B375" s="26">
        <v>13</v>
      </c>
      <c r="C375" s="4">
        <v>16</v>
      </c>
      <c r="D375" s="4" t="str">
        <f>INDEX(Sheet1!$B:$AQ,テスト!C375+2,テスト!B375)</f>
        <v>神性の贈り物</v>
      </c>
    </row>
    <row r="376" spans="1:4" x14ac:dyDescent="0.15">
      <c r="A376" s="4">
        <v>2</v>
      </c>
      <c r="B376" s="26">
        <f>IF(B375&gt;19,11,B375+1)</f>
        <v>14</v>
      </c>
      <c r="C376" s="4">
        <v>21</v>
      </c>
      <c r="D376" s="4" t="str">
        <f>INDEX(Sheet1!$B:$AQ,テスト!C376+2,テスト!B376)</f>
        <v>骨読み</v>
      </c>
    </row>
    <row r="377" spans="1:4" x14ac:dyDescent="0.15">
      <c r="A377" s="4">
        <v>2</v>
      </c>
      <c r="B377" s="26">
        <f>IF(B376&gt;19,11,B376+1)</f>
        <v>15</v>
      </c>
      <c r="C377" s="4">
        <v>23</v>
      </c>
      <c r="D377" s="4" t="str">
        <f>INDEX(Sheet1!$B:$AQ,テスト!C377+2,テスト!B377)</f>
        <v>ヴｨｸﾞの水植物</v>
      </c>
    </row>
    <row r="378" spans="1:4" x14ac:dyDescent="0.15">
      <c r="A378" s="4">
        <v>2</v>
      </c>
      <c r="B378" s="26">
        <f>IF(B377&gt;19,11,B377+1)</f>
        <v>16</v>
      </c>
      <c r="C378" s="4">
        <v>1</v>
      </c>
      <c r="D378" s="4" t="str">
        <f>INDEX(Sheet1!$B:$AQ,テスト!C378+2,テスト!B378)</f>
        <v>横這Slv</v>
      </c>
    </row>
    <row r="379" spans="1:4" x14ac:dyDescent="0.15">
      <c r="A379" s="4">
        <v>3</v>
      </c>
      <c r="B379" s="26">
        <v>21</v>
      </c>
      <c r="C379" s="4">
        <v>38</v>
      </c>
      <c r="D379" s="4" t="str">
        <f>INDEX(Sheet1!$B:$AQ,テスト!C379+2,テスト!B379)</f>
        <v>心鍛のｺﾞｰﾚﾑ</v>
      </c>
    </row>
    <row r="380" spans="1:4" x14ac:dyDescent="0.15">
      <c r="A380" s="4">
        <v>3</v>
      </c>
      <c r="B380" s="26">
        <v>22</v>
      </c>
      <c r="C380" s="4">
        <v>8</v>
      </c>
      <c r="D380" s="4" t="str">
        <f>INDEX(Sheet1!$B:$AQ,テスト!C380+2,テスト!B380)</f>
        <v>BGL</v>
      </c>
    </row>
    <row r="381" spans="1:4" x14ac:dyDescent="0.15">
      <c r="A381" s="4">
        <v>4</v>
      </c>
      <c r="B381" s="26">
        <v>32</v>
      </c>
      <c r="C381" s="4">
        <v>17</v>
      </c>
      <c r="D381" s="4" t="str">
        <f>INDEX(Sheet1!$B:$AQ,テスト!C381+2,テスト!B381)</f>
        <v>投与+享受</v>
      </c>
    </row>
    <row r="382" spans="1:4" x14ac:dyDescent="0.15">
      <c r="A382" s="4">
        <v>4</v>
      </c>
      <c r="B382" s="26">
        <f t="shared" ref="B382:B383" si="55">IF(B381&gt;31,23,B381+1)</f>
        <v>23</v>
      </c>
      <c r="C382" s="4">
        <v>11</v>
      </c>
      <c r="D382" s="4" t="str">
        <f>INDEX(Sheet1!$B:$AQ,テスト!C382+2,テスト!B382)</f>
        <v>念動Slv</v>
      </c>
    </row>
    <row r="383" spans="1:4" x14ac:dyDescent="0.15">
      <c r="A383" s="4">
        <v>4</v>
      </c>
      <c r="B383" s="26">
        <f t="shared" si="55"/>
        <v>24</v>
      </c>
      <c r="C383" s="4">
        <v>18</v>
      </c>
      <c r="D383" s="4" t="str">
        <f>INDEX(Sheet1!$B:$AQ,テスト!C383+2,テスト!B383)</f>
        <v>ｱﾌﾞｻﾞﾝ土地</v>
      </c>
    </row>
    <row r="384" spans="1:4" x14ac:dyDescent="0.15">
      <c r="A384" s="4">
        <v>5</v>
      </c>
      <c r="B384" s="26">
        <v>42</v>
      </c>
      <c r="C384" s="4">
        <v>6</v>
      </c>
      <c r="D384" s="4" t="str">
        <f>INDEX(Sheet1!$B:$AQ,テスト!C384+2,テスト!B384)</f>
        <v>白日の下に</v>
      </c>
    </row>
    <row r="385" spans="1:4" x14ac:dyDescent="0.15">
      <c r="A385" s="4"/>
      <c r="D385" s="4">
        <v>25</v>
      </c>
    </row>
    <row r="386" spans="1:4" x14ac:dyDescent="0.15">
      <c r="A386" s="4">
        <v>1</v>
      </c>
      <c r="B386" s="26">
        <v>7</v>
      </c>
      <c r="C386" s="4">
        <v>22</v>
      </c>
      <c r="D386" s="4" t="str">
        <f>INDEX(Sheet1!$B:$AQ,テスト!C386+2,テスト!B386)</f>
        <v>上昇気流の精霊</v>
      </c>
    </row>
    <row r="387" spans="1:4" x14ac:dyDescent="0.15">
      <c r="A387" s="4">
        <v>1</v>
      </c>
      <c r="B387" s="26">
        <f>IF(B386&gt;9,1,B386+1)</f>
        <v>8</v>
      </c>
      <c r="C387" s="4">
        <v>1</v>
      </c>
      <c r="D387" s="4" t="str">
        <f>INDEX(Sheet1!$B:$AQ,テスト!C387+2,テスト!B387)</f>
        <v>ｸﾞﾚｲﾌﾞﾃﾞｨｶﾞｰ</v>
      </c>
    </row>
    <row r="388" spans="1:4" x14ac:dyDescent="0.15">
      <c r="A388" s="4">
        <v>1</v>
      </c>
      <c r="B388" s="26">
        <f t="shared" ref="B388:B390" si="56">IF(B387&gt;9,1,B387+1)</f>
        <v>9</v>
      </c>
      <c r="C388" s="4">
        <v>28</v>
      </c>
      <c r="D388" s="4" t="str">
        <f>INDEX(Sheet1!$B:$AQ,テスト!C388+2,テスト!B388)</f>
        <v>氷河の光線</v>
      </c>
    </row>
    <row r="389" spans="1:4" x14ac:dyDescent="0.15">
      <c r="A389" s="4">
        <v>1</v>
      </c>
      <c r="B389" s="26">
        <f t="shared" si="56"/>
        <v>10</v>
      </c>
      <c r="C389" s="4">
        <v>26</v>
      </c>
      <c r="D389" s="4" t="str">
        <f>INDEX(Sheet1!$B:$AQ,テスト!C389+2,テスト!B389)</f>
        <v>確約の神主</v>
      </c>
    </row>
    <row r="390" spans="1:4" x14ac:dyDescent="0.15">
      <c r="A390" s="4">
        <v>1</v>
      </c>
      <c r="B390" s="26">
        <f t="shared" si="56"/>
        <v>1</v>
      </c>
      <c r="C390" s="4">
        <v>28</v>
      </c>
      <c r="D390" s="4" t="str">
        <f>INDEX(Sheet1!$B:$AQ,テスト!C390+2,テスト!B390)</f>
        <v>安全な道</v>
      </c>
    </row>
    <row r="391" spans="1:4" x14ac:dyDescent="0.15">
      <c r="A391" s="4">
        <v>2</v>
      </c>
      <c r="B391" s="26">
        <v>16</v>
      </c>
      <c r="C391" s="4">
        <v>13</v>
      </c>
      <c r="D391" s="4" t="str">
        <f>INDEX(Sheet1!$B:$AQ,テスト!C391+2,テスト!B391)</f>
        <v>横這Slv</v>
      </c>
    </row>
    <row r="392" spans="1:4" x14ac:dyDescent="0.15">
      <c r="A392" s="4">
        <v>2</v>
      </c>
      <c r="B392" s="26">
        <f>IF(B391&gt;19,11,B391+1)</f>
        <v>17</v>
      </c>
      <c r="C392" s="4">
        <v>5</v>
      </c>
      <c r="D392" s="4" t="str">
        <f>INDEX(Sheet1!$B:$AQ,テスト!C392+2,テスト!B392)</f>
        <v>ｺﾞﾌﾞﾘﾝの電術師</v>
      </c>
    </row>
    <row r="393" spans="1:4" x14ac:dyDescent="0.15">
      <c r="A393" s="4">
        <v>2</v>
      </c>
      <c r="B393" s="26">
        <f>IF(B392&gt;19,11,B392+1)</f>
        <v>18</v>
      </c>
      <c r="C393" s="4">
        <v>21</v>
      </c>
      <c r="D393" s="4" t="str">
        <f>INDEX(Sheet1!$B:$AQ,テスト!C393+2,テスト!B393)</f>
        <v>着実な進歩</v>
      </c>
    </row>
    <row r="394" spans="1:4" x14ac:dyDescent="0.15">
      <c r="A394" s="4">
        <v>2</v>
      </c>
      <c r="B394" s="26">
        <f>IF(B393&gt;19,11,B393+1)</f>
        <v>19</v>
      </c>
      <c r="C394" s="4">
        <v>26</v>
      </c>
      <c r="D394" s="4" t="str">
        <f>INDEX(Sheet1!$B:$AQ,テスト!C394+2,テスト!B394)</f>
        <v>天羅至の叫び</v>
      </c>
    </row>
    <row r="395" spans="1:4" x14ac:dyDescent="0.15">
      <c r="A395" s="4">
        <v>3</v>
      </c>
      <c r="B395" s="26">
        <v>21</v>
      </c>
      <c r="C395" s="4">
        <v>3</v>
      </c>
      <c r="D395" s="4" t="str">
        <f>INDEX(Sheet1!$B:$AQ,テスト!C395+2,テスト!B395)</f>
        <v>ｺﾞﾙｶﾞﾘの導き石</v>
      </c>
    </row>
    <row r="396" spans="1:4" x14ac:dyDescent="0.15">
      <c r="A396" s="4">
        <v>3</v>
      </c>
      <c r="B396" s="26">
        <v>22</v>
      </c>
      <c r="C396" s="4">
        <v>3</v>
      </c>
      <c r="D396" s="4" t="str">
        <f>INDEX(Sheet1!$B:$AQ,テスト!C396+2,テスト!B396)</f>
        <v>BGL</v>
      </c>
    </row>
    <row r="397" spans="1:4" x14ac:dyDescent="0.15">
      <c r="A397" s="4">
        <v>4</v>
      </c>
      <c r="B397" s="26">
        <v>30</v>
      </c>
      <c r="C397" s="4">
        <v>12</v>
      </c>
      <c r="D397" s="4" t="str">
        <f>INDEX(Sheet1!$B:$AQ,テスト!C397+2,テスト!B397)</f>
        <v>膿の神</v>
      </c>
    </row>
    <row r="398" spans="1:4" x14ac:dyDescent="0.15">
      <c r="A398" s="4">
        <v>4</v>
      </c>
      <c r="B398" s="26">
        <f t="shared" ref="B398:B399" si="57">IF(B397&gt;31,23,B397+1)</f>
        <v>31</v>
      </c>
      <c r="C398" s="4">
        <v>1</v>
      </c>
      <c r="D398" s="4" t="str">
        <f>INDEX(Sheet1!$B:$AQ,テスト!C398+2,テスト!B398)</f>
        <v>未練ある魂</v>
      </c>
    </row>
    <row r="399" spans="1:4" x14ac:dyDescent="0.15">
      <c r="A399" s="4">
        <v>4</v>
      </c>
      <c r="B399" s="26">
        <f t="shared" si="57"/>
        <v>32</v>
      </c>
      <c r="C399" s="4">
        <v>27</v>
      </c>
      <c r="D399" s="4" t="str">
        <f>INDEX(Sheet1!$B:$AQ,テスト!C399+2,テスト!B399)</f>
        <v>ﾃｨﾑｰﾙ土地</v>
      </c>
    </row>
    <row r="400" spans="1:4" x14ac:dyDescent="0.15">
      <c r="A400" s="4">
        <v>5</v>
      </c>
      <c r="B400" s="26">
        <v>35</v>
      </c>
      <c r="C400" s="4">
        <v>8</v>
      </c>
      <c r="D400" s="4" t="str">
        <f>INDEX(Sheet1!$B:$AQ,テスト!C400+2,テスト!B400)</f>
        <v>荒廃のﾄﾞﾗｺﾞﾝ､ｽｷｼﾞﾘｸｽ</v>
      </c>
    </row>
    <row r="401" spans="1:4" x14ac:dyDescent="0.15">
      <c r="D401" s="4">
        <v>26</v>
      </c>
    </row>
    <row r="402" spans="1:4" x14ac:dyDescent="0.15">
      <c r="A402" s="4">
        <v>1</v>
      </c>
      <c r="B402" s="26">
        <v>8</v>
      </c>
      <c r="C402" s="4">
        <v>3</v>
      </c>
      <c r="D402" s="4" t="str">
        <f>INDEX(Sheet1!$B:$AQ,テスト!C402+2,テスト!B402)</f>
        <v>遠沼の亡霊</v>
      </c>
    </row>
    <row r="403" spans="1:4" x14ac:dyDescent="0.15">
      <c r="A403" s="4">
        <v>1</v>
      </c>
      <c r="B403" s="26">
        <f>IF(B402&gt;9,1,B402+1)</f>
        <v>9</v>
      </c>
      <c r="C403" s="4">
        <v>11</v>
      </c>
      <c r="D403" s="4" t="str">
        <f>INDEX(Sheet1!$B:$AQ,テスト!C403+2,テスト!B403)</f>
        <v>乱打Slv</v>
      </c>
    </row>
    <row r="404" spans="1:4" x14ac:dyDescent="0.15">
      <c r="A404" s="4">
        <v>1</v>
      </c>
      <c r="B404" s="26">
        <f t="shared" ref="B404:B406" si="58">IF(B403&gt;9,1,B403+1)</f>
        <v>10</v>
      </c>
      <c r="C404" s="4">
        <v>16</v>
      </c>
      <c r="D404" s="4" t="str">
        <f>INDEX(Sheet1!$B:$AQ,テスト!C404+2,テスト!B404)</f>
        <v>彼方地のｴﾙﾌ</v>
      </c>
    </row>
    <row r="405" spans="1:4" x14ac:dyDescent="0.15">
      <c r="A405" s="4">
        <v>1</v>
      </c>
      <c r="B405" s="26">
        <f t="shared" si="58"/>
        <v>1</v>
      </c>
      <c r="C405" s="4">
        <v>22</v>
      </c>
      <c r="D405" s="4" t="str">
        <f>INDEX(Sheet1!$B:$AQ,テスト!C405+2,テスト!B405)</f>
        <v>狐の刃遣い</v>
      </c>
    </row>
    <row r="406" spans="1:4" x14ac:dyDescent="0.15">
      <c r="A406" s="4">
        <v>1</v>
      </c>
      <c r="B406" s="26">
        <f t="shared" si="58"/>
        <v>2</v>
      </c>
      <c r="C406" s="4">
        <v>35</v>
      </c>
      <c r="D406" s="4" t="str">
        <f>INDEX(Sheet1!$B:$AQ,テスト!C406+2,テスト!B406)</f>
        <v>未達の目</v>
      </c>
    </row>
    <row r="407" spans="1:4" x14ac:dyDescent="0.15">
      <c r="A407" s="4">
        <v>2</v>
      </c>
      <c r="B407" s="26">
        <v>16</v>
      </c>
      <c r="C407" s="4">
        <v>16</v>
      </c>
      <c r="D407" s="4" t="str">
        <f>INDEX(Sheet1!$B:$AQ,テスト!C407+2,テスト!B407)</f>
        <v>御身の刃</v>
      </c>
    </row>
    <row r="408" spans="1:4" x14ac:dyDescent="0.15">
      <c r="A408" s="4">
        <v>2</v>
      </c>
      <c r="B408" s="26">
        <f>IF(B407&gt;19,11,B407+1)</f>
        <v>17</v>
      </c>
      <c r="C408" s="4">
        <v>6</v>
      </c>
      <c r="D408" s="4" t="str">
        <f>INDEX(Sheet1!$B:$AQ,テスト!C408+2,テスト!B408)</f>
        <v>ｲｾﾞｯﾄの時術師</v>
      </c>
    </row>
    <row r="409" spans="1:4" x14ac:dyDescent="0.15">
      <c r="A409" s="4">
        <v>2</v>
      </c>
      <c r="B409" s="26">
        <f>IF(B408&gt;19,11,B408+1)</f>
        <v>18</v>
      </c>
      <c r="C409" s="4">
        <v>25</v>
      </c>
      <c r="D409" s="4" t="str">
        <f>INDEX(Sheet1!$B:$AQ,テスト!C409+2,テスト!B409)</f>
        <v>激情Slv</v>
      </c>
    </row>
    <row r="410" spans="1:4" x14ac:dyDescent="0.15">
      <c r="A410" s="4">
        <v>2</v>
      </c>
      <c r="B410" s="26">
        <f>IF(B409&gt;19,11,B409+1)</f>
        <v>19</v>
      </c>
      <c r="C410" s="4">
        <v>23</v>
      </c>
      <c r="D410" s="4" t="str">
        <f>INDEX(Sheet1!$B:$AQ,テスト!C410+2,テスト!B410)</f>
        <v>ｳｫｼﾞｪｸの矛槍兵</v>
      </c>
    </row>
    <row r="411" spans="1:4" x14ac:dyDescent="0.15">
      <c r="A411" s="4">
        <v>3</v>
      </c>
      <c r="B411" s="26">
        <v>21</v>
      </c>
      <c r="C411" s="4">
        <v>32</v>
      </c>
      <c r="D411" s="4" t="str">
        <f>INDEX(Sheet1!$B:$AQ,テスト!C411+2,テスト!B411)</f>
        <v>空に届くﾏﾝﾀ</v>
      </c>
    </row>
    <row r="412" spans="1:4" x14ac:dyDescent="0.15">
      <c r="A412" s="4">
        <v>3</v>
      </c>
      <c r="B412" s="26">
        <v>22</v>
      </c>
      <c r="C412" s="4">
        <v>39</v>
      </c>
      <c r="D412" s="4" t="str">
        <f>INDEX(Sheet1!$B:$AQ,テスト!C412+2,テスト!B412)</f>
        <v>流砂</v>
      </c>
    </row>
    <row r="413" spans="1:4" x14ac:dyDescent="0.15">
      <c r="A413" s="4">
        <v>4</v>
      </c>
      <c r="B413" s="26">
        <v>30</v>
      </c>
      <c r="C413" s="4">
        <v>24</v>
      </c>
      <c r="D413" s="4" t="str">
        <f>INDEX(Sheet1!$B:$AQ,テスト!C413+2,テスト!B413)</f>
        <v>暗心Slv</v>
      </c>
    </row>
    <row r="414" spans="1:4" x14ac:dyDescent="0.15">
      <c r="A414" s="4">
        <v>4</v>
      </c>
      <c r="B414" s="26">
        <f t="shared" ref="B414:B415" si="59">IF(B413&gt;31,23,B413+1)</f>
        <v>31</v>
      </c>
      <c r="C414" s="4">
        <v>12</v>
      </c>
      <c r="D414" s="4" t="str">
        <f>INDEX(Sheet1!$B:$AQ,テスト!C414+2,テスト!B414)</f>
        <v>吸血Slv</v>
      </c>
    </row>
    <row r="415" spans="1:4" x14ac:dyDescent="0.15">
      <c r="A415" s="4">
        <v>4</v>
      </c>
      <c r="B415" s="26">
        <f t="shared" si="59"/>
        <v>32</v>
      </c>
      <c r="C415" s="4">
        <v>12</v>
      </c>
      <c r="D415" s="4" t="str">
        <f>INDEX(Sheet1!$B:$AQ,テスト!C415+2,テスト!B415)</f>
        <v>隷属</v>
      </c>
    </row>
    <row r="416" spans="1:4" x14ac:dyDescent="0.15">
      <c r="A416" s="4">
        <v>5</v>
      </c>
      <c r="B416" s="26">
        <v>36</v>
      </c>
      <c r="C416" s="4">
        <v>15</v>
      </c>
      <c r="D416" s="4" t="str">
        <f>INDEX(Sheet1!$B:$AQ,テスト!C416+2,テスト!B416)</f>
        <v>炎まといの報復者</v>
      </c>
    </row>
    <row r="417" spans="1:4" x14ac:dyDescent="0.15">
      <c r="D417" s="4">
        <v>27</v>
      </c>
    </row>
    <row r="418" spans="1:4" x14ac:dyDescent="0.15">
      <c r="A418" s="4">
        <v>1</v>
      </c>
      <c r="B418" s="26">
        <v>9</v>
      </c>
      <c r="C418" s="4">
        <v>15</v>
      </c>
      <c r="D418" s="4" t="str">
        <f>INDEX(Sheet1!$B:$AQ,テスト!C418+2,テスト!B418)</f>
        <v>煙束ね</v>
      </c>
    </row>
    <row r="419" spans="1:4" x14ac:dyDescent="0.15">
      <c r="A419" s="4">
        <v>1</v>
      </c>
      <c r="B419" s="26">
        <f>IF(B418&gt;9,1,B418+1)</f>
        <v>10</v>
      </c>
      <c r="C419" s="4">
        <v>8</v>
      </c>
      <c r="D419" s="4" t="str">
        <f>INDEX(Sheet1!$B:$AQ,テスト!C419+2,テスト!B419)</f>
        <v>黄金の木立ちの蛇</v>
      </c>
    </row>
    <row r="420" spans="1:4" x14ac:dyDescent="0.15">
      <c r="A420" s="4">
        <v>1</v>
      </c>
      <c r="B420" s="26">
        <f t="shared" ref="B420:B422" si="60">IF(B419&gt;9,1,B419+1)</f>
        <v>1</v>
      </c>
      <c r="C420" s="4">
        <v>17</v>
      </c>
      <c r="D420" s="4" t="str">
        <f>INDEX(Sheet1!$B:$AQ,テスト!C420+2,テスト!B420)</f>
        <v>狐の明け刃</v>
      </c>
    </row>
    <row r="421" spans="1:4" x14ac:dyDescent="0.15">
      <c r="A421" s="4">
        <v>1</v>
      </c>
      <c r="B421" s="26">
        <f t="shared" si="60"/>
        <v>2</v>
      </c>
      <c r="C421" s="4">
        <v>17</v>
      </c>
      <c r="D421" s="4" t="str">
        <f>INDEX(Sheet1!$B:$AQ,テスト!C421+2,テスト!B421)</f>
        <v>ﾍﾘｳﾑ噴射獣</v>
      </c>
    </row>
    <row r="422" spans="1:4" x14ac:dyDescent="0.15">
      <c r="A422" s="4">
        <v>1</v>
      </c>
      <c r="B422" s="26">
        <f t="shared" si="60"/>
        <v>3</v>
      </c>
      <c r="C422" s="4">
        <v>12</v>
      </c>
      <c r="D422" s="4" t="str">
        <f>INDEX(Sheet1!$B:$AQ,テスト!C422+2,テスト!B422)</f>
        <v>ﾏﾙﾄﾞｩの頭蓋狩り</v>
      </c>
    </row>
    <row r="423" spans="1:4" x14ac:dyDescent="0.15">
      <c r="A423" s="4">
        <v>2</v>
      </c>
      <c r="B423" s="26">
        <v>20</v>
      </c>
      <c r="C423" s="4">
        <v>13</v>
      </c>
      <c r="D423" s="4" t="str">
        <f>INDEX(Sheet1!$B:$AQ,テスト!C423+2,テスト!B423)</f>
        <v>宝革Slv</v>
      </c>
    </row>
    <row r="424" spans="1:4" x14ac:dyDescent="0.15">
      <c r="A424" s="4">
        <v>2</v>
      </c>
      <c r="B424" s="26">
        <f>IF(B423&gt;19,11,B423+1)</f>
        <v>11</v>
      </c>
      <c r="C424" s="4">
        <v>26</v>
      </c>
      <c r="D424" s="4" t="str">
        <f>INDEX(Sheet1!$B:$AQ,テスト!C424+2,テスト!B424)</f>
        <v>血の訴え</v>
      </c>
    </row>
    <row r="425" spans="1:4" x14ac:dyDescent="0.15">
      <c r="A425" s="4">
        <v>2</v>
      </c>
      <c r="B425" s="26">
        <f>IF(B424&gt;19,11,B424+1)</f>
        <v>12</v>
      </c>
      <c r="C425" s="4">
        <v>21</v>
      </c>
      <c r="D425" s="4" t="str">
        <f>INDEX(Sheet1!$B:$AQ,テスト!C425+2,テスト!B425)</f>
        <v>信仰の足枷</v>
      </c>
    </row>
    <row r="426" spans="1:4" x14ac:dyDescent="0.15">
      <c r="A426" s="4">
        <v>2</v>
      </c>
      <c r="B426" s="26">
        <f>IF(B425&gt;19,11,B425+1)</f>
        <v>13</v>
      </c>
      <c r="C426" s="4">
        <v>30</v>
      </c>
      <c r="D426" s="4" t="str">
        <f>INDEX(Sheet1!$B:$AQ,テスト!C426+2,テスト!B426)</f>
        <v>ｺﾞﾙｺﾞﾝの凝視</v>
      </c>
    </row>
    <row r="427" spans="1:4" x14ac:dyDescent="0.15">
      <c r="A427" s="4">
        <v>3</v>
      </c>
      <c r="B427" s="26">
        <v>21</v>
      </c>
      <c r="C427" s="4">
        <v>18</v>
      </c>
      <c r="D427" s="4" t="str">
        <f>INDEX(Sheet1!$B:$AQ,テスト!C427+2,テスト!B427)</f>
        <v>ｲｾﾞｯﾄの導き石</v>
      </c>
    </row>
    <row r="428" spans="1:4" x14ac:dyDescent="0.15">
      <c r="A428" s="4">
        <v>3</v>
      </c>
      <c r="B428" s="26">
        <v>22</v>
      </c>
      <c r="C428" s="4">
        <v>45</v>
      </c>
      <c r="D428" s="4" t="str">
        <f>INDEX(Sheet1!$B:$AQ,テスト!C428+2,テスト!B428)</f>
        <v>BGL</v>
      </c>
    </row>
    <row r="429" spans="1:4" x14ac:dyDescent="0.15">
      <c r="A429" s="4">
        <v>4</v>
      </c>
      <c r="B429" s="26">
        <v>31</v>
      </c>
      <c r="C429" s="4">
        <v>2</v>
      </c>
      <c r="D429" s="4" t="str">
        <f>INDEX(Sheet1!$B:$AQ,テスト!C429+2,テスト!B429)</f>
        <v>ﾃｾﾞﾚｯﾄの計略</v>
      </c>
    </row>
    <row r="430" spans="1:4" x14ac:dyDescent="0.15">
      <c r="A430" s="4">
        <v>4</v>
      </c>
      <c r="B430" s="26">
        <f t="shared" ref="B430:B431" si="61">IF(B429&gt;31,23,B429+1)</f>
        <v>32</v>
      </c>
      <c r="C430" s="4">
        <v>28</v>
      </c>
      <c r="D430" s="4" t="str">
        <f>INDEX(Sheet1!$B:$AQ,テスト!C430+2,テスト!B430)</f>
        <v>払拭の光</v>
      </c>
    </row>
    <row r="431" spans="1:4" x14ac:dyDescent="0.15">
      <c r="A431" s="4">
        <v>4</v>
      </c>
      <c r="B431" s="26">
        <f t="shared" si="61"/>
        <v>23</v>
      </c>
      <c r="C431" s="4">
        <v>3</v>
      </c>
      <c r="D431" s="4" t="str">
        <f>INDEX(Sheet1!$B:$AQ,テスト!C431+2,テスト!B431)</f>
        <v>影の中の貪り</v>
      </c>
    </row>
    <row r="432" spans="1:4" x14ac:dyDescent="0.15">
      <c r="A432" s="4">
        <v>5</v>
      </c>
      <c r="B432" s="26">
        <v>37</v>
      </c>
      <c r="C432" s="4">
        <v>8</v>
      </c>
      <c r="D432" s="4" t="str">
        <f>INDEX(Sheet1!$B:$AQ,テスト!C432+2,テスト!B432)</f>
        <v>世界を喰らう者､ﾎﾟﾙｸﾗﾉｽ</v>
      </c>
    </row>
    <row r="433" spans="1:4" x14ac:dyDescent="0.15">
      <c r="D433" s="4">
        <v>28</v>
      </c>
    </row>
    <row r="434" spans="1:4" x14ac:dyDescent="0.15">
      <c r="A434" s="4">
        <v>1</v>
      </c>
      <c r="B434" s="26">
        <v>5</v>
      </c>
      <c r="C434" s="4">
        <v>14</v>
      </c>
      <c r="D434" s="4" t="str">
        <f>INDEX(Sheet1!$B:$AQ,テスト!C434+2,テスト!B434)</f>
        <v>ﾋﾟｽﾀｽの一撃</v>
      </c>
    </row>
    <row r="435" spans="1:4" x14ac:dyDescent="0.15">
      <c r="A435" s="4">
        <v>1</v>
      </c>
      <c r="B435" s="26">
        <f>IF(B434&gt;9,1,B434+1)</f>
        <v>6</v>
      </c>
      <c r="C435" s="4">
        <v>8</v>
      </c>
      <c r="D435" s="4" t="str">
        <f>INDEX(Sheet1!$B:$AQ,テスト!C435+2,テスト!B435)</f>
        <v>霧のﾆﾌﾞﾘｽ</v>
      </c>
    </row>
    <row r="436" spans="1:4" x14ac:dyDescent="0.15">
      <c r="A436" s="4">
        <v>1</v>
      </c>
      <c r="B436" s="26">
        <f t="shared" ref="B436:B438" si="62">IF(B435&gt;9,1,B435+1)</f>
        <v>7</v>
      </c>
      <c r="C436" s="4">
        <v>23</v>
      </c>
      <c r="D436" s="4" t="str">
        <f>INDEX(Sheet1!$B:$AQ,テスト!C436+2,テスト!B436)</f>
        <v>分離主義者の虚空魔道士</v>
      </c>
    </row>
    <row r="437" spans="1:4" x14ac:dyDescent="0.15">
      <c r="A437" s="4">
        <v>1</v>
      </c>
      <c r="B437" s="26">
        <f t="shared" si="62"/>
        <v>8</v>
      </c>
      <c r="C437" s="4">
        <v>9</v>
      </c>
      <c r="D437" s="4" t="str">
        <f>INDEX(Sheet1!$B:$AQ,テスト!C437+2,テスト!B437)</f>
        <v>とどめの一刺しのﾌｪｱﾘｰ</v>
      </c>
    </row>
    <row r="438" spans="1:4" x14ac:dyDescent="0.15">
      <c r="A438" s="4">
        <v>1</v>
      </c>
      <c r="B438" s="26">
        <f t="shared" si="62"/>
        <v>9</v>
      </c>
      <c r="C438" s="4">
        <v>22</v>
      </c>
      <c r="D438" s="4" t="str">
        <f>INDEX(Sheet1!$B:$AQ,テスト!C438+2,テスト!B438)</f>
        <v>煙束ね</v>
      </c>
    </row>
    <row r="439" spans="1:4" x14ac:dyDescent="0.15">
      <c r="A439" s="4">
        <v>2</v>
      </c>
      <c r="B439" s="26">
        <v>16</v>
      </c>
      <c r="C439" s="4">
        <v>9</v>
      </c>
      <c r="D439" s="4" t="str">
        <f>INDEX(Sheet1!$B:$AQ,テスト!C439+2,テスト!B439)</f>
        <v>帰化</v>
      </c>
    </row>
    <row r="440" spans="1:4" x14ac:dyDescent="0.15">
      <c r="A440" s="4">
        <v>2</v>
      </c>
      <c r="B440" s="26">
        <f>IF(B439&gt;19,11,B439+1)</f>
        <v>17</v>
      </c>
      <c r="C440" s="4">
        <v>13</v>
      </c>
      <c r="D440" s="4" t="str">
        <f>INDEX(Sheet1!$B:$AQ,テスト!C440+2,テスト!B440)</f>
        <v>催眠Slv</v>
      </c>
    </row>
    <row r="441" spans="1:4" x14ac:dyDescent="0.15">
      <c r="A441" s="4">
        <v>2</v>
      </c>
      <c r="B441" s="26">
        <f>IF(B440&gt;19,11,B440+1)</f>
        <v>18</v>
      </c>
      <c r="C441" s="4">
        <v>8</v>
      </c>
      <c r="D441" s="4" t="str">
        <f>INDEX(Sheet1!$B:$AQ,テスト!C441+2,テスト!B441)</f>
        <v>剛力化</v>
      </c>
    </row>
    <row r="442" spans="1:4" x14ac:dyDescent="0.15">
      <c r="A442" s="4">
        <v>2</v>
      </c>
      <c r="B442" s="26">
        <f>IF(B441&gt;19,11,B441+1)</f>
        <v>19</v>
      </c>
      <c r="C442" s="4">
        <v>8</v>
      </c>
      <c r="D442" s="4" t="str">
        <f>INDEX(Sheet1!$B:$AQ,テスト!C442+2,テスト!B442)</f>
        <v>天使の贈り物</v>
      </c>
    </row>
    <row r="443" spans="1:4" x14ac:dyDescent="0.15">
      <c r="A443" s="4">
        <v>3</v>
      </c>
      <c r="B443" s="26">
        <v>21</v>
      </c>
      <c r="C443" s="4">
        <v>15</v>
      </c>
      <c r="D443" s="4" t="str">
        <f>INDEX(Sheet1!$B:$AQ,テスト!C443+2,テスト!B443)</f>
        <v>ｳﾙ=ｺﾞｰﾚﾑの目</v>
      </c>
    </row>
    <row r="444" spans="1:4" x14ac:dyDescent="0.15">
      <c r="A444" s="4">
        <v>3</v>
      </c>
      <c r="B444" s="26">
        <v>22</v>
      </c>
      <c r="C444" s="4">
        <v>58</v>
      </c>
      <c r="D444" s="4" t="str">
        <f>INDEX(Sheet1!$B:$AQ,テスト!C444+2,テスト!B444)</f>
        <v>URL</v>
      </c>
    </row>
    <row r="445" spans="1:4" x14ac:dyDescent="0.15">
      <c r="A445" s="4">
        <v>4</v>
      </c>
      <c r="B445" s="26">
        <v>27</v>
      </c>
      <c r="C445" s="4">
        <v>30</v>
      </c>
      <c r="D445" s="4" t="str">
        <f>INDEX(Sheet1!$B:$AQ,テスト!C445+2,テスト!B445)</f>
        <v>幽霊の変わり身</v>
      </c>
    </row>
    <row r="446" spans="1:4" x14ac:dyDescent="0.15">
      <c r="A446" s="4">
        <v>4</v>
      </c>
      <c r="B446" s="26">
        <f t="shared" ref="B446:B447" si="63">IF(B445&gt;31,23,B445+1)</f>
        <v>28</v>
      </c>
      <c r="C446" s="4">
        <v>24</v>
      </c>
      <c r="D446" s="4" t="str">
        <f>INDEX(Sheet1!$B:$AQ,テスト!C446+2,テスト!B446)</f>
        <v>壊死Slv</v>
      </c>
    </row>
    <row r="447" spans="1:4" x14ac:dyDescent="0.15">
      <c r="A447" s="4">
        <v>4</v>
      </c>
      <c r="B447" s="26">
        <f t="shared" si="63"/>
        <v>29</v>
      </c>
      <c r="C447" s="4">
        <v>24</v>
      </c>
      <c r="D447" s="4" t="str">
        <f>INDEX(Sheet1!$B:$AQ,テスト!C447+2,テスト!B447)</f>
        <v>熱狂Slv</v>
      </c>
    </row>
    <row r="448" spans="1:4" x14ac:dyDescent="0.15">
      <c r="A448" s="4">
        <v>5</v>
      </c>
      <c r="B448" s="26">
        <v>40</v>
      </c>
      <c r="C448" s="4">
        <v>2</v>
      </c>
      <c r="D448" s="4" t="str">
        <f>INDEX(Sheet1!$B:$AQ,テスト!C448+2,テスト!B448)</f>
        <v>風への散乱</v>
      </c>
    </row>
    <row r="449" spans="1:4" x14ac:dyDescent="0.15">
      <c r="D449" s="4">
        <v>29</v>
      </c>
    </row>
    <row r="450" spans="1:4" x14ac:dyDescent="0.15">
      <c r="A450" s="4">
        <v>1</v>
      </c>
      <c r="B450" s="26">
        <v>3</v>
      </c>
      <c r="C450" s="4">
        <v>5</v>
      </c>
      <c r="D450" s="4" t="str">
        <f>INDEX(Sheet1!$B:$AQ,テスト!C450+2,テスト!B450)</f>
        <v>ﾏﾙﾄﾞｩの頭蓋狩り</v>
      </c>
    </row>
    <row r="451" spans="1:4" x14ac:dyDescent="0.15">
      <c r="A451" s="4">
        <v>1</v>
      </c>
      <c r="B451" s="26">
        <f>IF(B450&gt;9,1,B450+1)</f>
        <v>4</v>
      </c>
      <c r="C451" s="4">
        <v>11</v>
      </c>
      <c r="D451" s="4" t="str">
        <f>INDEX(Sheet1!$B:$AQ,テスト!C451+2,テスト!B451)</f>
        <v>鉱夫の破滅</v>
      </c>
    </row>
    <row r="452" spans="1:4" x14ac:dyDescent="0.15">
      <c r="A452" s="4">
        <v>1</v>
      </c>
      <c r="B452" s="26">
        <f t="shared" ref="B452:B454" si="64">IF(B451&gt;9,1,B451+1)</f>
        <v>5</v>
      </c>
      <c r="C452" s="4">
        <v>12</v>
      </c>
      <c r="D452" s="4" t="str">
        <f>INDEX(Sheet1!$B:$AQ,テスト!C452+2,テスト!B452)</f>
        <v>甲鱗のﾜｰﾑ</v>
      </c>
    </row>
    <row r="453" spans="1:4" x14ac:dyDescent="0.15">
      <c r="A453" s="4">
        <v>1</v>
      </c>
      <c r="B453" s="26">
        <f t="shared" si="64"/>
        <v>6</v>
      </c>
      <c r="C453" s="4">
        <v>31</v>
      </c>
      <c r="D453" s="4" t="str">
        <f>INDEX(Sheet1!$B:$AQ,テスト!C453+2,テスト!B453)</f>
        <v>狐の明け刃</v>
      </c>
    </row>
    <row r="454" spans="1:4" x14ac:dyDescent="0.15">
      <c r="A454" s="4">
        <v>1</v>
      </c>
      <c r="B454" s="26">
        <f t="shared" si="64"/>
        <v>7</v>
      </c>
      <c r="C454" s="4">
        <v>27</v>
      </c>
      <c r="D454" s="4" t="str">
        <f>INDEX(Sheet1!$B:$AQ,テスト!C454+2,テスト!B454)</f>
        <v>掴み掛かる水流</v>
      </c>
    </row>
    <row r="455" spans="1:4" x14ac:dyDescent="0.15">
      <c r="A455" s="4">
        <v>2</v>
      </c>
      <c r="B455" s="26">
        <v>12</v>
      </c>
      <c r="C455" s="4">
        <v>10</v>
      </c>
      <c r="D455" s="4" t="str">
        <f>INDEX(Sheet1!$B:$AQ,テスト!C455+2,テスト!B455)</f>
        <v>裏返し</v>
      </c>
    </row>
    <row r="456" spans="1:4" x14ac:dyDescent="0.15">
      <c r="A456" s="4">
        <v>2</v>
      </c>
      <c r="B456" s="26">
        <f>IF(B455&gt;19,11,B455+1)</f>
        <v>13</v>
      </c>
      <c r="C456" s="4">
        <v>29</v>
      </c>
      <c r="D456" s="4" t="str">
        <f>INDEX(Sheet1!$B:$AQ,テスト!C456+2,テスト!B456)</f>
        <v>水路の蠍</v>
      </c>
    </row>
    <row r="457" spans="1:4" x14ac:dyDescent="0.15">
      <c r="A457" s="4">
        <v>2</v>
      </c>
      <c r="B457" s="26">
        <f>IF(B456&gt;19,11,B456+1)</f>
        <v>14</v>
      </c>
      <c r="C457" s="4">
        <v>28</v>
      </c>
      <c r="D457" s="4" t="str">
        <f>INDEX(Sheet1!$B:$AQ,テスト!C457+2,テスト!B457)</f>
        <v>ﾎﾞﾛｽの補充兵</v>
      </c>
    </row>
    <row r="458" spans="1:4" x14ac:dyDescent="0.15">
      <c r="A458" s="4">
        <v>2</v>
      </c>
      <c r="B458" s="26">
        <f>IF(B457&gt;19,11,B457+1)</f>
        <v>15</v>
      </c>
      <c r="C458" s="4">
        <v>13</v>
      </c>
      <c r="D458" s="4" t="str">
        <f>INDEX(Sheet1!$B:$AQ,テスト!C458+2,テスト!B458)</f>
        <v>悪性Slv</v>
      </c>
    </row>
    <row r="459" spans="1:4" x14ac:dyDescent="0.15">
      <c r="A459" s="4">
        <v>3</v>
      </c>
      <c r="B459" s="26">
        <v>21</v>
      </c>
      <c r="C459" s="4">
        <v>9</v>
      </c>
      <c r="D459" s="4" t="str">
        <f>INDEX(Sheet1!$B:$AQ,テスト!C459+2,テスト!B459)</f>
        <v>ｵﾙｿﾞﾌの導き石</v>
      </c>
    </row>
    <row r="460" spans="1:4" x14ac:dyDescent="0.15">
      <c r="A460" s="4">
        <v>3</v>
      </c>
      <c r="B460" s="26">
        <v>22</v>
      </c>
      <c r="C460" s="4">
        <v>66</v>
      </c>
      <c r="D460" s="4" t="str">
        <f>INDEX(Sheet1!$B:$AQ,テスト!C460+2,テスト!B460)</f>
        <v>GUL</v>
      </c>
    </row>
    <row r="461" spans="1:4" x14ac:dyDescent="0.15">
      <c r="A461" s="4">
        <v>4</v>
      </c>
      <c r="B461" s="26">
        <v>23</v>
      </c>
      <c r="C461" s="4">
        <v>19</v>
      </c>
      <c r="D461" s="4" t="str">
        <f>INDEX(Sheet1!$B:$AQ,テスト!C461+2,テスト!B461)</f>
        <v>糾弾</v>
      </c>
    </row>
    <row r="462" spans="1:4" x14ac:dyDescent="0.15">
      <c r="A462" s="4">
        <v>4</v>
      </c>
      <c r="B462" s="26">
        <f t="shared" ref="B462:B463" si="65">IF(B461&gt;31,23,B461+1)</f>
        <v>24</v>
      </c>
      <c r="C462" s="4">
        <v>34</v>
      </c>
      <c r="D462" s="4" t="str">
        <f>INDEX(Sheet1!$B:$AQ,テスト!C462+2,テスト!B462)</f>
        <v>ｲｾﾞｯﾄの魔除け</v>
      </c>
    </row>
    <row r="463" spans="1:4" x14ac:dyDescent="0.15">
      <c r="A463" s="4">
        <v>4</v>
      </c>
      <c r="B463" s="26">
        <f t="shared" si="65"/>
        <v>25</v>
      </c>
      <c r="C463" s="4">
        <v>16</v>
      </c>
      <c r="D463" s="4" t="str">
        <f>INDEX(Sheet1!$B:$AQ,テスト!C463+2,テスト!B463)</f>
        <v>有毒の雛</v>
      </c>
    </row>
    <row r="464" spans="1:4" x14ac:dyDescent="0.15">
      <c r="A464" s="4">
        <v>5</v>
      </c>
      <c r="B464" s="26">
        <v>40</v>
      </c>
      <c r="C464" s="4">
        <v>13</v>
      </c>
      <c r="D464" s="4" t="str">
        <f>INDEX(Sheet1!$B:$AQ,テスト!C464+2,テスト!B464)</f>
        <v>悪魔火</v>
      </c>
    </row>
    <row r="465" spans="1:4" x14ac:dyDescent="0.15">
      <c r="D465" s="4">
        <v>30</v>
      </c>
    </row>
    <row r="466" spans="1:4" x14ac:dyDescent="0.15">
      <c r="A466" s="4">
        <v>1</v>
      </c>
      <c r="B466" s="26">
        <v>3</v>
      </c>
      <c r="C466" s="4">
        <v>27</v>
      </c>
      <c r="D466" s="4" t="str">
        <f>INDEX(Sheet1!$B:$AQ,テスト!C466+2,テスト!B466)</f>
        <v>ﾌｧｲﾚｸｼｱ化</v>
      </c>
    </row>
    <row r="467" spans="1:4" x14ac:dyDescent="0.15">
      <c r="A467" s="4">
        <v>1</v>
      </c>
      <c r="B467" s="26">
        <f>IF(B466&gt;9,1,B466+1)</f>
        <v>4</v>
      </c>
      <c r="C467" s="4">
        <v>1</v>
      </c>
      <c r="D467" s="4" t="str">
        <f>INDEX(Sheet1!$B:$AQ,テスト!C467+2,テスト!B467)</f>
        <v>戦に狂える浪人</v>
      </c>
    </row>
    <row r="468" spans="1:4" x14ac:dyDescent="0.15">
      <c r="A468" s="4">
        <v>1</v>
      </c>
      <c r="B468" s="26">
        <f t="shared" ref="B468:B470" si="66">IF(B467&gt;9,1,B467+1)</f>
        <v>5</v>
      </c>
      <c r="C468" s="4">
        <v>28</v>
      </c>
      <c r="D468" s="4" t="str">
        <f>INDEX(Sheet1!$B:$AQ,テスト!C468+2,テスト!B468)</f>
        <v>ﾋﾟｽﾀｽの一撃</v>
      </c>
    </row>
    <row r="469" spans="1:4" x14ac:dyDescent="0.15">
      <c r="A469" s="4">
        <v>1</v>
      </c>
      <c r="B469" s="26">
        <f t="shared" si="66"/>
        <v>6</v>
      </c>
      <c r="C469" s="4">
        <v>17</v>
      </c>
      <c r="D469" s="4" t="str">
        <f>INDEX(Sheet1!$B:$AQ,テスト!C469+2,テスト!B469)</f>
        <v>ﾑｰｱﾗﾝﾄﾞの流れ者</v>
      </c>
    </row>
    <row r="470" spans="1:4" x14ac:dyDescent="0.15">
      <c r="A470" s="4">
        <v>1</v>
      </c>
      <c r="B470" s="26">
        <f t="shared" si="66"/>
        <v>7</v>
      </c>
      <c r="C470" s="4">
        <v>9</v>
      </c>
      <c r="D470" s="4" t="str">
        <f>INDEX(Sheet1!$B:$AQ,テスト!C470+2,テスト!B470)</f>
        <v>分離主義者の虚空魔道士</v>
      </c>
    </row>
    <row r="471" spans="1:4" x14ac:dyDescent="0.15">
      <c r="A471" s="4">
        <v>2</v>
      </c>
      <c r="B471" s="26">
        <v>12</v>
      </c>
      <c r="C471" s="4">
        <v>5</v>
      </c>
      <c r="D471" s="4" t="str">
        <f>INDEX(Sheet1!$B:$AQ,テスト!C471+2,テスト!B471)</f>
        <v>本質の反発</v>
      </c>
    </row>
    <row r="472" spans="1:4" x14ac:dyDescent="0.15">
      <c r="A472" s="4">
        <v>2</v>
      </c>
      <c r="B472" s="26">
        <f>IF(B471&gt;19,11,B471+1)</f>
        <v>13</v>
      </c>
      <c r="C472" s="4">
        <v>6</v>
      </c>
      <c r="D472" s="4" t="str">
        <f>INDEX(Sheet1!$B:$AQ,テスト!C472+2,テスト!B472)</f>
        <v>よろめく殻</v>
      </c>
    </row>
    <row r="473" spans="1:4" x14ac:dyDescent="0.15">
      <c r="A473" s="4">
        <v>2</v>
      </c>
      <c r="B473" s="26">
        <f>IF(B472&gt;19,11,B472+1)</f>
        <v>14</v>
      </c>
      <c r="C473" s="4">
        <v>3</v>
      </c>
      <c r="D473" s="4" t="str">
        <f>INDEX(Sheet1!$B:$AQ,テスト!C473+2,テスト!B473)</f>
        <v>骨読み</v>
      </c>
    </row>
    <row r="474" spans="1:4" x14ac:dyDescent="0.15">
      <c r="A474" s="4">
        <v>2</v>
      </c>
      <c r="B474" s="26">
        <f>IF(B473&gt;19,11,B473+1)</f>
        <v>15</v>
      </c>
      <c r="C474" s="4">
        <v>1</v>
      </c>
      <c r="D474" s="4" t="str">
        <f>INDEX(Sheet1!$B:$AQ,テスト!C474+2,テスト!B474)</f>
        <v>悪性Slv</v>
      </c>
    </row>
    <row r="475" spans="1:4" x14ac:dyDescent="0.15">
      <c r="A475" s="4">
        <v>3</v>
      </c>
      <c r="B475" s="26">
        <v>21</v>
      </c>
      <c r="C475" s="4">
        <v>25</v>
      </c>
      <c r="D475" s="4" t="str">
        <f>INDEX(Sheet1!$B:$AQ,テスト!C475+2,テスト!B475)</f>
        <v>ｵﾙｿﾞﾌの導き石</v>
      </c>
    </row>
    <row r="476" spans="1:4" x14ac:dyDescent="0.15">
      <c r="A476" s="4">
        <v>3</v>
      </c>
      <c r="B476" s="26">
        <v>22</v>
      </c>
      <c r="C476" s="4">
        <v>13</v>
      </c>
      <c r="D476" s="4" t="str">
        <f>INDEX(Sheet1!$B:$AQ,テスト!C476+2,テスト!B476)</f>
        <v>未知の岸</v>
      </c>
    </row>
    <row r="477" spans="1:4" x14ac:dyDescent="0.15">
      <c r="A477" s="4">
        <v>4</v>
      </c>
      <c r="B477" s="26">
        <v>30</v>
      </c>
      <c r="C477" s="4">
        <v>16</v>
      </c>
      <c r="D477" s="4" t="str">
        <f>INDEX(Sheet1!$B:$AQ,テスト!C477+2,テスト!B477)</f>
        <v>死の激情</v>
      </c>
    </row>
    <row r="478" spans="1:4" x14ac:dyDescent="0.15">
      <c r="A478" s="4">
        <v>4</v>
      </c>
      <c r="B478" s="26">
        <f t="shared" ref="B478:B479" si="67">IF(B477&gt;31,23,B477+1)</f>
        <v>31</v>
      </c>
      <c r="C478" s="4">
        <v>6</v>
      </c>
      <c r="D478" s="4" t="str">
        <f>INDEX(Sheet1!$B:$AQ,テスト!C478+2,テスト!B478)</f>
        <v>焼灼Slv</v>
      </c>
    </row>
    <row r="479" spans="1:4" x14ac:dyDescent="0.15">
      <c r="A479" s="4">
        <v>4</v>
      </c>
      <c r="B479" s="26">
        <f t="shared" si="67"/>
        <v>32</v>
      </c>
      <c r="C479" s="4">
        <v>29</v>
      </c>
      <c r="D479" s="4" t="str">
        <f>INDEX(Sheet1!$B:$AQ,テスト!C479+2,テスト!B479)</f>
        <v>潮力の精霊</v>
      </c>
    </row>
    <row r="480" spans="1:4" x14ac:dyDescent="0.15">
      <c r="A480" s="4">
        <v>5</v>
      </c>
      <c r="B480" s="26">
        <v>42</v>
      </c>
      <c r="C480" s="4">
        <v>1</v>
      </c>
      <c r="D480" s="4" t="str">
        <f>INDEX(Sheet1!$B:$AQ,テスト!C480+2,テスト!B480)</f>
        <v>肺臓Slv</v>
      </c>
    </row>
    <row r="481" spans="1:4" x14ac:dyDescent="0.15">
      <c r="D481" s="4">
        <v>31</v>
      </c>
    </row>
    <row r="482" spans="1:4" x14ac:dyDescent="0.15">
      <c r="A482" s="4">
        <v>1</v>
      </c>
      <c r="B482" s="26">
        <v>3</v>
      </c>
      <c r="C482" s="4">
        <v>21</v>
      </c>
      <c r="D482" s="4" t="str">
        <f>INDEX(Sheet1!$B:$AQ,テスト!C482+2,テスト!B482)</f>
        <v>影切り</v>
      </c>
    </row>
    <row r="483" spans="1:4" x14ac:dyDescent="0.15">
      <c r="A483" s="4">
        <v>1</v>
      </c>
      <c r="B483" s="26">
        <f>IF(B482&gt;9,1,B482+1)</f>
        <v>4</v>
      </c>
      <c r="C483" s="4">
        <v>35</v>
      </c>
      <c r="D483" s="4" t="str">
        <f>INDEX(Sheet1!$B:$AQ,テスト!C483+2,テスト!B483)</f>
        <v>氷河の光線</v>
      </c>
    </row>
    <row r="484" spans="1:4" x14ac:dyDescent="0.15">
      <c r="A484" s="4">
        <v>1</v>
      </c>
      <c r="B484" s="26">
        <f t="shared" ref="B484:B486" si="68">IF(B483&gt;9,1,B483+1)</f>
        <v>5</v>
      </c>
      <c r="C484" s="4">
        <v>23</v>
      </c>
      <c r="D484" s="4" t="str">
        <f>INDEX(Sheet1!$B:$AQ,テスト!C484+2,テスト!B484)</f>
        <v>嚢胞抱え</v>
      </c>
    </row>
    <row r="485" spans="1:4" x14ac:dyDescent="0.15">
      <c r="A485" s="4">
        <v>1</v>
      </c>
      <c r="B485" s="26">
        <f t="shared" si="68"/>
        <v>6</v>
      </c>
      <c r="C485" s="4">
        <v>15</v>
      </c>
      <c r="D485" s="4" t="str">
        <f>INDEX(Sheet1!$B:$AQ,テスト!C485+2,テスト!B485)</f>
        <v>霧のﾆﾌﾞﾘｽ</v>
      </c>
    </row>
    <row r="486" spans="1:4" x14ac:dyDescent="0.15">
      <c r="A486" s="4">
        <v>1</v>
      </c>
      <c r="B486" s="26">
        <f t="shared" si="68"/>
        <v>7</v>
      </c>
      <c r="C486" s="4">
        <v>16</v>
      </c>
      <c r="D486" s="4" t="str">
        <f>INDEX(Sheet1!$B:$AQ,テスト!C486+2,テスト!B486)</f>
        <v>分離主義者の虚空魔道士</v>
      </c>
    </row>
    <row r="487" spans="1:4" x14ac:dyDescent="0.15">
      <c r="A487" s="4">
        <v>2</v>
      </c>
      <c r="B487" s="26">
        <v>19</v>
      </c>
      <c r="C487" s="4">
        <v>25</v>
      </c>
      <c r="D487" s="4" t="str">
        <f>INDEX(Sheet1!$B:$AQ,テスト!C487+2,テスト!B487)</f>
        <v>双頭Slv</v>
      </c>
    </row>
    <row r="488" spans="1:4" x14ac:dyDescent="0.15">
      <c r="A488" s="4">
        <v>2</v>
      </c>
      <c r="B488" s="26">
        <f>IF(B487&gt;19,11,B487+1)</f>
        <v>20</v>
      </c>
      <c r="C488" s="4">
        <v>3</v>
      </c>
      <c r="D488" s="4" t="str">
        <f>INDEX(Sheet1!$B:$AQ,テスト!C488+2,テスト!B488)</f>
        <v>信仰無き物あさり</v>
      </c>
    </row>
    <row r="489" spans="1:4" x14ac:dyDescent="0.15">
      <c r="A489" s="4">
        <v>2</v>
      </c>
      <c r="B489" s="26">
        <f>IF(B488&gt;19,11,B488+1)</f>
        <v>11</v>
      </c>
      <c r="C489" s="4">
        <v>22</v>
      </c>
      <c r="D489" s="4" t="str">
        <f>INDEX(Sheet1!$B:$AQ,テスト!C489+2,テスト!B489)</f>
        <v>盲目の狩人</v>
      </c>
    </row>
    <row r="490" spans="1:4" x14ac:dyDescent="0.15">
      <c r="A490" s="4">
        <v>2</v>
      </c>
      <c r="B490" s="26">
        <f>IF(B489&gt;19,11,B489+1)</f>
        <v>12</v>
      </c>
      <c r="C490" s="4">
        <v>19</v>
      </c>
      <c r="D490" s="4" t="str">
        <f>INDEX(Sheet1!$B:$AQ,テスト!C490+2,テスト!B490)</f>
        <v>陰影Slv</v>
      </c>
    </row>
    <row r="491" spans="1:4" x14ac:dyDescent="0.15">
      <c r="A491" s="4">
        <v>3</v>
      </c>
      <c r="B491" s="26">
        <v>21</v>
      </c>
      <c r="C491" s="4">
        <v>5</v>
      </c>
      <c r="D491" s="4" t="str">
        <f>INDEX(Sheet1!$B:$AQ,テスト!C491+2,テスト!B491)</f>
        <v>ｼﾐｯｸの導き石</v>
      </c>
    </row>
    <row r="492" spans="1:4" x14ac:dyDescent="0.15">
      <c r="A492" s="4">
        <v>3</v>
      </c>
      <c r="B492" s="26">
        <v>22</v>
      </c>
      <c r="C492" s="4">
        <v>70</v>
      </c>
      <c r="D492" s="4" t="str">
        <f>INDEX(Sheet1!$B:$AQ,テスト!C492+2,テスト!B492)</f>
        <v>進化する未開地</v>
      </c>
    </row>
    <row r="493" spans="1:4" x14ac:dyDescent="0.15">
      <c r="A493" s="4">
        <v>4</v>
      </c>
      <c r="B493" s="26">
        <v>31</v>
      </c>
      <c r="C493" s="4">
        <v>19</v>
      </c>
      <c r="D493" s="4" t="str">
        <f>INDEX(Sheet1!$B:$AQ,テスト!C493+2,テスト!B493)</f>
        <v>未練ある魂</v>
      </c>
    </row>
    <row r="494" spans="1:4" x14ac:dyDescent="0.15">
      <c r="A494" s="4">
        <v>4</v>
      </c>
      <c r="B494" s="26">
        <f t="shared" ref="B494:B495" si="69">IF(B493&gt;31,23,B493+1)</f>
        <v>32</v>
      </c>
      <c r="C494" s="4">
        <v>21</v>
      </c>
      <c r="D494" s="4" t="str">
        <f>INDEX(Sheet1!$B:$AQ,テスト!C494+2,テスト!B494)</f>
        <v>隷属</v>
      </c>
    </row>
    <row r="495" spans="1:4" x14ac:dyDescent="0.15">
      <c r="A495" s="4">
        <v>4</v>
      </c>
      <c r="B495" s="26">
        <f t="shared" si="69"/>
        <v>23</v>
      </c>
      <c r="C495" s="4">
        <v>12</v>
      </c>
      <c r="D495" s="4" t="str">
        <f>INDEX(Sheet1!$B:$AQ,テスト!C495+2,テスト!B495)</f>
        <v>影の中の貪り</v>
      </c>
    </row>
    <row r="496" spans="1:4" x14ac:dyDescent="0.15">
      <c r="A496" s="4">
        <v>5</v>
      </c>
      <c r="B496" s="26">
        <v>38</v>
      </c>
      <c r="C496" s="4">
        <v>16</v>
      </c>
      <c r="D496" s="4" t="str">
        <f>INDEX(Sheet1!$B:$AQ,テスト!C496+2,テスト!B496)</f>
        <v>墨蛾の生息地</v>
      </c>
    </row>
    <row r="497" spans="1:4" x14ac:dyDescent="0.15">
      <c r="D497" s="4">
        <v>32</v>
      </c>
    </row>
    <row r="498" spans="1:4" x14ac:dyDescent="0.15">
      <c r="A498" s="4">
        <v>1</v>
      </c>
      <c r="B498" s="26">
        <v>10</v>
      </c>
      <c r="C498" s="4">
        <v>14</v>
      </c>
      <c r="D498" s="4" t="str">
        <f>INDEX(Sheet1!$B:$AQ,テスト!C498+2,テスト!B498)</f>
        <v>不屈の自然</v>
      </c>
    </row>
    <row r="499" spans="1:4" x14ac:dyDescent="0.15">
      <c r="A499" s="4">
        <v>1</v>
      </c>
      <c r="B499" s="26">
        <f>IF(B498&gt;9,1,B498+1)</f>
        <v>1</v>
      </c>
      <c r="C499" s="4">
        <v>19</v>
      </c>
      <c r="D499" s="4" t="str">
        <f>INDEX(Sheet1!$B:$AQ,テスト!C499+2,テスト!B499)</f>
        <v>筋力Slv</v>
      </c>
    </row>
    <row r="500" spans="1:4" x14ac:dyDescent="0.15">
      <c r="A500" s="4">
        <v>1</v>
      </c>
      <c r="B500" s="26">
        <f t="shared" ref="B500:B502" si="70">IF(B499&gt;9,1,B499+1)</f>
        <v>2</v>
      </c>
      <c r="C500" s="4">
        <v>21</v>
      </c>
      <c r="D500" s="4" t="str">
        <f>INDEX(Sheet1!$B:$AQ,テスト!C500+2,テスト!B500)</f>
        <v>閉所恐怖症</v>
      </c>
    </row>
    <row r="501" spans="1:4" x14ac:dyDescent="0.15">
      <c r="A501" s="4">
        <v>1</v>
      </c>
      <c r="B501" s="26">
        <f t="shared" si="70"/>
        <v>3</v>
      </c>
      <c r="C501" s="4">
        <v>14</v>
      </c>
      <c r="D501" s="4" t="str">
        <f>INDEX(Sheet1!$B:$AQ,テスト!C501+2,テスト!B501)</f>
        <v>影切り</v>
      </c>
    </row>
    <row r="502" spans="1:4" x14ac:dyDescent="0.15">
      <c r="A502" s="4">
        <v>1</v>
      </c>
      <c r="B502" s="26">
        <f t="shared" si="70"/>
        <v>4</v>
      </c>
      <c r="C502" s="4">
        <v>25</v>
      </c>
      <c r="D502" s="4" t="str">
        <f>INDEX(Sheet1!$B:$AQ,テスト!C502+2,テスト!B502)</f>
        <v>鉱夫の破滅</v>
      </c>
    </row>
    <row r="503" spans="1:4" x14ac:dyDescent="0.15">
      <c r="A503" s="4">
        <v>2</v>
      </c>
      <c r="B503" s="26">
        <v>12</v>
      </c>
      <c r="C503" s="4">
        <v>14</v>
      </c>
      <c r="D503" s="4" t="str">
        <f>INDEX(Sheet1!$B:$AQ,テスト!C503+2,テスト!B503)</f>
        <v>ｾﾞｸﾀｰ祭殿の探検</v>
      </c>
    </row>
    <row r="504" spans="1:4" x14ac:dyDescent="0.15">
      <c r="A504" s="4">
        <v>2</v>
      </c>
      <c r="B504" s="26">
        <f>IF(B503&gt;19,11,B503+1)</f>
        <v>13</v>
      </c>
      <c r="C504" s="4">
        <v>11</v>
      </c>
      <c r="D504" s="4" t="str">
        <f>INDEX(Sheet1!$B:$AQ,テスト!C504+2,テスト!B504)</f>
        <v>冒涜するﾊｯｸﾞ</v>
      </c>
    </row>
    <row r="505" spans="1:4" x14ac:dyDescent="0.15">
      <c r="A505" s="4">
        <v>2</v>
      </c>
      <c r="B505" s="26">
        <f>IF(B504&gt;19,11,B504+1)</f>
        <v>14</v>
      </c>
      <c r="C505" s="4">
        <v>15</v>
      </c>
      <c r="D505" s="4" t="str">
        <f>INDEX(Sheet1!$B:$AQ,テスト!C505+2,テスト!B505)</f>
        <v>骨読み</v>
      </c>
    </row>
    <row r="506" spans="1:4" x14ac:dyDescent="0.15">
      <c r="A506" s="4">
        <v>2</v>
      </c>
      <c r="B506" s="26">
        <f>IF(B505&gt;19,11,B505+1)</f>
        <v>15</v>
      </c>
      <c r="C506" s="4">
        <v>12</v>
      </c>
      <c r="D506" s="4" t="str">
        <f>INDEX(Sheet1!$B:$AQ,テスト!C506+2,テスト!B506)</f>
        <v>超者の意向</v>
      </c>
    </row>
    <row r="507" spans="1:4" x14ac:dyDescent="0.15">
      <c r="A507" s="4">
        <v>3</v>
      </c>
      <c r="B507" s="26">
        <v>21</v>
      </c>
      <c r="C507" s="4">
        <v>22</v>
      </c>
      <c r="D507" s="4" t="str">
        <f>INDEX(Sheet1!$B:$AQ,テスト!C507+2,テスト!B507)</f>
        <v>心鍛のｺﾞｰﾚﾑ</v>
      </c>
    </row>
    <row r="508" spans="1:4" x14ac:dyDescent="0.15">
      <c r="A508" s="4">
        <v>3</v>
      </c>
      <c r="B508" s="26">
        <v>22</v>
      </c>
      <c r="C508" s="4">
        <v>53</v>
      </c>
      <c r="D508" s="4" t="str">
        <f>INDEX(Sheet1!$B:$AQ,テスト!C508+2,テスト!B508)</f>
        <v>流砂</v>
      </c>
    </row>
    <row r="509" spans="1:4" x14ac:dyDescent="0.15">
      <c r="A509" s="4">
        <v>4</v>
      </c>
      <c r="B509" s="26">
        <v>24</v>
      </c>
      <c r="C509" s="4">
        <v>5</v>
      </c>
      <c r="D509" s="4" t="str">
        <f>INDEX(Sheet1!$B:$AQ,テスト!C509+2,テスト!B509)</f>
        <v>変わり身のﾀｲﾀﾝ</v>
      </c>
    </row>
    <row r="510" spans="1:4" x14ac:dyDescent="0.15">
      <c r="A510" s="4">
        <v>4</v>
      </c>
      <c r="B510" s="26">
        <f t="shared" ref="B510:B511" si="71">IF(B509&gt;31,23,B509+1)</f>
        <v>25</v>
      </c>
      <c r="C510" s="4">
        <v>19</v>
      </c>
      <c r="D510" s="4" t="str">
        <f>INDEX(Sheet1!$B:$AQ,テスト!C510+2,テスト!B510)</f>
        <v>名誉の手</v>
      </c>
    </row>
    <row r="511" spans="1:4" x14ac:dyDescent="0.15">
      <c r="A511" s="4">
        <v>4</v>
      </c>
      <c r="B511" s="26">
        <f t="shared" si="71"/>
        <v>26</v>
      </c>
      <c r="C511" s="4">
        <v>19</v>
      </c>
      <c r="D511" s="4" t="str">
        <f>INDEX(Sheet1!$B:$AQ,テスト!C511+2,テスト!B511)</f>
        <v>変わり身の勇士</v>
      </c>
    </row>
    <row r="512" spans="1:4" x14ac:dyDescent="0.15">
      <c r="A512" s="4">
        <v>5</v>
      </c>
      <c r="B512" s="26">
        <v>42</v>
      </c>
      <c r="C512" s="4">
        <v>5</v>
      </c>
      <c r="D512" s="4" t="str">
        <f>INDEX(Sheet1!$B:$AQ,テスト!C512+2,テスト!B512)</f>
        <v>ﾌｧｲﾚｸｼｱの群れの王</v>
      </c>
    </row>
    <row r="513" spans="1:4" x14ac:dyDescent="0.15">
      <c r="D513" s="4">
        <v>33</v>
      </c>
    </row>
    <row r="514" spans="1:4" x14ac:dyDescent="0.15">
      <c r="A514" s="4">
        <v>1</v>
      </c>
      <c r="B514" s="26">
        <v>3</v>
      </c>
      <c r="C514" s="4">
        <v>7</v>
      </c>
      <c r="D514" s="4" t="str">
        <f>INDEX(Sheet1!$B:$AQ,テスト!C514+2,テスト!B514)</f>
        <v>影切り</v>
      </c>
    </row>
    <row r="515" spans="1:4" x14ac:dyDescent="0.15">
      <c r="A515" s="4">
        <v>1</v>
      </c>
      <c r="B515" s="26">
        <f>IF(B514&gt;9,1,B514+1)</f>
        <v>4</v>
      </c>
      <c r="C515" s="4">
        <v>6</v>
      </c>
      <c r="D515" s="4" t="str">
        <f>INDEX(Sheet1!$B:$AQ,テスト!C515+2,テスト!B515)</f>
        <v>ﾗｯﾊﾟの一吹き</v>
      </c>
    </row>
    <row r="516" spans="1:4" x14ac:dyDescent="0.15">
      <c r="A516" s="4">
        <v>1</v>
      </c>
      <c r="B516" s="26">
        <f t="shared" ref="B516:B518" si="72">IF(B515&gt;9,1,B515+1)</f>
        <v>5</v>
      </c>
      <c r="C516" s="4">
        <v>16</v>
      </c>
      <c r="D516" s="4" t="str">
        <f>INDEX(Sheet1!$B:$AQ,テスト!C516+2,テスト!B516)</f>
        <v>嚢胞抱え</v>
      </c>
    </row>
    <row r="517" spans="1:4" x14ac:dyDescent="0.15">
      <c r="A517" s="4">
        <v>1</v>
      </c>
      <c r="B517" s="26">
        <f t="shared" si="72"/>
        <v>6</v>
      </c>
      <c r="C517" s="4">
        <v>22</v>
      </c>
      <c r="D517" s="4" t="str">
        <f>INDEX(Sheet1!$B:$AQ,テスト!C517+2,テスト!B517)</f>
        <v>霧のﾆﾌﾞﾘｽ</v>
      </c>
    </row>
    <row r="518" spans="1:4" x14ac:dyDescent="0.15">
      <c r="A518" s="4">
        <v>1</v>
      </c>
      <c r="B518" s="26">
        <f t="shared" si="72"/>
        <v>7</v>
      </c>
      <c r="C518" s="4">
        <v>5</v>
      </c>
      <c r="D518" s="4" t="str">
        <f>INDEX(Sheet1!$B:$AQ,テスト!C518+2,テスト!B518)</f>
        <v>氷河の壊し屋</v>
      </c>
    </row>
    <row r="519" spans="1:4" x14ac:dyDescent="0.15">
      <c r="A519" s="4">
        <v>2</v>
      </c>
      <c r="B519" s="26">
        <v>19</v>
      </c>
      <c r="C519" s="4">
        <v>20</v>
      </c>
      <c r="D519" s="4" t="str">
        <f>INDEX(Sheet1!$B:$AQ,テスト!C519+2,テスト!B519)</f>
        <v>天使の贈り物</v>
      </c>
    </row>
    <row r="520" spans="1:4" x14ac:dyDescent="0.15">
      <c r="A520" s="4">
        <v>2</v>
      </c>
      <c r="B520" s="26">
        <f>IF(B519&gt;19,11,B519+1)</f>
        <v>20</v>
      </c>
      <c r="C520" s="4">
        <v>8</v>
      </c>
      <c r="D520" s="4" t="str">
        <f>INDEX(Sheet1!$B:$AQ,テスト!C520+2,テスト!B520)</f>
        <v>計算された放逐</v>
      </c>
    </row>
    <row r="521" spans="1:4" x14ac:dyDescent="0.15">
      <c r="A521" s="4">
        <v>2</v>
      </c>
      <c r="B521" s="26">
        <f>IF(B520&gt;19,11,B520+1)</f>
        <v>11</v>
      </c>
      <c r="C521" s="4">
        <v>14</v>
      </c>
      <c r="D521" s="4" t="str">
        <f>INDEX(Sheet1!$B:$AQ,テスト!C521+2,テスト!B521)</f>
        <v>絞首</v>
      </c>
    </row>
    <row r="522" spans="1:4" x14ac:dyDescent="0.15">
      <c r="A522" s="4">
        <v>2</v>
      </c>
      <c r="B522" s="26">
        <f>IF(B521&gt;19,11,B521+1)</f>
        <v>12</v>
      </c>
      <c r="C522" s="4">
        <v>26</v>
      </c>
      <c r="D522" s="4" t="str">
        <f>INDEX(Sheet1!$B:$AQ,テスト!C522+2,テスト!B522)</f>
        <v>ﾊﾟｰﾌｫﾛｽの激怒</v>
      </c>
    </row>
    <row r="523" spans="1:4" x14ac:dyDescent="0.15">
      <c r="A523" s="4">
        <v>3</v>
      </c>
      <c r="B523" s="26">
        <v>21</v>
      </c>
      <c r="C523" s="4">
        <v>14</v>
      </c>
      <c r="D523" s="4" t="str">
        <f>INDEX(Sheet1!$B:$AQ,テスト!C523+2,テスト!B523)</f>
        <v>心鍛のｺﾞｰﾚﾑ</v>
      </c>
    </row>
    <row r="524" spans="1:4" x14ac:dyDescent="0.15">
      <c r="A524" s="4">
        <v>3</v>
      </c>
      <c r="B524" s="26">
        <v>22</v>
      </c>
      <c r="C524" s="4">
        <v>62</v>
      </c>
      <c r="D524" s="4" t="str">
        <f>INDEX(Sheet1!$B:$AQ,テスト!C524+2,テスト!B524)</f>
        <v>WBL</v>
      </c>
    </row>
    <row r="525" spans="1:4" x14ac:dyDescent="0.15">
      <c r="A525" s="4">
        <v>4</v>
      </c>
      <c r="B525" s="26">
        <v>23</v>
      </c>
      <c r="C525" s="4">
        <v>15</v>
      </c>
      <c r="D525" s="4" t="str">
        <f>INDEX(Sheet1!$B:$AQ,テスト!C525+2,テスト!B525)</f>
        <v>乳白Slv</v>
      </c>
    </row>
    <row r="526" spans="1:4" x14ac:dyDescent="0.15">
      <c r="A526" s="4">
        <v>4</v>
      </c>
      <c r="B526" s="26">
        <f t="shared" ref="B526:B527" si="73">IF(B525&gt;31,23,B525+1)</f>
        <v>24</v>
      </c>
      <c r="C526" s="4">
        <v>23</v>
      </c>
      <c r="D526" s="4" t="str">
        <f>INDEX(Sheet1!$B:$AQ,テスト!C526+2,テスト!B526)</f>
        <v>変わり身のﾀｲﾀﾝ</v>
      </c>
    </row>
    <row r="527" spans="1:4" x14ac:dyDescent="0.15">
      <c r="A527" s="4">
        <v>4</v>
      </c>
      <c r="B527" s="26">
        <f t="shared" si="73"/>
        <v>25</v>
      </c>
      <c r="C527" s="4">
        <v>18</v>
      </c>
      <c r="D527" s="4" t="str">
        <f>INDEX(Sheet1!$B:$AQ,テスト!C527+2,テスト!B527)</f>
        <v>隕石</v>
      </c>
    </row>
    <row r="528" spans="1:4" x14ac:dyDescent="0.15">
      <c r="A528" s="4">
        <v>5</v>
      </c>
      <c r="B528" s="26">
        <v>40</v>
      </c>
      <c r="C528" s="4">
        <v>11</v>
      </c>
      <c r="D528" s="4" t="str">
        <f>INDEX(Sheet1!$B:$AQ,テスト!C528+2,テスト!B528)</f>
        <v>風への散乱</v>
      </c>
    </row>
    <row r="529" spans="1:4" x14ac:dyDescent="0.15">
      <c r="D529" s="4">
        <v>34</v>
      </c>
    </row>
    <row r="530" spans="1:4" x14ac:dyDescent="0.15">
      <c r="A530" s="4">
        <v>1</v>
      </c>
      <c r="B530" s="26">
        <v>10</v>
      </c>
      <c r="C530" s="4">
        <v>6</v>
      </c>
      <c r="D530" s="4" t="str">
        <f>INDEX(Sheet1!$B:$AQ,テスト!C530+2,テスト!B530)</f>
        <v>刻みを継ぐもの</v>
      </c>
    </row>
    <row r="531" spans="1:4" x14ac:dyDescent="0.15">
      <c r="A531" s="4">
        <v>1</v>
      </c>
      <c r="B531" s="26">
        <f>IF(B530&gt;9,1,B530+1)</f>
        <v>1</v>
      </c>
      <c r="C531" s="4">
        <v>23</v>
      </c>
      <c r="D531" s="4" t="str">
        <f>INDEX(Sheet1!$B:$AQ,テスト!C531+2,テスト!B531)</f>
        <v>蛾乗りの侍</v>
      </c>
    </row>
    <row r="532" spans="1:4" x14ac:dyDescent="0.15">
      <c r="A532" s="4">
        <v>1</v>
      </c>
      <c r="B532" s="26">
        <f t="shared" ref="B532:B534" si="74">IF(B531&gt;9,1,B531+1)</f>
        <v>2</v>
      </c>
      <c r="C532" s="4">
        <v>10</v>
      </c>
      <c r="D532" s="4" t="str">
        <f>INDEX(Sheet1!$B:$AQ,テスト!C532+2,テスト!B532)</f>
        <v>ﾍﾘｳﾑ噴射獣</v>
      </c>
    </row>
    <row r="533" spans="1:4" x14ac:dyDescent="0.15">
      <c r="A533" s="4">
        <v>1</v>
      </c>
      <c r="B533" s="26">
        <f t="shared" si="74"/>
        <v>3</v>
      </c>
      <c r="C533" s="4">
        <v>25</v>
      </c>
      <c r="D533" s="4" t="str">
        <f>INDEX(Sheet1!$B:$AQ,テスト!C533+2,テスト!B533)</f>
        <v>毒の屍賊</v>
      </c>
    </row>
    <row r="534" spans="1:4" x14ac:dyDescent="0.15">
      <c r="A534" s="4">
        <v>1</v>
      </c>
      <c r="B534" s="26">
        <f t="shared" si="74"/>
        <v>4</v>
      </c>
      <c r="C534" s="4">
        <v>32</v>
      </c>
      <c r="D534" s="4" t="str">
        <f>INDEX(Sheet1!$B:$AQ,テスト!C534+2,テスト!B534)</f>
        <v>乱打Slv</v>
      </c>
    </row>
    <row r="535" spans="1:4" x14ac:dyDescent="0.15">
      <c r="A535" s="4">
        <v>2</v>
      </c>
      <c r="B535" s="26">
        <v>20</v>
      </c>
      <c r="C535" s="4">
        <v>27</v>
      </c>
      <c r="D535" s="4" t="str">
        <f>INDEX(Sheet1!$B:$AQ,テスト!C535+2,テスト!B535)</f>
        <v>構造のひずみ</v>
      </c>
    </row>
    <row r="536" spans="1:4" x14ac:dyDescent="0.15">
      <c r="A536" s="4">
        <v>2</v>
      </c>
      <c r="B536" s="26">
        <f>IF(B535&gt;19,11,B535+1)</f>
        <v>11</v>
      </c>
      <c r="C536" s="4">
        <v>30</v>
      </c>
      <c r="D536" s="4" t="str">
        <f>INDEX(Sheet1!$B:$AQ,テスト!C536+2,テスト!B536)</f>
        <v>重要人物のﾍﾟｯﾄ</v>
      </c>
    </row>
    <row r="537" spans="1:4" x14ac:dyDescent="0.15">
      <c r="A537" s="4">
        <v>2</v>
      </c>
      <c r="B537" s="26">
        <f>IF(B536&gt;19,11,B536+1)</f>
        <v>12</v>
      </c>
      <c r="C537" s="4">
        <v>16</v>
      </c>
      <c r="D537" s="4" t="str">
        <f>INDEX(Sheet1!$B:$AQ,テスト!C537+2,テスト!B537)</f>
        <v>裏返し</v>
      </c>
    </row>
    <row r="538" spans="1:4" x14ac:dyDescent="0.15">
      <c r="A538" s="4">
        <v>2</v>
      </c>
      <c r="B538" s="26">
        <f>IF(B537&gt;19,11,B537+1)</f>
        <v>13</v>
      </c>
      <c r="C538" s="4">
        <v>19</v>
      </c>
      <c r="D538" s="4" t="str">
        <f>INDEX(Sheet1!$B:$AQ,テスト!C538+2,テスト!B538)</f>
        <v>激情Slv</v>
      </c>
    </row>
    <row r="539" spans="1:4" x14ac:dyDescent="0.15">
      <c r="A539" s="4">
        <v>3</v>
      </c>
      <c r="B539" s="26">
        <v>21</v>
      </c>
      <c r="C539" s="4">
        <v>17</v>
      </c>
      <c r="D539" s="4" t="str">
        <f>INDEX(Sheet1!$B:$AQ,テスト!C539+2,テスト!B539)</f>
        <v>ｵﾙｿﾞﾌの導き石</v>
      </c>
    </row>
    <row r="540" spans="1:4" x14ac:dyDescent="0.15">
      <c r="A540" s="4">
        <v>3</v>
      </c>
      <c r="B540" s="26">
        <v>22</v>
      </c>
      <c r="C540" s="4">
        <v>6</v>
      </c>
      <c r="D540" s="4" t="str">
        <f>INDEX(Sheet1!$B:$AQ,テスト!C540+2,テスト!B540)</f>
        <v>WBL</v>
      </c>
    </row>
    <row r="541" spans="1:4" x14ac:dyDescent="0.15">
      <c r="A541" s="4">
        <v>4</v>
      </c>
      <c r="B541" s="26">
        <v>27</v>
      </c>
      <c r="C541" s="4">
        <v>8</v>
      </c>
      <c r="D541" s="4" t="str">
        <f>INDEX(Sheet1!$B:$AQ,テスト!C541+2,テスト!B541)</f>
        <v>戦慄の復活</v>
      </c>
    </row>
    <row r="542" spans="1:4" x14ac:dyDescent="0.15">
      <c r="A542" s="4">
        <v>4</v>
      </c>
      <c r="B542" s="26">
        <f t="shared" ref="B542:B543" si="75">IF(B541&gt;31,23,B541+1)</f>
        <v>28</v>
      </c>
      <c r="C542" s="4">
        <v>36</v>
      </c>
      <c r="D542" s="4" t="str">
        <f>INDEX(Sheet1!$B:$AQ,テスト!C542+2,テスト!B542)</f>
        <v>ｽｩﾙﾀｲ土地</v>
      </c>
    </row>
    <row r="543" spans="1:4" x14ac:dyDescent="0.15">
      <c r="A543" s="4">
        <v>4</v>
      </c>
      <c r="B543" s="26">
        <f t="shared" si="75"/>
        <v>29</v>
      </c>
      <c r="C543" s="4">
        <v>30</v>
      </c>
      <c r="D543" s="4" t="str">
        <f>INDEX(Sheet1!$B:$AQ,テスト!C543+2,テスト!B543)</f>
        <v>蔑み</v>
      </c>
    </row>
    <row r="544" spans="1:4" x14ac:dyDescent="0.15">
      <c r="A544" s="4">
        <v>5</v>
      </c>
      <c r="B544" s="26">
        <v>42</v>
      </c>
      <c r="C544" s="4">
        <v>4</v>
      </c>
      <c r="D544" s="4" t="str">
        <f>INDEX(Sheet1!$B:$AQ,テスト!C544+2,テスト!B544)</f>
        <v>心魂破</v>
      </c>
    </row>
    <row r="545" spans="1:4" x14ac:dyDescent="0.15">
      <c r="D545" s="4">
        <v>35</v>
      </c>
    </row>
    <row r="546" spans="1:4" x14ac:dyDescent="0.15">
      <c r="A546" s="4">
        <v>1</v>
      </c>
      <c r="B546" s="26">
        <v>9</v>
      </c>
      <c r="C546" s="4">
        <v>10</v>
      </c>
      <c r="D546" s="4" t="str">
        <f>INDEX(Sheet1!$B:$AQ,テスト!C546+2,テスト!B546)</f>
        <v>反抗するｵｰｶﾞ</v>
      </c>
    </row>
    <row r="547" spans="1:4" x14ac:dyDescent="0.15">
      <c r="A547" s="4">
        <v>1</v>
      </c>
      <c r="B547" s="26">
        <f>IF(B546&gt;9,1,B546+1)</f>
        <v>10</v>
      </c>
      <c r="C547" s="4">
        <v>28</v>
      </c>
      <c r="D547" s="4" t="str">
        <f>INDEX(Sheet1!$B:$AQ,テスト!C547+2,テスト!B547)</f>
        <v>不屈の自然</v>
      </c>
    </row>
    <row r="548" spans="1:4" x14ac:dyDescent="0.15">
      <c r="A548" s="4">
        <v>1</v>
      </c>
      <c r="B548" s="26">
        <f t="shared" ref="B548:B550" si="76">IF(B547&gt;9,1,B547+1)</f>
        <v>1</v>
      </c>
      <c r="C548" s="4">
        <v>4</v>
      </c>
      <c r="D548" s="4" t="str">
        <f>INDEX(Sheet1!$B:$AQ,テスト!C548+2,テスト!B548)</f>
        <v>突風の漂い</v>
      </c>
    </row>
    <row r="549" spans="1:4" x14ac:dyDescent="0.15">
      <c r="A549" s="4">
        <v>1</v>
      </c>
      <c r="B549" s="26">
        <f t="shared" si="76"/>
        <v>2</v>
      </c>
      <c r="C549" s="4">
        <v>22</v>
      </c>
      <c r="D549" s="4" t="str">
        <f>INDEX(Sheet1!$B:$AQ,テスト!C549+2,テスト!B549)</f>
        <v>かき鳴らし鳥</v>
      </c>
    </row>
    <row r="550" spans="1:4" x14ac:dyDescent="0.15">
      <c r="A550" s="4">
        <v>1</v>
      </c>
      <c r="B550" s="26">
        <f t="shared" si="76"/>
        <v>3</v>
      </c>
      <c r="C550" s="4">
        <v>24</v>
      </c>
      <c r="D550" s="4" t="str">
        <f>INDEX(Sheet1!$B:$AQ,テスト!C550+2,テスト!B550)</f>
        <v>吐毒Slv</v>
      </c>
    </row>
    <row r="551" spans="1:4" x14ac:dyDescent="0.15">
      <c r="A551" s="4">
        <v>2</v>
      </c>
      <c r="B551" s="26">
        <v>15</v>
      </c>
      <c r="C551" s="4">
        <v>5</v>
      </c>
      <c r="D551" s="4" t="str">
        <f>INDEX(Sheet1!$B:$AQ,テスト!C551+2,テスト!B551)</f>
        <v>ヴｨｸﾞの水植物</v>
      </c>
    </row>
    <row r="552" spans="1:4" x14ac:dyDescent="0.15">
      <c r="A552" s="4">
        <v>2</v>
      </c>
      <c r="B552" s="26">
        <f>IF(B551&gt;19,11,B551+1)</f>
        <v>16</v>
      </c>
      <c r="C552" s="4">
        <v>3</v>
      </c>
      <c r="D552" s="4" t="str">
        <f>INDEX(Sheet1!$B:$AQ,テスト!C552+2,テスト!B552)</f>
        <v>帰化</v>
      </c>
    </row>
    <row r="553" spans="1:4" x14ac:dyDescent="0.15">
      <c r="A553" s="4">
        <v>2</v>
      </c>
      <c r="B553" s="26">
        <f>IF(B552&gt;19,11,B552+1)</f>
        <v>17</v>
      </c>
      <c r="C553" s="4">
        <v>10</v>
      </c>
      <c r="D553" s="4" t="str">
        <f>INDEX(Sheet1!$B:$AQ,テスト!C553+2,テスト!B553)</f>
        <v>天主の勢力</v>
      </c>
    </row>
    <row r="554" spans="1:4" x14ac:dyDescent="0.15">
      <c r="A554" s="4">
        <v>2</v>
      </c>
      <c r="B554" s="26">
        <f>IF(B553&gt;19,11,B553+1)</f>
        <v>18</v>
      </c>
      <c r="C554" s="4">
        <v>6</v>
      </c>
      <c r="D554" s="4" t="str">
        <f>INDEX(Sheet1!$B:$AQ,テスト!C554+2,テスト!B554)</f>
        <v>ｺﾞﾙｺﾞﾝの凝視</v>
      </c>
    </row>
    <row r="555" spans="1:4" x14ac:dyDescent="0.15">
      <c r="A555" s="4">
        <v>3</v>
      </c>
      <c r="B555" s="26">
        <v>21</v>
      </c>
      <c r="C555" s="4">
        <v>30</v>
      </c>
      <c r="D555" s="4" t="str">
        <f>INDEX(Sheet1!$B:$AQ,テスト!C555+2,テスト!B555)</f>
        <v>心鍛のｺﾞｰﾚﾑ</v>
      </c>
    </row>
    <row r="556" spans="1:4" x14ac:dyDescent="0.15">
      <c r="A556" s="4">
        <v>3</v>
      </c>
      <c r="B556" s="26">
        <v>22</v>
      </c>
      <c r="C556" s="4">
        <v>41</v>
      </c>
      <c r="D556" s="4" t="str">
        <f>INDEX(Sheet1!$B:$AQ,テスト!C556+2,テスト!B556)</f>
        <v>未知の岸</v>
      </c>
    </row>
    <row r="557" spans="1:4" x14ac:dyDescent="0.15">
      <c r="A557" s="4">
        <v>4</v>
      </c>
      <c r="B557" s="26">
        <v>30</v>
      </c>
      <c r="C557" s="4">
        <v>5</v>
      </c>
      <c r="D557" s="4" t="str">
        <f>INDEX(Sheet1!$B:$AQ,テスト!C557+2,テスト!B557)</f>
        <v>杉の力</v>
      </c>
    </row>
    <row r="558" spans="1:4" x14ac:dyDescent="0.15">
      <c r="A558" s="4">
        <v>4</v>
      </c>
      <c r="B558" s="26">
        <f t="shared" ref="B558:B559" si="77">IF(B557&gt;31,23,B557+1)</f>
        <v>31</v>
      </c>
      <c r="C558" s="4">
        <v>24</v>
      </c>
      <c r="D558" s="4" t="str">
        <f>INDEX(Sheet1!$B:$AQ,テスト!C558+2,テスト!B558)</f>
        <v>焼灼Slv</v>
      </c>
    </row>
    <row r="559" spans="1:4" x14ac:dyDescent="0.15">
      <c r="A559" s="4">
        <v>4</v>
      </c>
      <c r="B559" s="26">
        <f t="shared" si="77"/>
        <v>32</v>
      </c>
      <c r="C559" s="4">
        <v>20</v>
      </c>
      <c r="D559" s="4" t="str">
        <f>INDEX(Sheet1!$B:$AQ,テスト!C559+2,テスト!B559)</f>
        <v>潮力の精霊</v>
      </c>
    </row>
    <row r="560" spans="1:4" x14ac:dyDescent="0.15">
      <c r="A560" s="4">
        <v>5</v>
      </c>
      <c r="B560" s="26">
        <v>37</v>
      </c>
      <c r="C560" s="4">
        <v>2</v>
      </c>
      <c r="D560" s="4" t="str">
        <f>INDEX(Sheet1!$B:$AQ,テスト!C560+2,テスト!B560)</f>
        <v>永劫の年代史家</v>
      </c>
    </row>
    <row r="561" spans="1:4" x14ac:dyDescent="0.15">
      <c r="D561" s="4">
        <v>36</v>
      </c>
    </row>
    <row r="562" spans="1:4" x14ac:dyDescent="0.15">
      <c r="A562" s="4">
        <v>1</v>
      </c>
      <c r="B562" s="26">
        <v>8</v>
      </c>
      <c r="C562" s="4">
        <v>15</v>
      </c>
      <c r="D562" s="4" t="str">
        <f>INDEX(Sheet1!$B:$AQ,テスト!C562+2,テスト!B562)</f>
        <v>ｸﾞﾚｲﾌﾞﾃﾞｨｶﾞｰ</v>
      </c>
    </row>
    <row r="563" spans="1:4" x14ac:dyDescent="0.15">
      <c r="A563" s="4">
        <v>1</v>
      </c>
      <c r="B563" s="26">
        <f>IF(B562&gt;9,1,B562+1)</f>
        <v>9</v>
      </c>
      <c r="C563" s="4">
        <v>6</v>
      </c>
      <c r="D563" s="4" t="str">
        <f>INDEX(Sheet1!$B:$AQ,テスト!C563+2,テスト!B563)</f>
        <v>沸き立つ大地</v>
      </c>
    </row>
    <row r="564" spans="1:4" x14ac:dyDescent="0.15">
      <c r="A564" s="4">
        <v>1</v>
      </c>
      <c r="B564" s="26">
        <f t="shared" ref="B564:B566" si="78">IF(B563&gt;9,1,B563+1)</f>
        <v>10</v>
      </c>
      <c r="C564" s="4">
        <v>17</v>
      </c>
      <c r="D564" s="4" t="str">
        <f>INDEX(Sheet1!$B:$AQ,テスト!C564+2,テスト!B564)</f>
        <v>道壊しﾜｰﾑ</v>
      </c>
    </row>
    <row r="565" spans="1:4" x14ac:dyDescent="0.15">
      <c r="A565" s="4">
        <v>1</v>
      </c>
      <c r="B565" s="26">
        <f t="shared" si="78"/>
        <v>1</v>
      </c>
      <c r="C565" s="4">
        <v>27</v>
      </c>
      <c r="D565" s="4" t="str">
        <f>INDEX(Sheet1!$B:$AQ,テスト!C565+2,テスト!B565)</f>
        <v>二人戦術</v>
      </c>
    </row>
    <row r="566" spans="1:4" x14ac:dyDescent="0.15">
      <c r="A566" s="4">
        <v>1</v>
      </c>
      <c r="B566" s="26">
        <f t="shared" si="78"/>
        <v>2</v>
      </c>
      <c r="C566" s="4">
        <v>14</v>
      </c>
      <c r="D566" s="4" t="str">
        <f>INDEX(Sheet1!$B:$AQ,テスト!C566+2,テスト!B566)</f>
        <v>閉所恐怖症</v>
      </c>
    </row>
    <row r="567" spans="1:4" x14ac:dyDescent="0.15">
      <c r="A567" s="4">
        <v>2</v>
      </c>
      <c r="B567" s="26">
        <v>15</v>
      </c>
      <c r="C567" s="4">
        <v>25</v>
      </c>
      <c r="D567" s="4" t="str">
        <f>INDEX(Sheet1!$B:$AQ,テスト!C567+2,テスト!B567)</f>
        <v>宝革Slv</v>
      </c>
    </row>
    <row r="568" spans="1:4" x14ac:dyDescent="0.15">
      <c r="A568" s="4">
        <v>2</v>
      </c>
      <c r="B568" s="26">
        <f>IF(B567&gt;19,11,B567+1)</f>
        <v>16</v>
      </c>
      <c r="C568" s="4">
        <v>23</v>
      </c>
      <c r="D568" s="4" t="str">
        <f>INDEX(Sheet1!$B:$AQ,テスト!C568+2,テスト!B568)</f>
        <v>酷評</v>
      </c>
    </row>
    <row r="569" spans="1:4" x14ac:dyDescent="0.15">
      <c r="A569" s="4">
        <v>2</v>
      </c>
      <c r="B569" s="26">
        <f>IF(B568&gt;19,11,B568+1)</f>
        <v>17</v>
      </c>
      <c r="C569" s="4">
        <v>15</v>
      </c>
      <c r="D569" s="4" t="str">
        <f>INDEX(Sheet1!$B:$AQ,テスト!C569+2,テスト!B569)</f>
        <v>真っ逆さま</v>
      </c>
    </row>
    <row r="570" spans="1:4" x14ac:dyDescent="0.15">
      <c r="A570" s="4">
        <v>2</v>
      </c>
      <c r="B570" s="26">
        <f>IF(B569&gt;19,11,B569+1)</f>
        <v>18</v>
      </c>
      <c r="C570" s="4">
        <v>26</v>
      </c>
      <c r="D570" s="4" t="str">
        <f>INDEX(Sheet1!$B:$AQ,テスト!C570+2,テスト!B570)</f>
        <v>新緑の安息所</v>
      </c>
    </row>
    <row r="571" spans="1:4" x14ac:dyDescent="0.15">
      <c r="A571" s="4">
        <v>3</v>
      </c>
      <c r="B571" s="26">
        <v>21</v>
      </c>
      <c r="C571" s="4">
        <v>33</v>
      </c>
      <c r="D571" s="4" t="str">
        <f>INDEX(Sheet1!$B:$AQ,テスト!C571+2,テスト!B571)</f>
        <v>ｵﾙｿﾞﾌの導き石</v>
      </c>
    </row>
    <row r="572" spans="1:4" x14ac:dyDescent="0.15">
      <c r="A572" s="4">
        <v>3</v>
      </c>
      <c r="B572" s="26">
        <v>22</v>
      </c>
      <c r="C572" s="4">
        <v>68</v>
      </c>
      <c r="D572" s="4" t="str">
        <f>INDEX(Sheet1!$B:$AQ,テスト!C572+2,テスト!B572)</f>
        <v>憑依された沼墓</v>
      </c>
    </row>
    <row r="573" spans="1:4" x14ac:dyDescent="0.15">
      <c r="A573" s="4">
        <v>4</v>
      </c>
      <c r="B573" s="26">
        <v>23</v>
      </c>
      <c r="C573" s="4">
        <v>4</v>
      </c>
      <c r="D573" s="4" t="str">
        <f>INDEX(Sheet1!$B:$AQ,テスト!C573+2,テスト!B573)</f>
        <v>残忍な稲妻</v>
      </c>
    </row>
    <row r="574" spans="1:4" x14ac:dyDescent="0.15">
      <c r="A574" s="4">
        <v>4</v>
      </c>
      <c r="B574" s="26">
        <f t="shared" ref="B574:B575" si="79">IF(B573&gt;31,23,B573+1)</f>
        <v>24</v>
      </c>
      <c r="C574" s="4">
        <v>10</v>
      </c>
      <c r="D574" s="4" t="str">
        <f>INDEX(Sheet1!$B:$AQ,テスト!C574+2,テスト!B574)</f>
        <v>宮殿の野の神</v>
      </c>
    </row>
    <row r="575" spans="1:4" x14ac:dyDescent="0.15">
      <c r="A575" s="4">
        <v>4</v>
      </c>
      <c r="B575" s="26">
        <f t="shared" si="79"/>
        <v>25</v>
      </c>
      <c r="C575" s="4">
        <v>13</v>
      </c>
      <c r="D575" s="4" t="str">
        <f>INDEX(Sheet1!$B:$AQ,テスト!C575+2,テスト!B575)</f>
        <v>憤怒Slv</v>
      </c>
    </row>
    <row r="576" spans="1:4" x14ac:dyDescent="0.15">
      <c r="A576" s="4">
        <v>5</v>
      </c>
      <c r="B576" s="26">
        <v>40</v>
      </c>
      <c r="C576" s="4">
        <v>12</v>
      </c>
      <c r="D576" s="4" t="str">
        <f>INDEX(Sheet1!$B:$AQ,テスト!C576+2,テスト!B576)</f>
        <v>飢えたるもの､卑堕硫</v>
      </c>
    </row>
    <row r="579" spans="2:2" x14ac:dyDescent="0.15">
      <c r="B579" s="4"/>
    </row>
    <row r="580" spans="2:2" x14ac:dyDescent="0.15">
      <c r="B580" s="4"/>
    </row>
    <row r="581" spans="2:2" x14ac:dyDescent="0.15">
      <c r="B581" s="4"/>
    </row>
    <row r="582" spans="2:2" x14ac:dyDescent="0.15">
      <c r="B582" s="4"/>
    </row>
    <row r="583" spans="2:2" x14ac:dyDescent="0.15">
      <c r="B583" s="4"/>
    </row>
    <row r="584" spans="2:2" x14ac:dyDescent="0.15">
      <c r="B584" s="4"/>
    </row>
    <row r="585" spans="2:2" x14ac:dyDescent="0.15">
      <c r="B585" s="4"/>
    </row>
    <row r="586" spans="2:2" x14ac:dyDescent="0.15">
      <c r="B586" s="4"/>
    </row>
    <row r="587" spans="2:2" x14ac:dyDescent="0.15">
      <c r="B587" s="4"/>
    </row>
    <row r="588" spans="2:2" x14ac:dyDescent="0.15">
      <c r="B588" s="4"/>
    </row>
    <row r="589" spans="2:2" x14ac:dyDescent="0.15">
      <c r="B589" s="4"/>
    </row>
    <row r="590" spans="2:2" x14ac:dyDescent="0.15">
      <c r="B590" s="4"/>
    </row>
    <row r="591" spans="2:2" x14ac:dyDescent="0.15">
      <c r="B591" s="4"/>
    </row>
    <row r="592" spans="2:2" x14ac:dyDescent="0.15">
      <c r="B592" s="4"/>
    </row>
    <row r="593" spans="2:2" x14ac:dyDescent="0.15">
      <c r="B593" s="4"/>
    </row>
    <row r="594" spans="2:2" x14ac:dyDescent="0.15">
      <c r="B594" s="4"/>
    </row>
    <row r="595" spans="2:2" x14ac:dyDescent="0.15">
      <c r="B595" s="4"/>
    </row>
    <row r="596" spans="2:2" x14ac:dyDescent="0.15">
      <c r="B596" s="4"/>
    </row>
    <row r="597" spans="2:2" x14ac:dyDescent="0.15">
      <c r="B597" s="4"/>
    </row>
    <row r="598" spans="2:2" x14ac:dyDescent="0.15">
      <c r="B598" s="4"/>
    </row>
    <row r="599" spans="2:2" x14ac:dyDescent="0.15">
      <c r="B599" s="4"/>
    </row>
    <row r="600" spans="2:2" x14ac:dyDescent="0.15">
      <c r="B600" s="4"/>
    </row>
    <row r="601" spans="2:2" x14ac:dyDescent="0.15">
      <c r="B601" s="4"/>
    </row>
    <row r="602" spans="2:2" x14ac:dyDescent="0.15">
      <c r="B602" s="4"/>
    </row>
    <row r="603" spans="2:2" x14ac:dyDescent="0.15">
      <c r="B603" s="4"/>
    </row>
    <row r="604" spans="2:2" x14ac:dyDescent="0.15">
      <c r="B604" s="4"/>
    </row>
    <row r="605" spans="2:2" x14ac:dyDescent="0.15">
      <c r="B605" s="4"/>
    </row>
    <row r="606" spans="2:2" x14ac:dyDescent="0.15">
      <c r="B606" s="4"/>
    </row>
    <row r="607" spans="2:2" x14ac:dyDescent="0.15">
      <c r="B607" s="4"/>
    </row>
    <row r="608" spans="2:2" x14ac:dyDescent="0.15">
      <c r="B608" s="4"/>
    </row>
    <row r="609" spans="2:2" x14ac:dyDescent="0.15">
      <c r="B609" s="4"/>
    </row>
    <row r="610" spans="2:2" x14ac:dyDescent="0.15">
      <c r="B610" s="4"/>
    </row>
    <row r="611" spans="2:2" x14ac:dyDescent="0.15">
      <c r="B611" s="4"/>
    </row>
    <row r="612" spans="2:2" x14ac:dyDescent="0.15">
      <c r="B612" s="4"/>
    </row>
    <row r="613" spans="2:2" x14ac:dyDescent="0.15">
      <c r="B613" s="4"/>
    </row>
    <row r="614" spans="2:2" x14ac:dyDescent="0.15">
      <c r="B614" s="4"/>
    </row>
    <row r="615" spans="2:2" x14ac:dyDescent="0.15">
      <c r="B615" s="4"/>
    </row>
    <row r="616" spans="2:2" x14ac:dyDescent="0.15">
      <c r="B616" s="4"/>
    </row>
    <row r="617" spans="2:2" x14ac:dyDescent="0.15">
      <c r="B617" s="4"/>
    </row>
    <row r="618" spans="2:2" x14ac:dyDescent="0.15">
      <c r="B618" s="4"/>
    </row>
    <row r="619" spans="2:2" x14ac:dyDescent="0.15">
      <c r="B619" s="4"/>
    </row>
    <row r="620" spans="2:2" x14ac:dyDescent="0.15">
      <c r="B620" s="4"/>
    </row>
    <row r="621" spans="2:2" x14ac:dyDescent="0.15">
      <c r="B621" s="4"/>
    </row>
    <row r="622" spans="2:2" x14ac:dyDescent="0.15">
      <c r="B622" s="4"/>
    </row>
    <row r="623" spans="2:2" x14ac:dyDescent="0.15">
      <c r="B623" s="4"/>
    </row>
    <row r="624" spans="2:2" x14ac:dyDescent="0.15">
      <c r="B624" s="4"/>
    </row>
    <row r="625" spans="2:2" x14ac:dyDescent="0.15">
      <c r="B625" s="4"/>
    </row>
    <row r="626" spans="2:2" x14ac:dyDescent="0.15">
      <c r="B626" s="4"/>
    </row>
    <row r="627" spans="2:2" x14ac:dyDescent="0.15">
      <c r="B627" s="4"/>
    </row>
    <row r="628" spans="2:2" x14ac:dyDescent="0.15">
      <c r="B628" s="4"/>
    </row>
    <row r="629" spans="2:2" x14ac:dyDescent="0.15">
      <c r="B629" s="4"/>
    </row>
    <row r="630" spans="2:2" x14ac:dyDescent="0.15">
      <c r="B630" s="4"/>
    </row>
    <row r="631" spans="2:2" x14ac:dyDescent="0.15">
      <c r="B631" s="4"/>
    </row>
    <row r="632" spans="2:2" x14ac:dyDescent="0.15">
      <c r="B632" s="4"/>
    </row>
    <row r="633" spans="2:2" x14ac:dyDescent="0.15">
      <c r="B633" s="4"/>
    </row>
    <row r="634" spans="2:2" x14ac:dyDescent="0.15">
      <c r="B634" s="4"/>
    </row>
    <row r="635" spans="2:2" x14ac:dyDescent="0.15">
      <c r="B635" s="4"/>
    </row>
    <row r="636" spans="2:2" x14ac:dyDescent="0.15">
      <c r="B636" s="4"/>
    </row>
    <row r="637" spans="2:2" x14ac:dyDescent="0.15">
      <c r="B637" s="4"/>
    </row>
    <row r="638" spans="2:2" x14ac:dyDescent="0.15">
      <c r="B638" s="4"/>
    </row>
    <row r="639" spans="2:2" x14ac:dyDescent="0.15">
      <c r="B639" s="4"/>
    </row>
    <row r="640" spans="2:2" x14ac:dyDescent="0.15">
      <c r="B640" s="4"/>
    </row>
    <row r="641" spans="2:2" x14ac:dyDescent="0.15">
      <c r="B641" s="4"/>
    </row>
    <row r="642" spans="2:2" x14ac:dyDescent="0.15">
      <c r="B642" s="4"/>
    </row>
    <row r="643" spans="2:2" x14ac:dyDescent="0.15">
      <c r="B643" s="4"/>
    </row>
    <row r="644" spans="2:2" x14ac:dyDescent="0.15">
      <c r="B644" s="4"/>
    </row>
    <row r="645" spans="2:2" x14ac:dyDescent="0.15">
      <c r="B645" s="4"/>
    </row>
    <row r="646" spans="2:2" x14ac:dyDescent="0.15">
      <c r="B646" s="4"/>
    </row>
    <row r="647" spans="2:2" x14ac:dyDescent="0.15">
      <c r="B647" s="4"/>
    </row>
    <row r="648" spans="2:2" x14ac:dyDescent="0.15">
      <c r="B648" s="4"/>
    </row>
    <row r="649" spans="2:2" x14ac:dyDescent="0.15">
      <c r="B649" s="4"/>
    </row>
    <row r="650" spans="2:2" x14ac:dyDescent="0.15">
      <c r="B650" s="4"/>
    </row>
    <row r="651" spans="2:2" x14ac:dyDescent="0.15">
      <c r="B651" s="4"/>
    </row>
    <row r="652" spans="2:2" x14ac:dyDescent="0.15">
      <c r="B652" s="4"/>
    </row>
    <row r="653" spans="2:2" x14ac:dyDescent="0.15">
      <c r="B653" s="4"/>
    </row>
    <row r="654" spans="2:2" x14ac:dyDescent="0.15">
      <c r="B654" s="4"/>
    </row>
    <row r="655" spans="2:2" x14ac:dyDescent="0.15">
      <c r="B655" s="4"/>
    </row>
    <row r="656" spans="2:2" x14ac:dyDescent="0.15">
      <c r="B656" s="4"/>
    </row>
    <row r="657" spans="2:2" x14ac:dyDescent="0.15">
      <c r="B657" s="4"/>
    </row>
    <row r="658" spans="2:2" x14ac:dyDescent="0.15">
      <c r="B658" s="4"/>
    </row>
    <row r="659" spans="2:2" x14ac:dyDescent="0.15">
      <c r="B659" s="4"/>
    </row>
    <row r="660" spans="2:2" x14ac:dyDescent="0.15">
      <c r="B660" s="4"/>
    </row>
    <row r="661" spans="2:2" x14ac:dyDescent="0.15">
      <c r="B661" s="4"/>
    </row>
    <row r="662" spans="2:2" x14ac:dyDescent="0.15">
      <c r="B662" s="4"/>
    </row>
    <row r="663" spans="2:2" x14ac:dyDescent="0.15">
      <c r="B663" s="4"/>
    </row>
    <row r="664" spans="2:2" x14ac:dyDescent="0.15">
      <c r="B664" s="4"/>
    </row>
    <row r="665" spans="2:2" x14ac:dyDescent="0.15">
      <c r="B665" s="4"/>
    </row>
    <row r="666" spans="2:2" x14ac:dyDescent="0.15">
      <c r="B666" s="4"/>
    </row>
    <row r="667" spans="2:2" x14ac:dyDescent="0.15">
      <c r="B667" s="4"/>
    </row>
    <row r="668" spans="2:2" x14ac:dyDescent="0.15">
      <c r="B668" s="4"/>
    </row>
    <row r="669" spans="2:2" x14ac:dyDescent="0.15">
      <c r="B669" s="4"/>
    </row>
    <row r="670" spans="2:2" x14ac:dyDescent="0.15">
      <c r="B670" s="4"/>
    </row>
    <row r="671" spans="2:2" x14ac:dyDescent="0.15">
      <c r="B671" s="4"/>
    </row>
    <row r="672" spans="2:2" x14ac:dyDescent="0.15">
      <c r="B672" s="4"/>
    </row>
    <row r="673" spans="2:2" x14ac:dyDescent="0.15">
      <c r="B673" s="4"/>
    </row>
    <row r="674" spans="2:2" x14ac:dyDescent="0.15">
      <c r="B674" s="4"/>
    </row>
    <row r="675" spans="2:2" x14ac:dyDescent="0.15">
      <c r="B675" s="4"/>
    </row>
    <row r="676" spans="2:2" x14ac:dyDescent="0.15">
      <c r="B676" s="4"/>
    </row>
    <row r="677" spans="2:2" x14ac:dyDescent="0.15">
      <c r="B677" s="4"/>
    </row>
    <row r="678" spans="2:2" x14ac:dyDescent="0.15">
      <c r="B678" s="4"/>
    </row>
    <row r="679" spans="2:2" x14ac:dyDescent="0.15">
      <c r="B679" s="4"/>
    </row>
    <row r="680" spans="2:2" x14ac:dyDescent="0.15">
      <c r="B680" s="4"/>
    </row>
    <row r="681" spans="2:2" x14ac:dyDescent="0.15">
      <c r="B681" s="4"/>
    </row>
    <row r="682" spans="2:2" x14ac:dyDescent="0.15">
      <c r="B682" s="4"/>
    </row>
    <row r="683" spans="2:2" x14ac:dyDescent="0.15">
      <c r="B683" s="4"/>
    </row>
    <row r="684" spans="2:2" x14ac:dyDescent="0.15">
      <c r="B684" s="4"/>
    </row>
    <row r="685" spans="2:2" x14ac:dyDescent="0.15">
      <c r="B685" s="4"/>
    </row>
    <row r="686" spans="2:2" x14ac:dyDescent="0.15">
      <c r="B686" s="4"/>
    </row>
    <row r="687" spans="2:2" x14ac:dyDescent="0.15">
      <c r="B687" s="4"/>
    </row>
    <row r="688" spans="2:2" x14ac:dyDescent="0.15">
      <c r="B688" s="4"/>
    </row>
    <row r="689" spans="2:2" x14ac:dyDescent="0.15">
      <c r="B689" s="4"/>
    </row>
    <row r="690" spans="2:2" x14ac:dyDescent="0.15">
      <c r="B690" s="4"/>
    </row>
    <row r="691" spans="2:2" x14ac:dyDescent="0.15">
      <c r="B691" s="4"/>
    </row>
    <row r="692" spans="2:2" x14ac:dyDescent="0.15">
      <c r="B692" s="4"/>
    </row>
    <row r="693" spans="2:2" x14ac:dyDescent="0.15">
      <c r="B693" s="4"/>
    </row>
    <row r="694" spans="2:2" x14ac:dyDescent="0.15">
      <c r="B694" s="4"/>
    </row>
    <row r="695" spans="2:2" x14ac:dyDescent="0.15">
      <c r="B695" s="4"/>
    </row>
    <row r="696" spans="2:2" x14ac:dyDescent="0.15">
      <c r="B696" s="4"/>
    </row>
    <row r="697" spans="2:2" x14ac:dyDescent="0.15">
      <c r="B697" s="4"/>
    </row>
    <row r="698" spans="2:2" x14ac:dyDescent="0.15">
      <c r="B698" s="4"/>
    </row>
    <row r="699" spans="2:2" x14ac:dyDescent="0.15">
      <c r="B699" s="4"/>
    </row>
    <row r="700" spans="2:2" x14ac:dyDescent="0.15">
      <c r="B700" s="4"/>
    </row>
    <row r="701" spans="2:2" x14ac:dyDescent="0.15">
      <c r="B701" s="4"/>
    </row>
    <row r="702" spans="2:2" x14ac:dyDescent="0.15">
      <c r="B702" s="4"/>
    </row>
    <row r="703" spans="2:2" x14ac:dyDescent="0.15">
      <c r="B703" s="4"/>
    </row>
    <row r="704" spans="2:2" x14ac:dyDescent="0.15">
      <c r="B704" s="4"/>
    </row>
    <row r="705" spans="2:2" x14ac:dyDescent="0.15">
      <c r="B705" s="4"/>
    </row>
    <row r="706" spans="2:2" x14ac:dyDescent="0.15">
      <c r="B706" s="4"/>
    </row>
    <row r="707" spans="2:2" x14ac:dyDescent="0.15">
      <c r="B707" s="4"/>
    </row>
    <row r="708" spans="2:2" x14ac:dyDescent="0.15">
      <c r="B708" s="4"/>
    </row>
    <row r="709" spans="2:2" x14ac:dyDescent="0.15">
      <c r="B709" s="4"/>
    </row>
    <row r="710" spans="2:2" x14ac:dyDescent="0.15">
      <c r="B710" s="4"/>
    </row>
    <row r="711" spans="2:2" x14ac:dyDescent="0.15">
      <c r="B711" s="4"/>
    </row>
    <row r="712" spans="2:2" x14ac:dyDescent="0.15">
      <c r="B712" s="4"/>
    </row>
    <row r="713" spans="2:2" x14ac:dyDescent="0.15">
      <c r="B713" s="4"/>
    </row>
    <row r="714" spans="2:2" x14ac:dyDescent="0.15">
      <c r="B714" s="4"/>
    </row>
    <row r="715" spans="2:2" x14ac:dyDescent="0.15">
      <c r="B715" s="4"/>
    </row>
    <row r="716" spans="2:2" x14ac:dyDescent="0.15">
      <c r="B716" s="4"/>
    </row>
    <row r="717" spans="2:2" x14ac:dyDescent="0.15">
      <c r="B717" s="4"/>
    </row>
    <row r="718" spans="2:2" x14ac:dyDescent="0.15">
      <c r="B718" s="4"/>
    </row>
    <row r="719" spans="2:2" x14ac:dyDescent="0.15">
      <c r="B719" s="4"/>
    </row>
    <row r="720" spans="2:2" x14ac:dyDescent="0.15">
      <c r="B720" s="4"/>
    </row>
    <row r="721" spans="2:2" x14ac:dyDescent="0.15">
      <c r="B721" s="4"/>
    </row>
    <row r="722" spans="2:2" x14ac:dyDescent="0.15">
      <c r="B722" s="4"/>
    </row>
    <row r="723" spans="2:2" x14ac:dyDescent="0.15">
      <c r="B723" s="4"/>
    </row>
    <row r="724" spans="2:2" x14ac:dyDescent="0.15">
      <c r="B724" s="4"/>
    </row>
    <row r="725" spans="2:2" x14ac:dyDescent="0.15">
      <c r="B725" s="4"/>
    </row>
    <row r="726" spans="2:2" x14ac:dyDescent="0.15">
      <c r="B726" s="4"/>
    </row>
    <row r="727" spans="2:2" x14ac:dyDescent="0.15">
      <c r="B727" s="4"/>
    </row>
    <row r="728" spans="2:2" x14ac:dyDescent="0.15">
      <c r="B728" s="4"/>
    </row>
    <row r="729" spans="2:2" x14ac:dyDescent="0.15">
      <c r="B729" s="4"/>
    </row>
    <row r="730" spans="2:2" x14ac:dyDescent="0.15">
      <c r="B730" s="4"/>
    </row>
    <row r="731" spans="2:2" x14ac:dyDescent="0.15">
      <c r="B731" s="4"/>
    </row>
    <row r="732" spans="2:2" x14ac:dyDescent="0.15">
      <c r="B732" s="4"/>
    </row>
    <row r="733" spans="2:2" x14ac:dyDescent="0.15">
      <c r="B733" s="4"/>
    </row>
    <row r="734" spans="2:2" x14ac:dyDescent="0.15">
      <c r="B734" s="4"/>
    </row>
    <row r="735" spans="2:2" x14ac:dyDescent="0.15">
      <c r="B735" s="4"/>
    </row>
    <row r="736" spans="2:2" x14ac:dyDescent="0.15">
      <c r="B736" s="4"/>
    </row>
    <row r="737" spans="2:2" x14ac:dyDescent="0.15">
      <c r="B737" s="4"/>
    </row>
    <row r="738" spans="2:2" x14ac:dyDescent="0.15">
      <c r="B738" s="4"/>
    </row>
    <row r="739" spans="2:2" x14ac:dyDescent="0.15">
      <c r="B739" s="4"/>
    </row>
    <row r="740" spans="2:2" x14ac:dyDescent="0.15">
      <c r="B740" s="4"/>
    </row>
    <row r="741" spans="2:2" x14ac:dyDescent="0.15">
      <c r="B741" s="4"/>
    </row>
    <row r="742" spans="2:2" x14ac:dyDescent="0.15">
      <c r="B742" s="4"/>
    </row>
    <row r="743" spans="2:2" x14ac:dyDescent="0.15">
      <c r="B743" s="4"/>
    </row>
    <row r="744" spans="2:2" x14ac:dyDescent="0.15">
      <c r="B744" s="4"/>
    </row>
    <row r="745" spans="2:2" x14ac:dyDescent="0.15">
      <c r="B745" s="4"/>
    </row>
    <row r="746" spans="2:2" x14ac:dyDescent="0.15">
      <c r="B746" s="4"/>
    </row>
    <row r="747" spans="2:2" x14ac:dyDescent="0.15">
      <c r="B747" s="4"/>
    </row>
    <row r="748" spans="2:2" x14ac:dyDescent="0.15">
      <c r="B748" s="4"/>
    </row>
    <row r="749" spans="2:2" x14ac:dyDescent="0.15">
      <c r="B749" s="4"/>
    </row>
    <row r="750" spans="2:2" x14ac:dyDescent="0.15">
      <c r="B750" s="4"/>
    </row>
    <row r="751" spans="2:2" x14ac:dyDescent="0.15">
      <c r="B751" s="4"/>
    </row>
    <row r="752" spans="2:2" x14ac:dyDescent="0.15">
      <c r="B752" s="4"/>
    </row>
    <row r="753" spans="2:2" x14ac:dyDescent="0.15">
      <c r="B753" s="4"/>
    </row>
    <row r="754" spans="2:2" x14ac:dyDescent="0.15">
      <c r="B754" s="4"/>
    </row>
    <row r="755" spans="2:2" x14ac:dyDescent="0.15">
      <c r="B755" s="4"/>
    </row>
    <row r="756" spans="2:2" x14ac:dyDescent="0.15">
      <c r="B756" s="4"/>
    </row>
    <row r="757" spans="2:2" x14ac:dyDescent="0.15">
      <c r="B757" s="4"/>
    </row>
    <row r="758" spans="2:2" x14ac:dyDescent="0.15">
      <c r="B758" s="4"/>
    </row>
    <row r="759" spans="2:2" x14ac:dyDescent="0.15">
      <c r="B759" s="4"/>
    </row>
    <row r="760" spans="2:2" x14ac:dyDescent="0.15">
      <c r="B760" s="4"/>
    </row>
    <row r="761" spans="2:2" x14ac:dyDescent="0.15">
      <c r="B761" s="4"/>
    </row>
    <row r="762" spans="2:2" x14ac:dyDescent="0.15">
      <c r="B762" s="4"/>
    </row>
    <row r="763" spans="2:2" x14ac:dyDescent="0.15">
      <c r="B763" s="4"/>
    </row>
    <row r="764" spans="2:2" x14ac:dyDescent="0.15">
      <c r="B764" s="4"/>
    </row>
    <row r="765" spans="2:2" x14ac:dyDescent="0.15">
      <c r="B765" s="4"/>
    </row>
    <row r="766" spans="2:2" x14ac:dyDescent="0.15">
      <c r="B766" s="4"/>
    </row>
    <row r="767" spans="2:2" x14ac:dyDescent="0.15">
      <c r="B767" s="4"/>
    </row>
    <row r="768" spans="2:2" x14ac:dyDescent="0.15">
      <c r="B768" s="4"/>
    </row>
    <row r="769" spans="2:2" x14ac:dyDescent="0.15">
      <c r="B769" s="4"/>
    </row>
    <row r="770" spans="2:2" x14ac:dyDescent="0.15">
      <c r="B770" s="4"/>
    </row>
    <row r="771" spans="2:2" x14ac:dyDescent="0.15">
      <c r="B771" s="4"/>
    </row>
    <row r="772" spans="2:2" x14ac:dyDescent="0.15">
      <c r="B772" s="4"/>
    </row>
    <row r="773" spans="2:2" x14ac:dyDescent="0.15">
      <c r="B773" s="4"/>
    </row>
    <row r="774" spans="2:2" x14ac:dyDescent="0.15">
      <c r="B774" s="4"/>
    </row>
    <row r="775" spans="2:2" x14ac:dyDescent="0.15">
      <c r="B775" s="4"/>
    </row>
    <row r="776" spans="2:2" x14ac:dyDescent="0.15">
      <c r="B776" s="4"/>
    </row>
    <row r="777" spans="2:2" x14ac:dyDescent="0.15">
      <c r="B777" s="4"/>
    </row>
    <row r="778" spans="2:2" x14ac:dyDescent="0.15">
      <c r="B778" s="4"/>
    </row>
    <row r="779" spans="2:2" x14ac:dyDescent="0.15">
      <c r="B779" s="4"/>
    </row>
    <row r="780" spans="2:2" x14ac:dyDescent="0.15">
      <c r="B780" s="4"/>
    </row>
    <row r="781" spans="2:2" x14ac:dyDescent="0.15">
      <c r="B781" s="4"/>
    </row>
    <row r="782" spans="2:2" x14ac:dyDescent="0.15">
      <c r="B782" s="4"/>
    </row>
    <row r="783" spans="2:2" x14ac:dyDescent="0.15">
      <c r="B783" s="4"/>
    </row>
    <row r="784" spans="2:2" x14ac:dyDescent="0.15">
      <c r="B784" s="4"/>
    </row>
    <row r="785" spans="2:2" x14ac:dyDescent="0.15">
      <c r="B785" s="4"/>
    </row>
    <row r="786" spans="2:2" x14ac:dyDescent="0.15">
      <c r="B786" s="4"/>
    </row>
    <row r="787" spans="2:2" x14ac:dyDescent="0.15">
      <c r="B787" s="4"/>
    </row>
    <row r="788" spans="2:2" x14ac:dyDescent="0.15">
      <c r="B788" s="4"/>
    </row>
    <row r="789" spans="2:2" x14ac:dyDescent="0.15">
      <c r="B789" s="4"/>
    </row>
    <row r="790" spans="2:2" x14ac:dyDescent="0.15">
      <c r="B790" s="4"/>
    </row>
    <row r="791" spans="2:2" x14ac:dyDescent="0.15">
      <c r="B791" s="4"/>
    </row>
    <row r="792" spans="2:2" x14ac:dyDescent="0.15">
      <c r="B792" s="4"/>
    </row>
    <row r="793" spans="2:2" x14ac:dyDescent="0.15">
      <c r="B793" s="4"/>
    </row>
    <row r="794" spans="2:2" x14ac:dyDescent="0.15">
      <c r="B794" s="4"/>
    </row>
    <row r="795" spans="2:2" x14ac:dyDescent="0.15">
      <c r="B795" s="4"/>
    </row>
    <row r="796" spans="2:2" x14ac:dyDescent="0.15">
      <c r="B796" s="4"/>
    </row>
    <row r="797" spans="2:2" x14ac:dyDescent="0.15">
      <c r="B797" s="4"/>
    </row>
    <row r="798" spans="2:2" x14ac:dyDescent="0.15">
      <c r="B798" s="4"/>
    </row>
    <row r="799" spans="2:2" x14ac:dyDescent="0.15">
      <c r="B799" s="4"/>
    </row>
    <row r="800" spans="2:2" x14ac:dyDescent="0.15">
      <c r="B800" s="4"/>
    </row>
    <row r="801" spans="2:2" x14ac:dyDescent="0.15">
      <c r="B801" s="4"/>
    </row>
    <row r="802" spans="2:2" x14ac:dyDescent="0.15">
      <c r="B802" s="4"/>
    </row>
    <row r="803" spans="2:2" x14ac:dyDescent="0.15">
      <c r="B803" s="4"/>
    </row>
    <row r="804" spans="2:2" x14ac:dyDescent="0.15">
      <c r="B804" s="4"/>
    </row>
    <row r="805" spans="2:2" x14ac:dyDescent="0.15">
      <c r="B805" s="4"/>
    </row>
    <row r="806" spans="2:2" x14ac:dyDescent="0.15">
      <c r="B806" s="4"/>
    </row>
    <row r="807" spans="2:2" x14ac:dyDescent="0.15">
      <c r="B807" s="4"/>
    </row>
    <row r="808" spans="2:2" x14ac:dyDescent="0.15">
      <c r="B808" s="4"/>
    </row>
    <row r="809" spans="2:2" x14ac:dyDescent="0.15">
      <c r="B809" s="4"/>
    </row>
    <row r="810" spans="2:2" x14ac:dyDescent="0.15">
      <c r="B810" s="4"/>
    </row>
    <row r="811" spans="2:2" x14ac:dyDescent="0.15">
      <c r="B811" s="4"/>
    </row>
    <row r="812" spans="2:2" x14ac:dyDescent="0.15">
      <c r="B812" s="4"/>
    </row>
    <row r="813" spans="2:2" x14ac:dyDescent="0.15">
      <c r="B813" s="4"/>
    </row>
    <row r="814" spans="2:2" x14ac:dyDescent="0.15">
      <c r="B814" s="4"/>
    </row>
    <row r="815" spans="2:2" x14ac:dyDescent="0.15">
      <c r="B815" s="4"/>
    </row>
    <row r="816" spans="2:2" x14ac:dyDescent="0.15">
      <c r="B816" s="4"/>
    </row>
    <row r="817" spans="2:2" x14ac:dyDescent="0.15">
      <c r="B817" s="4"/>
    </row>
    <row r="818" spans="2:2" x14ac:dyDescent="0.15">
      <c r="B818" s="4"/>
    </row>
    <row r="819" spans="2:2" x14ac:dyDescent="0.15">
      <c r="B819" s="4"/>
    </row>
    <row r="820" spans="2:2" x14ac:dyDescent="0.15">
      <c r="B820" s="4"/>
    </row>
    <row r="821" spans="2:2" x14ac:dyDescent="0.15">
      <c r="B821" s="4"/>
    </row>
    <row r="822" spans="2:2" x14ac:dyDescent="0.15">
      <c r="B822" s="4"/>
    </row>
    <row r="823" spans="2:2" x14ac:dyDescent="0.15">
      <c r="B823" s="4"/>
    </row>
    <row r="824" spans="2:2" x14ac:dyDescent="0.15">
      <c r="B824" s="4"/>
    </row>
    <row r="825" spans="2:2" x14ac:dyDescent="0.15">
      <c r="B825" s="4"/>
    </row>
    <row r="826" spans="2:2" x14ac:dyDescent="0.15">
      <c r="B826" s="4"/>
    </row>
    <row r="827" spans="2:2" x14ac:dyDescent="0.15">
      <c r="B827" s="4"/>
    </row>
    <row r="828" spans="2:2" x14ac:dyDescent="0.15">
      <c r="B828" s="4"/>
    </row>
    <row r="829" spans="2:2" x14ac:dyDescent="0.15">
      <c r="B829" s="4"/>
    </row>
    <row r="830" spans="2:2" x14ac:dyDescent="0.15">
      <c r="B830" s="4"/>
    </row>
    <row r="831" spans="2:2" x14ac:dyDescent="0.15">
      <c r="B831" s="4"/>
    </row>
    <row r="832" spans="2:2" x14ac:dyDescent="0.15">
      <c r="B832" s="4"/>
    </row>
    <row r="833" spans="2:2" x14ac:dyDescent="0.15">
      <c r="B833" s="4"/>
    </row>
    <row r="834" spans="2:2" x14ac:dyDescent="0.15">
      <c r="B834" s="4"/>
    </row>
    <row r="835" spans="2:2" x14ac:dyDescent="0.15">
      <c r="B835" s="4"/>
    </row>
    <row r="836" spans="2:2" x14ac:dyDescent="0.15">
      <c r="B836" s="4"/>
    </row>
    <row r="837" spans="2:2" x14ac:dyDescent="0.15">
      <c r="B837" s="4"/>
    </row>
    <row r="838" spans="2:2" x14ac:dyDescent="0.15">
      <c r="B838" s="4"/>
    </row>
    <row r="839" spans="2:2" x14ac:dyDescent="0.15">
      <c r="B839" s="4"/>
    </row>
    <row r="840" spans="2:2" x14ac:dyDescent="0.15">
      <c r="B840" s="4"/>
    </row>
    <row r="841" spans="2:2" x14ac:dyDescent="0.15">
      <c r="B841" s="4"/>
    </row>
    <row r="842" spans="2:2" x14ac:dyDescent="0.15">
      <c r="B842" s="4"/>
    </row>
    <row r="843" spans="2:2" x14ac:dyDescent="0.15">
      <c r="B843" s="4"/>
    </row>
    <row r="844" spans="2:2" x14ac:dyDescent="0.15">
      <c r="B844" s="4"/>
    </row>
    <row r="845" spans="2:2" x14ac:dyDescent="0.15">
      <c r="B845" s="4"/>
    </row>
    <row r="846" spans="2:2" x14ac:dyDescent="0.15">
      <c r="B846" s="4"/>
    </row>
    <row r="847" spans="2:2" x14ac:dyDescent="0.15">
      <c r="B847" s="4"/>
    </row>
    <row r="848" spans="2:2" x14ac:dyDescent="0.15">
      <c r="B848" s="4"/>
    </row>
    <row r="849" spans="2:2" x14ac:dyDescent="0.15">
      <c r="B849" s="4"/>
    </row>
    <row r="850" spans="2:2" x14ac:dyDescent="0.15">
      <c r="B850" s="4"/>
    </row>
    <row r="851" spans="2:2" x14ac:dyDescent="0.15">
      <c r="B851" s="4"/>
    </row>
    <row r="852" spans="2:2" x14ac:dyDescent="0.15">
      <c r="B852" s="4"/>
    </row>
    <row r="853" spans="2:2" x14ac:dyDescent="0.15">
      <c r="B853" s="4"/>
    </row>
    <row r="854" spans="2:2" x14ac:dyDescent="0.15">
      <c r="B854" s="4"/>
    </row>
    <row r="855" spans="2:2" x14ac:dyDescent="0.15">
      <c r="B855" s="4"/>
    </row>
    <row r="856" spans="2:2" x14ac:dyDescent="0.15">
      <c r="B856" s="4"/>
    </row>
    <row r="857" spans="2:2" x14ac:dyDescent="0.15">
      <c r="B857" s="4"/>
    </row>
    <row r="858" spans="2:2" x14ac:dyDescent="0.15">
      <c r="B858" s="4"/>
    </row>
    <row r="859" spans="2:2" x14ac:dyDescent="0.15">
      <c r="B859" s="4"/>
    </row>
    <row r="860" spans="2:2" x14ac:dyDescent="0.15">
      <c r="B860" s="4"/>
    </row>
    <row r="861" spans="2:2" x14ac:dyDescent="0.15">
      <c r="B861" s="4"/>
    </row>
    <row r="862" spans="2:2" x14ac:dyDescent="0.15">
      <c r="B862" s="4"/>
    </row>
    <row r="863" spans="2:2" x14ac:dyDescent="0.15">
      <c r="B863" s="4"/>
    </row>
    <row r="864" spans="2:2" x14ac:dyDescent="0.15">
      <c r="B864" s="4"/>
    </row>
    <row r="865" spans="2:2" x14ac:dyDescent="0.15">
      <c r="B865" s="4"/>
    </row>
  </sheetData>
  <sortState ref="AC41:AC46">
    <sortCondition ref="AC4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cro1">
                <anchor moveWithCells="1" sizeWithCells="1">
                  <from>
                    <xdr:col>5</xdr:col>
                    <xdr:colOff>76200</xdr:colOff>
                    <xdr:row>1</xdr:row>
                    <xdr:rowOff>0</xdr:rowOff>
                  </from>
                  <to>
                    <xdr:col>7</xdr:col>
                    <xdr:colOff>552450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右回り">
                <anchor moveWithCells="1" sizeWithCells="1">
                  <from>
                    <xdr:col>6</xdr:col>
                    <xdr:colOff>38100</xdr:colOff>
                    <xdr:row>40</xdr:row>
                    <xdr:rowOff>0</xdr:rowOff>
                  </from>
                  <to>
                    <xdr:col>7</xdr:col>
                    <xdr:colOff>266700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左回り">
                <anchor moveWithCells="1" sizeWithCells="1">
                  <from>
                    <xdr:col>6</xdr:col>
                    <xdr:colOff>19050</xdr:colOff>
                    <xdr:row>44</xdr:row>
                    <xdr:rowOff>0</xdr:rowOff>
                  </from>
                  <to>
                    <xdr:col>7</xdr:col>
                    <xdr:colOff>247650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pick">
                <anchor moveWithCells="1" sizeWithCells="1">
                  <from>
                    <xdr:col>6</xdr:col>
                    <xdr:colOff>28575</xdr:colOff>
                    <xdr:row>48</xdr:row>
                    <xdr:rowOff>28575</xdr:rowOff>
                  </from>
                  <to>
                    <xdr:col>7</xdr:col>
                    <xdr:colOff>247650</xdr:colOff>
                    <xdr:row>50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384"/>
  <sheetViews>
    <sheetView workbookViewId="0">
      <selection activeCell="C3" sqref="C3"/>
    </sheetView>
  </sheetViews>
  <sheetFormatPr defaultRowHeight="13.5" x14ac:dyDescent="0.15"/>
  <cols>
    <col min="1" max="1" width="6" style="4" bestFit="1" customWidth="1"/>
    <col min="2" max="2" width="3.5" style="4" bestFit="1" customWidth="1"/>
    <col min="3" max="4" width="3.5" bestFit="1" customWidth="1"/>
  </cols>
  <sheetData>
    <row r="2" spans="1:7" x14ac:dyDescent="0.15">
      <c r="A2" s="26">
        <f>テスト!B2</f>
        <v>9</v>
      </c>
      <c r="B2" s="4">
        <f>テスト!C2</f>
        <v>3</v>
      </c>
      <c r="C2" t="str">
        <f t="shared" ref="C2:C16" si="0">IF(LEN(A2)&gt;1,A2,0&amp;A2)</f>
        <v>09</v>
      </c>
      <c r="D2" s="4" t="str">
        <f t="shared" ref="D2:D16" si="1">IF(LEN(B2)&gt;1,B2,0&amp;B2)</f>
        <v>03</v>
      </c>
      <c r="E2" t="str">
        <f>C2&amp;D2</f>
        <v>0903</v>
      </c>
      <c r="F2">
        <f t="shared" ref="F2:F16" si="2">COUNTIF(E:E,E2)</f>
        <v>1</v>
      </c>
      <c r="G2">
        <f>SUM(F:F)</f>
        <v>360</v>
      </c>
    </row>
    <row r="3" spans="1:7" x14ac:dyDescent="0.15">
      <c r="A3" s="26">
        <f>テスト!B3</f>
        <v>10</v>
      </c>
      <c r="B3" s="4">
        <f>テスト!C3</f>
        <v>10</v>
      </c>
      <c r="C3" s="4">
        <f t="shared" si="0"/>
        <v>10</v>
      </c>
      <c r="D3" s="4">
        <f t="shared" si="1"/>
        <v>10</v>
      </c>
      <c r="E3" s="4" t="str">
        <f t="shared" ref="E3:E18" si="3">C3&amp;D3</f>
        <v>1010</v>
      </c>
      <c r="F3" s="4">
        <f t="shared" si="2"/>
        <v>1</v>
      </c>
      <c r="G3">
        <f>COUNTA(F:F)</f>
        <v>360</v>
      </c>
    </row>
    <row r="4" spans="1:7" x14ac:dyDescent="0.15">
      <c r="A4" s="26">
        <f>テスト!B4</f>
        <v>1</v>
      </c>
      <c r="B4" s="4">
        <f>テスト!C4</f>
        <v>25</v>
      </c>
      <c r="C4" s="4" t="str">
        <f t="shared" si="0"/>
        <v>01</v>
      </c>
      <c r="D4" s="4">
        <f t="shared" si="1"/>
        <v>25</v>
      </c>
      <c r="E4" s="4" t="str">
        <f t="shared" si="3"/>
        <v>0125</v>
      </c>
      <c r="F4" s="4">
        <f t="shared" si="2"/>
        <v>1</v>
      </c>
      <c r="G4" t="b">
        <f>EXACT(G3,G2)</f>
        <v>1</v>
      </c>
    </row>
    <row r="5" spans="1:7" x14ac:dyDescent="0.15">
      <c r="A5" s="26">
        <f>テスト!B5</f>
        <v>2</v>
      </c>
      <c r="B5" s="4">
        <f>テスト!C5</f>
        <v>16</v>
      </c>
      <c r="C5" s="4" t="str">
        <f t="shared" si="0"/>
        <v>02</v>
      </c>
      <c r="D5" s="4">
        <f t="shared" si="1"/>
        <v>16</v>
      </c>
      <c r="E5" s="4" t="str">
        <f t="shared" si="3"/>
        <v>0216</v>
      </c>
      <c r="F5" s="4">
        <f t="shared" si="2"/>
        <v>1</v>
      </c>
    </row>
    <row r="6" spans="1:7" x14ac:dyDescent="0.15">
      <c r="A6" s="26">
        <f>テスト!B6</f>
        <v>3</v>
      </c>
      <c r="B6" s="4">
        <f>テスト!C6</f>
        <v>3</v>
      </c>
      <c r="C6" s="4" t="str">
        <f t="shared" si="0"/>
        <v>03</v>
      </c>
      <c r="D6" s="4" t="str">
        <f t="shared" si="1"/>
        <v>03</v>
      </c>
      <c r="E6" s="4" t="str">
        <f t="shared" si="3"/>
        <v>0303</v>
      </c>
      <c r="F6" s="4">
        <f t="shared" si="2"/>
        <v>1</v>
      </c>
    </row>
    <row r="7" spans="1:7" x14ac:dyDescent="0.15">
      <c r="A7" s="26">
        <f>テスト!B7</f>
        <v>14</v>
      </c>
      <c r="B7" s="4">
        <f>テスト!C7</f>
        <v>19</v>
      </c>
      <c r="C7" s="4">
        <f t="shared" si="0"/>
        <v>14</v>
      </c>
      <c r="D7" s="4">
        <f t="shared" si="1"/>
        <v>19</v>
      </c>
      <c r="E7" s="4" t="str">
        <f t="shared" si="3"/>
        <v>1419</v>
      </c>
      <c r="F7" s="4">
        <f t="shared" si="2"/>
        <v>1</v>
      </c>
    </row>
    <row r="8" spans="1:7" x14ac:dyDescent="0.15">
      <c r="A8" s="26">
        <f>テスト!B8</f>
        <v>15</v>
      </c>
      <c r="B8" s="4">
        <f>テスト!C8</f>
        <v>27</v>
      </c>
      <c r="C8" s="4">
        <f t="shared" si="0"/>
        <v>15</v>
      </c>
      <c r="D8" s="4">
        <f t="shared" si="1"/>
        <v>27</v>
      </c>
      <c r="E8" s="4" t="str">
        <f t="shared" si="3"/>
        <v>1527</v>
      </c>
      <c r="F8" s="4">
        <f t="shared" si="2"/>
        <v>1</v>
      </c>
    </row>
    <row r="9" spans="1:7" x14ac:dyDescent="0.15">
      <c r="A9" s="26">
        <f>テスト!B9</f>
        <v>16</v>
      </c>
      <c r="B9" s="4">
        <f>テスト!C9</f>
        <v>22</v>
      </c>
      <c r="C9" s="4">
        <f t="shared" si="0"/>
        <v>16</v>
      </c>
      <c r="D9" s="4">
        <f t="shared" si="1"/>
        <v>22</v>
      </c>
      <c r="E9" s="4" t="str">
        <f t="shared" si="3"/>
        <v>1622</v>
      </c>
      <c r="F9" s="4">
        <f t="shared" si="2"/>
        <v>1</v>
      </c>
    </row>
    <row r="10" spans="1:7" x14ac:dyDescent="0.15">
      <c r="A10" s="26">
        <f>テスト!B10</f>
        <v>17</v>
      </c>
      <c r="B10" s="4">
        <f>テスト!C10</f>
        <v>12</v>
      </c>
      <c r="C10" s="4">
        <f t="shared" si="0"/>
        <v>17</v>
      </c>
      <c r="D10" s="4">
        <f t="shared" si="1"/>
        <v>12</v>
      </c>
      <c r="E10" s="4" t="str">
        <f t="shared" si="3"/>
        <v>1712</v>
      </c>
      <c r="F10" s="4">
        <f t="shared" si="2"/>
        <v>1</v>
      </c>
    </row>
    <row r="11" spans="1:7" x14ac:dyDescent="0.15">
      <c r="A11" s="26">
        <f>テスト!B11</f>
        <v>21</v>
      </c>
      <c r="B11" s="4">
        <f>テスト!C11</f>
        <v>37</v>
      </c>
      <c r="C11" s="4">
        <f t="shared" si="0"/>
        <v>21</v>
      </c>
      <c r="D11" s="4">
        <f t="shared" si="1"/>
        <v>37</v>
      </c>
      <c r="E11" s="4" t="str">
        <f t="shared" si="3"/>
        <v>2137</v>
      </c>
      <c r="F11" s="4">
        <f t="shared" si="2"/>
        <v>1</v>
      </c>
    </row>
    <row r="12" spans="1:7" x14ac:dyDescent="0.15">
      <c r="A12" s="26">
        <f>テスト!B12</f>
        <v>22</v>
      </c>
      <c r="B12" s="4">
        <f>テスト!C12</f>
        <v>27</v>
      </c>
      <c r="C12" s="4">
        <f t="shared" si="0"/>
        <v>22</v>
      </c>
      <c r="D12" s="4">
        <f t="shared" si="1"/>
        <v>27</v>
      </c>
      <c r="E12" s="4" t="str">
        <f t="shared" si="3"/>
        <v>2227</v>
      </c>
      <c r="F12" s="4">
        <f t="shared" si="2"/>
        <v>1</v>
      </c>
    </row>
    <row r="13" spans="1:7" x14ac:dyDescent="0.15">
      <c r="A13" s="26">
        <f>テスト!B13</f>
        <v>25</v>
      </c>
      <c r="B13" s="4">
        <f>テスト!C13</f>
        <v>8</v>
      </c>
      <c r="C13" s="4">
        <f t="shared" si="0"/>
        <v>25</v>
      </c>
      <c r="D13" s="4" t="str">
        <f t="shared" si="1"/>
        <v>08</v>
      </c>
      <c r="E13" s="4" t="str">
        <f t="shared" si="3"/>
        <v>2508</v>
      </c>
      <c r="F13" s="4">
        <f t="shared" si="2"/>
        <v>1</v>
      </c>
    </row>
    <row r="14" spans="1:7" x14ac:dyDescent="0.15">
      <c r="A14" s="26">
        <f>テスト!B14</f>
        <v>26</v>
      </c>
      <c r="B14" s="4">
        <f>テスト!C14</f>
        <v>34</v>
      </c>
      <c r="C14" s="4">
        <f t="shared" si="0"/>
        <v>26</v>
      </c>
      <c r="D14" s="4">
        <f t="shared" si="1"/>
        <v>34</v>
      </c>
      <c r="E14" s="4" t="str">
        <f t="shared" si="3"/>
        <v>2634</v>
      </c>
      <c r="F14" s="4">
        <f t="shared" si="2"/>
        <v>1</v>
      </c>
    </row>
    <row r="15" spans="1:7" x14ac:dyDescent="0.15">
      <c r="A15" s="26">
        <f>テスト!B15</f>
        <v>27</v>
      </c>
      <c r="B15" s="4">
        <f>テスト!C15</f>
        <v>1</v>
      </c>
      <c r="C15" s="4">
        <f t="shared" si="0"/>
        <v>27</v>
      </c>
      <c r="D15" s="4" t="str">
        <f t="shared" si="1"/>
        <v>01</v>
      </c>
      <c r="E15" s="4" t="str">
        <f t="shared" si="3"/>
        <v>2701</v>
      </c>
      <c r="F15" s="4">
        <f t="shared" si="2"/>
        <v>1</v>
      </c>
    </row>
    <row r="16" spans="1:7" x14ac:dyDescent="0.15">
      <c r="A16" s="26">
        <f>テスト!B16</f>
        <v>33</v>
      </c>
      <c r="B16" s="4">
        <f>テスト!C16</f>
        <v>11</v>
      </c>
      <c r="C16" s="4">
        <f t="shared" si="0"/>
        <v>33</v>
      </c>
      <c r="D16" s="4">
        <f t="shared" si="1"/>
        <v>11</v>
      </c>
      <c r="E16" s="4" t="str">
        <f t="shared" si="3"/>
        <v>3311</v>
      </c>
      <c r="F16" s="4">
        <f t="shared" si="2"/>
        <v>1</v>
      </c>
    </row>
    <row r="17" spans="1:6" x14ac:dyDescent="0.15">
      <c r="A17" s="26"/>
      <c r="C17" s="4"/>
      <c r="D17" s="4"/>
      <c r="E17" s="4" t="str">
        <f t="shared" si="3"/>
        <v/>
      </c>
      <c r="F17" s="4"/>
    </row>
    <row r="18" spans="1:6" x14ac:dyDescent="0.15">
      <c r="A18" s="26">
        <f>テスト!B18</f>
        <v>2</v>
      </c>
      <c r="B18" s="4">
        <f>テスト!C18</f>
        <v>8</v>
      </c>
      <c r="C18" s="4" t="str">
        <f t="shared" ref="C18:C32" si="4">IF(LEN(A18)&gt;1,A18,0&amp;A18)</f>
        <v>02</v>
      </c>
      <c r="D18" s="4" t="str">
        <f t="shared" ref="D18:D32" si="5">IF(LEN(B18)&gt;1,B18,0&amp;B18)</f>
        <v>08</v>
      </c>
      <c r="E18" s="4" t="str">
        <f t="shared" si="3"/>
        <v>0208</v>
      </c>
      <c r="F18" s="4">
        <f t="shared" ref="F18:F32" si="6">COUNTIF(E:E,E18)</f>
        <v>1</v>
      </c>
    </row>
    <row r="19" spans="1:6" x14ac:dyDescent="0.15">
      <c r="A19" s="26">
        <f>テスト!B19</f>
        <v>3</v>
      </c>
      <c r="B19" s="4">
        <f>テスト!C19</f>
        <v>6</v>
      </c>
      <c r="C19" s="4" t="str">
        <f t="shared" si="4"/>
        <v>03</v>
      </c>
      <c r="D19" s="4" t="str">
        <f t="shared" si="5"/>
        <v>06</v>
      </c>
      <c r="E19" s="4" t="str">
        <f t="shared" ref="E19:E82" si="7">C19&amp;D19</f>
        <v>0306</v>
      </c>
      <c r="F19" s="4">
        <f t="shared" si="6"/>
        <v>1</v>
      </c>
    </row>
    <row r="20" spans="1:6" x14ac:dyDescent="0.15">
      <c r="A20" s="26">
        <f>テスト!B20</f>
        <v>4</v>
      </c>
      <c r="B20" s="4">
        <f>テスト!C20</f>
        <v>24</v>
      </c>
      <c r="C20" s="4" t="str">
        <f t="shared" si="4"/>
        <v>04</v>
      </c>
      <c r="D20" s="4">
        <f t="shared" si="5"/>
        <v>24</v>
      </c>
      <c r="E20" s="4" t="str">
        <f t="shared" si="7"/>
        <v>0424</v>
      </c>
      <c r="F20" s="4">
        <f t="shared" si="6"/>
        <v>1</v>
      </c>
    </row>
    <row r="21" spans="1:6" x14ac:dyDescent="0.15">
      <c r="A21" s="26">
        <f>テスト!B21</f>
        <v>5</v>
      </c>
      <c r="B21" s="4">
        <f>テスト!C21</f>
        <v>35</v>
      </c>
      <c r="C21" s="4" t="str">
        <f t="shared" si="4"/>
        <v>05</v>
      </c>
      <c r="D21" s="4">
        <f t="shared" si="5"/>
        <v>35</v>
      </c>
      <c r="E21" s="4" t="str">
        <f t="shared" si="7"/>
        <v>0535</v>
      </c>
      <c r="F21" s="4">
        <f t="shared" si="6"/>
        <v>1</v>
      </c>
    </row>
    <row r="22" spans="1:6" x14ac:dyDescent="0.15">
      <c r="A22" s="26">
        <f>テスト!B22</f>
        <v>6</v>
      </c>
      <c r="B22" s="4">
        <f>テスト!C22</f>
        <v>10</v>
      </c>
      <c r="C22" s="4" t="str">
        <f t="shared" si="4"/>
        <v>06</v>
      </c>
      <c r="D22" s="4">
        <f t="shared" si="5"/>
        <v>10</v>
      </c>
      <c r="E22" s="4" t="str">
        <f t="shared" si="7"/>
        <v>0610</v>
      </c>
      <c r="F22" s="4">
        <f t="shared" si="6"/>
        <v>1</v>
      </c>
    </row>
    <row r="23" spans="1:6" x14ac:dyDescent="0.15">
      <c r="A23" s="26">
        <f>テスト!B23</f>
        <v>19</v>
      </c>
      <c r="B23" s="4">
        <f>テスト!C23</f>
        <v>28</v>
      </c>
      <c r="C23" s="4">
        <f t="shared" si="4"/>
        <v>19</v>
      </c>
      <c r="D23" s="4">
        <f t="shared" si="5"/>
        <v>28</v>
      </c>
      <c r="E23" s="4" t="str">
        <f t="shared" si="7"/>
        <v>1928</v>
      </c>
      <c r="F23" s="4">
        <f t="shared" si="6"/>
        <v>1</v>
      </c>
    </row>
    <row r="24" spans="1:6" x14ac:dyDescent="0.15">
      <c r="A24" s="26">
        <f>テスト!B24</f>
        <v>20</v>
      </c>
      <c r="B24" s="4">
        <f>テスト!C24</f>
        <v>24</v>
      </c>
      <c r="C24" s="4">
        <f t="shared" si="4"/>
        <v>20</v>
      </c>
      <c r="D24" s="4">
        <f t="shared" si="5"/>
        <v>24</v>
      </c>
      <c r="E24" s="4" t="str">
        <f t="shared" si="7"/>
        <v>2024</v>
      </c>
      <c r="F24" s="4">
        <f t="shared" si="6"/>
        <v>1</v>
      </c>
    </row>
    <row r="25" spans="1:6" x14ac:dyDescent="0.15">
      <c r="A25" s="26">
        <f>テスト!B25</f>
        <v>11</v>
      </c>
      <c r="B25" s="4">
        <f>テスト!C25</f>
        <v>25</v>
      </c>
      <c r="C25" s="4">
        <f t="shared" si="4"/>
        <v>11</v>
      </c>
      <c r="D25" s="4">
        <f t="shared" si="5"/>
        <v>25</v>
      </c>
      <c r="E25" s="4" t="str">
        <f t="shared" si="7"/>
        <v>1125</v>
      </c>
      <c r="F25" s="4">
        <f t="shared" si="6"/>
        <v>1</v>
      </c>
    </row>
    <row r="26" spans="1:6" x14ac:dyDescent="0.15">
      <c r="A26" s="26">
        <f>テスト!B26</f>
        <v>12</v>
      </c>
      <c r="B26" s="4">
        <f>テスト!C26</f>
        <v>20</v>
      </c>
      <c r="C26" s="4">
        <f t="shared" si="4"/>
        <v>12</v>
      </c>
      <c r="D26" s="4">
        <f t="shared" si="5"/>
        <v>20</v>
      </c>
      <c r="E26" s="4" t="str">
        <f t="shared" si="7"/>
        <v>1220</v>
      </c>
      <c r="F26" s="4">
        <f t="shared" si="6"/>
        <v>1</v>
      </c>
    </row>
    <row r="27" spans="1:6" x14ac:dyDescent="0.15">
      <c r="A27" s="26">
        <f>テスト!B27</f>
        <v>21</v>
      </c>
      <c r="B27" s="4">
        <f>テスト!C27</f>
        <v>12</v>
      </c>
      <c r="C27" s="4">
        <f t="shared" si="4"/>
        <v>21</v>
      </c>
      <c r="D27" s="4">
        <f t="shared" si="5"/>
        <v>12</v>
      </c>
      <c r="E27" s="4" t="str">
        <f t="shared" si="7"/>
        <v>2112</v>
      </c>
      <c r="F27" s="4">
        <f t="shared" si="6"/>
        <v>1</v>
      </c>
    </row>
    <row r="28" spans="1:6" x14ac:dyDescent="0.15">
      <c r="A28" s="26">
        <f>テスト!B28</f>
        <v>22</v>
      </c>
      <c r="B28" s="4">
        <f>テスト!C28</f>
        <v>64</v>
      </c>
      <c r="C28" s="4">
        <f t="shared" si="4"/>
        <v>22</v>
      </c>
      <c r="D28" s="4">
        <f t="shared" si="5"/>
        <v>64</v>
      </c>
      <c r="E28" s="4" t="str">
        <f t="shared" si="7"/>
        <v>2264</v>
      </c>
      <c r="F28" s="4">
        <f t="shared" si="6"/>
        <v>1</v>
      </c>
    </row>
    <row r="29" spans="1:6" x14ac:dyDescent="0.15">
      <c r="A29" s="26">
        <f>テスト!B29</f>
        <v>26</v>
      </c>
      <c r="B29" s="4">
        <f>テスト!C29</f>
        <v>18</v>
      </c>
      <c r="C29" s="4">
        <f t="shared" si="4"/>
        <v>26</v>
      </c>
      <c r="D29" s="4">
        <f t="shared" si="5"/>
        <v>18</v>
      </c>
      <c r="E29" s="4" t="str">
        <f t="shared" si="7"/>
        <v>2618</v>
      </c>
      <c r="F29" s="4">
        <f t="shared" si="6"/>
        <v>1</v>
      </c>
    </row>
    <row r="30" spans="1:6" x14ac:dyDescent="0.15">
      <c r="A30" s="26">
        <f>テスト!B30</f>
        <v>27</v>
      </c>
      <c r="B30" s="4">
        <f>テスト!C30</f>
        <v>3</v>
      </c>
      <c r="C30" s="4">
        <f t="shared" si="4"/>
        <v>27</v>
      </c>
      <c r="D30" s="4" t="str">
        <f t="shared" si="5"/>
        <v>03</v>
      </c>
      <c r="E30" s="4" t="str">
        <f t="shared" si="7"/>
        <v>2703</v>
      </c>
      <c r="F30" s="4">
        <f t="shared" si="6"/>
        <v>1</v>
      </c>
    </row>
    <row r="31" spans="1:6" x14ac:dyDescent="0.15">
      <c r="A31" s="26">
        <f>テスト!B31</f>
        <v>28</v>
      </c>
      <c r="B31" s="4">
        <f>テスト!C31</f>
        <v>33</v>
      </c>
      <c r="C31" s="4">
        <f t="shared" si="4"/>
        <v>28</v>
      </c>
      <c r="D31" s="4">
        <f t="shared" si="5"/>
        <v>33</v>
      </c>
      <c r="E31" s="4" t="str">
        <f t="shared" si="7"/>
        <v>2833</v>
      </c>
      <c r="F31" s="4">
        <f t="shared" si="6"/>
        <v>1</v>
      </c>
    </row>
    <row r="32" spans="1:6" x14ac:dyDescent="0.15">
      <c r="A32" s="26">
        <f>テスト!B32</f>
        <v>38</v>
      </c>
      <c r="B32" s="4">
        <f>テスト!C32</f>
        <v>10</v>
      </c>
      <c r="C32" s="4">
        <f t="shared" si="4"/>
        <v>38</v>
      </c>
      <c r="D32" s="4">
        <f t="shared" si="5"/>
        <v>10</v>
      </c>
      <c r="E32" s="4" t="str">
        <f t="shared" si="7"/>
        <v>3810</v>
      </c>
      <c r="F32" s="4">
        <f t="shared" si="6"/>
        <v>1</v>
      </c>
    </row>
    <row r="33" spans="1:6" x14ac:dyDescent="0.15">
      <c r="A33" s="26"/>
      <c r="C33" s="4"/>
      <c r="D33" s="4"/>
      <c r="E33" s="4" t="str">
        <f t="shared" si="7"/>
        <v/>
      </c>
      <c r="F33" s="4"/>
    </row>
    <row r="34" spans="1:6" x14ac:dyDescent="0.15">
      <c r="A34" s="26">
        <f>テスト!B34</f>
        <v>3</v>
      </c>
      <c r="B34" s="4">
        <f>テスト!C34</f>
        <v>2</v>
      </c>
      <c r="C34" s="4" t="str">
        <f t="shared" ref="C34:C48" si="8">IF(LEN(A34)&gt;1,A34,0&amp;A34)</f>
        <v>03</v>
      </c>
      <c r="D34" s="4" t="str">
        <f t="shared" ref="D34:D48" si="9">IF(LEN(B34)&gt;1,B34,0&amp;B34)</f>
        <v>02</v>
      </c>
      <c r="E34" s="4" t="str">
        <f t="shared" si="7"/>
        <v>0302</v>
      </c>
      <c r="F34" s="4">
        <f t="shared" ref="F34:F48" si="10">COUNTIF(E:E,E34)</f>
        <v>1</v>
      </c>
    </row>
    <row r="35" spans="1:6" x14ac:dyDescent="0.15">
      <c r="A35" s="26">
        <f>テスト!B35</f>
        <v>4</v>
      </c>
      <c r="B35" s="4">
        <f>テスト!C35</f>
        <v>3</v>
      </c>
      <c r="C35" s="4" t="str">
        <f t="shared" si="8"/>
        <v>04</v>
      </c>
      <c r="D35" s="4" t="str">
        <f t="shared" si="9"/>
        <v>03</v>
      </c>
      <c r="E35" s="4" t="str">
        <f t="shared" si="7"/>
        <v>0403</v>
      </c>
      <c r="F35" s="4">
        <f t="shared" si="10"/>
        <v>1</v>
      </c>
    </row>
    <row r="36" spans="1:6" x14ac:dyDescent="0.15">
      <c r="A36" s="26">
        <f>テスト!B36</f>
        <v>5</v>
      </c>
      <c r="B36" s="4">
        <f>テスト!C36</f>
        <v>30</v>
      </c>
      <c r="C36" s="4" t="str">
        <f t="shared" si="8"/>
        <v>05</v>
      </c>
      <c r="D36" s="4">
        <f t="shared" si="9"/>
        <v>30</v>
      </c>
      <c r="E36" s="4" t="str">
        <f t="shared" si="7"/>
        <v>0530</v>
      </c>
      <c r="F36" s="4">
        <f t="shared" si="10"/>
        <v>1</v>
      </c>
    </row>
    <row r="37" spans="1:6" x14ac:dyDescent="0.15">
      <c r="A37" s="26">
        <f>テスト!B37</f>
        <v>6</v>
      </c>
      <c r="B37" s="4">
        <f>テスト!C37</f>
        <v>35</v>
      </c>
      <c r="C37" s="4" t="str">
        <f t="shared" si="8"/>
        <v>06</v>
      </c>
      <c r="D37" s="4">
        <f t="shared" si="9"/>
        <v>35</v>
      </c>
      <c r="E37" s="4" t="str">
        <f t="shared" si="7"/>
        <v>0635</v>
      </c>
      <c r="F37" s="4">
        <f t="shared" si="10"/>
        <v>1</v>
      </c>
    </row>
    <row r="38" spans="1:6" x14ac:dyDescent="0.15">
      <c r="A38" s="26">
        <f>テスト!B38</f>
        <v>7</v>
      </c>
      <c r="B38" s="4">
        <f>テスト!C38</f>
        <v>34</v>
      </c>
      <c r="C38" s="4" t="str">
        <f t="shared" si="8"/>
        <v>07</v>
      </c>
      <c r="D38" s="4">
        <f t="shared" si="9"/>
        <v>34</v>
      </c>
      <c r="E38" s="4" t="str">
        <f t="shared" si="7"/>
        <v>0734</v>
      </c>
      <c r="F38" s="4">
        <f t="shared" si="10"/>
        <v>1</v>
      </c>
    </row>
    <row r="39" spans="1:6" x14ac:dyDescent="0.15">
      <c r="A39" s="26">
        <f>テスト!B39</f>
        <v>15</v>
      </c>
      <c r="B39" s="4">
        <f>テスト!C39</f>
        <v>9</v>
      </c>
      <c r="C39" s="4">
        <f t="shared" si="8"/>
        <v>15</v>
      </c>
      <c r="D39" s="4" t="str">
        <f t="shared" si="9"/>
        <v>09</v>
      </c>
      <c r="E39" s="4" t="str">
        <f t="shared" si="7"/>
        <v>1509</v>
      </c>
      <c r="F39" s="4">
        <f t="shared" si="10"/>
        <v>1</v>
      </c>
    </row>
    <row r="40" spans="1:6" x14ac:dyDescent="0.15">
      <c r="A40" s="26">
        <f>テスト!B40</f>
        <v>16</v>
      </c>
      <c r="B40" s="4">
        <f>テスト!C40</f>
        <v>6</v>
      </c>
      <c r="C40" s="4">
        <f t="shared" si="8"/>
        <v>16</v>
      </c>
      <c r="D40" s="4" t="str">
        <f t="shared" si="9"/>
        <v>06</v>
      </c>
      <c r="E40" s="4" t="str">
        <f t="shared" si="7"/>
        <v>1606</v>
      </c>
      <c r="F40" s="4">
        <f t="shared" si="10"/>
        <v>1</v>
      </c>
    </row>
    <row r="41" spans="1:6" x14ac:dyDescent="0.15">
      <c r="A41" s="26">
        <f>テスト!B41</f>
        <v>17</v>
      </c>
      <c r="B41" s="4">
        <f>テスト!C41</f>
        <v>25</v>
      </c>
      <c r="C41" s="4">
        <f t="shared" si="8"/>
        <v>17</v>
      </c>
      <c r="D41" s="4">
        <f t="shared" si="9"/>
        <v>25</v>
      </c>
      <c r="E41" s="4" t="str">
        <f t="shared" si="7"/>
        <v>1725</v>
      </c>
      <c r="F41" s="4">
        <f t="shared" si="10"/>
        <v>1</v>
      </c>
    </row>
    <row r="42" spans="1:6" x14ac:dyDescent="0.15">
      <c r="A42" s="26">
        <f>テスト!B42</f>
        <v>18</v>
      </c>
      <c r="B42" s="4">
        <f>テスト!C42</f>
        <v>14</v>
      </c>
      <c r="C42" s="4">
        <f t="shared" si="8"/>
        <v>18</v>
      </c>
      <c r="D42" s="4">
        <f t="shared" si="9"/>
        <v>14</v>
      </c>
      <c r="E42" s="4" t="str">
        <f t="shared" si="7"/>
        <v>1814</v>
      </c>
      <c r="F42" s="4">
        <f t="shared" si="10"/>
        <v>1</v>
      </c>
    </row>
    <row r="43" spans="1:6" x14ac:dyDescent="0.15">
      <c r="A43" s="26">
        <f>テスト!B43</f>
        <v>21</v>
      </c>
      <c r="B43" s="4">
        <f>テスト!C43</f>
        <v>34</v>
      </c>
      <c r="C43" s="4">
        <f t="shared" si="8"/>
        <v>21</v>
      </c>
      <c r="D43" s="4">
        <f t="shared" si="9"/>
        <v>34</v>
      </c>
      <c r="E43" s="4" t="str">
        <f t="shared" si="7"/>
        <v>2134</v>
      </c>
      <c r="F43" s="4">
        <f t="shared" si="10"/>
        <v>1</v>
      </c>
    </row>
    <row r="44" spans="1:6" x14ac:dyDescent="0.15">
      <c r="A44" s="26">
        <f>テスト!B44</f>
        <v>22</v>
      </c>
      <c r="B44" s="4">
        <f>テスト!C44</f>
        <v>60</v>
      </c>
      <c r="C44" s="4">
        <f t="shared" si="8"/>
        <v>22</v>
      </c>
      <c r="D44" s="4">
        <f t="shared" si="9"/>
        <v>60</v>
      </c>
      <c r="E44" s="4" t="str">
        <f t="shared" si="7"/>
        <v>2260</v>
      </c>
      <c r="F44" s="4">
        <f t="shared" si="10"/>
        <v>1</v>
      </c>
    </row>
    <row r="45" spans="1:6" x14ac:dyDescent="0.15">
      <c r="A45" s="26">
        <f>テスト!B45</f>
        <v>32</v>
      </c>
      <c r="B45" s="4">
        <f>テスト!C45</f>
        <v>34</v>
      </c>
      <c r="C45" s="4">
        <f t="shared" si="8"/>
        <v>32</v>
      </c>
      <c r="D45" s="4">
        <f t="shared" si="9"/>
        <v>34</v>
      </c>
      <c r="E45" s="4" t="str">
        <f t="shared" si="7"/>
        <v>3234</v>
      </c>
      <c r="F45" s="4">
        <f t="shared" si="10"/>
        <v>1</v>
      </c>
    </row>
    <row r="46" spans="1:6" x14ac:dyDescent="0.15">
      <c r="A46" s="26">
        <f>テスト!B46</f>
        <v>23</v>
      </c>
      <c r="B46" s="4">
        <f>テスト!C46</f>
        <v>23</v>
      </c>
      <c r="C46" s="4">
        <f t="shared" si="8"/>
        <v>23</v>
      </c>
      <c r="D46" s="4">
        <f t="shared" si="9"/>
        <v>23</v>
      </c>
      <c r="E46" s="4" t="str">
        <f t="shared" si="7"/>
        <v>2323</v>
      </c>
      <c r="F46" s="4">
        <f t="shared" si="10"/>
        <v>1</v>
      </c>
    </row>
    <row r="47" spans="1:6" x14ac:dyDescent="0.15">
      <c r="A47" s="26">
        <f>テスト!B47</f>
        <v>24</v>
      </c>
      <c r="B47" s="4">
        <f>テスト!C47</f>
        <v>36</v>
      </c>
      <c r="C47" s="4">
        <f t="shared" si="8"/>
        <v>24</v>
      </c>
      <c r="D47" s="4">
        <f t="shared" si="9"/>
        <v>36</v>
      </c>
      <c r="E47" s="4" t="str">
        <f t="shared" si="7"/>
        <v>2436</v>
      </c>
      <c r="F47" s="4">
        <f t="shared" si="10"/>
        <v>1</v>
      </c>
    </row>
    <row r="48" spans="1:6" x14ac:dyDescent="0.15">
      <c r="A48" s="26">
        <f>テスト!B48</f>
        <v>38</v>
      </c>
      <c r="B48" s="4">
        <f>テスト!C48</f>
        <v>6</v>
      </c>
      <c r="C48" s="4">
        <f t="shared" si="8"/>
        <v>38</v>
      </c>
      <c r="D48" s="4" t="str">
        <f t="shared" si="9"/>
        <v>06</v>
      </c>
      <c r="E48" s="4" t="str">
        <f t="shared" si="7"/>
        <v>3806</v>
      </c>
      <c r="F48" s="4">
        <f t="shared" si="10"/>
        <v>1</v>
      </c>
    </row>
    <row r="49" spans="1:6" x14ac:dyDescent="0.15">
      <c r="A49" s="26"/>
      <c r="C49" s="4"/>
      <c r="D49" s="4"/>
      <c r="E49" s="4" t="str">
        <f t="shared" si="7"/>
        <v/>
      </c>
      <c r="F49" s="4"/>
    </row>
    <row r="50" spans="1:6" x14ac:dyDescent="0.15">
      <c r="A50" s="26">
        <f>テスト!B50</f>
        <v>10</v>
      </c>
      <c r="B50" s="4">
        <f>テスト!C50</f>
        <v>30</v>
      </c>
      <c r="C50" s="4">
        <f t="shared" ref="C50:C64" si="11">IF(LEN(A50)&gt;1,A50,0&amp;A50)</f>
        <v>10</v>
      </c>
      <c r="D50" s="4">
        <f t="shared" ref="D50:D64" si="12">IF(LEN(B50)&gt;1,B50,0&amp;B50)</f>
        <v>30</v>
      </c>
      <c r="E50" s="4" t="str">
        <f t="shared" si="7"/>
        <v>1030</v>
      </c>
      <c r="F50" s="4">
        <f t="shared" ref="F50:F64" si="13">COUNTIF(E:E,E50)</f>
        <v>1</v>
      </c>
    </row>
    <row r="51" spans="1:6" x14ac:dyDescent="0.15">
      <c r="A51" s="26">
        <f>テスト!B51</f>
        <v>1</v>
      </c>
      <c r="B51" s="4">
        <f>テスト!C51</f>
        <v>29</v>
      </c>
      <c r="C51" s="4" t="str">
        <f t="shared" si="11"/>
        <v>01</v>
      </c>
      <c r="D51" s="4">
        <f t="shared" si="12"/>
        <v>29</v>
      </c>
      <c r="E51" s="4" t="str">
        <f t="shared" si="7"/>
        <v>0129</v>
      </c>
      <c r="F51" s="4">
        <f t="shared" si="13"/>
        <v>1</v>
      </c>
    </row>
    <row r="52" spans="1:6" x14ac:dyDescent="0.15">
      <c r="A52" s="26">
        <f>テスト!B52</f>
        <v>2</v>
      </c>
      <c r="B52" s="4">
        <f>テスト!C52</f>
        <v>12</v>
      </c>
      <c r="C52" s="4" t="str">
        <f t="shared" si="11"/>
        <v>02</v>
      </c>
      <c r="D52" s="4">
        <f t="shared" si="12"/>
        <v>12</v>
      </c>
      <c r="E52" s="4" t="str">
        <f t="shared" si="7"/>
        <v>0212</v>
      </c>
      <c r="F52" s="4">
        <f t="shared" si="13"/>
        <v>1</v>
      </c>
    </row>
    <row r="53" spans="1:6" x14ac:dyDescent="0.15">
      <c r="A53" s="26">
        <f>テスト!B53</f>
        <v>3</v>
      </c>
      <c r="B53" s="4">
        <f>テスト!C53</f>
        <v>22</v>
      </c>
      <c r="C53" s="4" t="str">
        <f t="shared" si="11"/>
        <v>03</v>
      </c>
      <c r="D53" s="4">
        <f t="shared" si="12"/>
        <v>22</v>
      </c>
      <c r="E53" s="4" t="str">
        <f t="shared" si="7"/>
        <v>0322</v>
      </c>
      <c r="F53" s="4">
        <f t="shared" si="13"/>
        <v>1</v>
      </c>
    </row>
    <row r="54" spans="1:6" x14ac:dyDescent="0.15">
      <c r="A54" s="26">
        <f>テスト!B54</f>
        <v>4</v>
      </c>
      <c r="B54" s="4">
        <f>テスト!C54</f>
        <v>23</v>
      </c>
      <c r="C54" s="4" t="str">
        <f t="shared" si="11"/>
        <v>04</v>
      </c>
      <c r="D54" s="4">
        <f t="shared" si="12"/>
        <v>23</v>
      </c>
      <c r="E54" s="4" t="str">
        <f t="shared" si="7"/>
        <v>0423</v>
      </c>
      <c r="F54" s="4">
        <f t="shared" si="13"/>
        <v>1</v>
      </c>
    </row>
    <row r="55" spans="1:6" x14ac:dyDescent="0.15">
      <c r="A55" s="26">
        <f>テスト!B55</f>
        <v>16</v>
      </c>
      <c r="B55" s="4">
        <f>テスト!C55</f>
        <v>10</v>
      </c>
      <c r="C55" s="4">
        <f t="shared" si="11"/>
        <v>16</v>
      </c>
      <c r="D55" s="4">
        <f t="shared" si="12"/>
        <v>10</v>
      </c>
      <c r="E55" s="4" t="str">
        <f t="shared" si="7"/>
        <v>1610</v>
      </c>
      <c r="F55" s="4">
        <f t="shared" si="13"/>
        <v>1</v>
      </c>
    </row>
    <row r="56" spans="1:6" x14ac:dyDescent="0.15">
      <c r="A56" s="26">
        <f>テスト!B56</f>
        <v>17</v>
      </c>
      <c r="B56" s="4">
        <f>テスト!C56</f>
        <v>4</v>
      </c>
      <c r="C56" s="4">
        <f t="shared" si="11"/>
        <v>17</v>
      </c>
      <c r="D56" s="4" t="str">
        <f t="shared" si="12"/>
        <v>04</v>
      </c>
      <c r="E56" s="4" t="str">
        <f t="shared" si="7"/>
        <v>1704</v>
      </c>
      <c r="F56" s="4">
        <f t="shared" si="13"/>
        <v>1</v>
      </c>
    </row>
    <row r="57" spans="1:6" x14ac:dyDescent="0.15">
      <c r="A57" s="26">
        <f>テスト!B57</f>
        <v>18</v>
      </c>
      <c r="B57" s="4">
        <f>テスト!C57</f>
        <v>18</v>
      </c>
      <c r="C57" s="4">
        <f t="shared" si="11"/>
        <v>18</v>
      </c>
      <c r="D57" s="4">
        <f t="shared" si="12"/>
        <v>18</v>
      </c>
      <c r="E57" s="4" t="str">
        <f t="shared" si="7"/>
        <v>1818</v>
      </c>
      <c r="F57" s="4">
        <f t="shared" si="13"/>
        <v>1</v>
      </c>
    </row>
    <row r="58" spans="1:6" x14ac:dyDescent="0.15">
      <c r="A58" s="26">
        <f>テスト!B58</f>
        <v>19</v>
      </c>
      <c r="B58" s="4">
        <f>テスト!C58</f>
        <v>5</v>
      </c>
      <c r="C58" s="4">
        <f t="shared" si="11"/>
        <v>19</v>
      </c>
      <c r="D58" s="4" t="str">
        <f t="shared" si="12"/>
        <v>05</v>
      </c>
      <c r="E58" s="4" t="str">
        <f t="shared" si="7"/>
        <v>1905</v>
      </c>
      <c r="F58" s="4">
        <f t="shared" si="13"/>
        <v>1</v>
      </c>
    </row>
    <row r="59" spans="1:6" x14ac:dyDescent="0.15">
      <c r="A59" s="26">
        <f>テスト!B59</f>
        <v>21</v>
      </c>
      <c r="B59" s="4">
        <f>テスト!C59</f>
        <v>26</v>
      </c>
      <c r="C59" s="4">
        <f t="shared" si="11"/>
        <v>21</v>
      </c>
      <c r="D59" s="4">
        <f t="shared" si="12"/>
        <v>26</v>
      </c>
      <c r="E59" s="4" t="str">
        <f t="shared" si="7"/>
        <v>2126</v>
      </c>
      <c r="F59" s="4">
        <f t="shared" si="13"/>
        <v>1</v>
      </c>
    </row>
    <row r="60" spans="1:6" x14ac:dyDescent="0.15">
      <c r="A60" s="26">
        <f>テスト!B60</f>
        <v>22</v>
      </c>
      <c r="B60" s="4">
        <f>テスト!C60</f>
        <v>69</v>
      </c>
      <c r="C60" s="4">
        <f t="shared" si="11"/>
        <v>22</v>
      </c>
      <c r="D60" s="4">
        <f t="shared" si="12"/>
        <v>69</v>
      </c>
      <c r="E60" s="4" t="str">
        <f t="shared" si="7"/>
        <v>2269</v>
      </c>
      <c r="F60" s="4">
        <f t="shared" si="13"/>
        <v>1</v>
      </c>
    </row>
    <row r="61" spans="1:6" x14ac:dyDescent="0.15">
      <c r="A61" s="26">
        <f>テスト!B61</f>
        <v>25</v>
      </c>
      <c r="B61" s="4">
        <f>テスト!C61</f>
        <v>1</v>
      </c>
      <c r="C61" s="4">
        <f t="shared" si="11"/>
        <v>25</v>
      </c>
      <c r="D61" s="4" t="str">
        <f t="shared" si="12"/>
        <v>01</v>
      </c>
      <c r="E61" s="4" t="str">
        <f t="shared" si="7"/>
        <v>2501</v>
      </c>
      <c r="F61" s="4">
        <f t="shared" si="13"/>
        <v>1</v>
      </c>
    </row>
    <row r="62" spans="1:6" x14ac:dyDescent="0.15">
      <c r="A62" s="26">
        <f>テスト!B62</f>
        <v>26</v>
      </c>
      <c r="B62" s="4">
        <f>テスト!C62</f>
        <v>4</v>
      </c>
      <c r="C62" s="4">
        <f t="shared" si="11"/>
        <v>26</v>
      </c>
      <c r="D62" s="4" t="str">
        <f t="shared" si="12"/>
        <v>04</v>
      </c>
      <c r="E62" s="4" t="str">
        <f t="shared" si="7"/>
        <v>2604</v>
      </c>
      <c r="F62" s="4">
        <f t="shared" si="13"/>
        <v>1</v>
      </c>
    </row>
    <row r="63" spans="1:6" x14ac:dyDescent="0.15">
      <c r="A63" s="26">
        <f>テスト!B63</f>
        <v>27</v>
      </c>
      <c r="B63" s="4">
        <f>テスト!C63</f>
        <v>20</v>
      </c>
      <c r="C63" s="4">
        <f t="shared" si="11"/>
        <v>27</v>
      </c>
      <c r="D63" s="4">
        <f t="shared" si="12"/>
        <v>20</v>
      </c>
      <c r="E63" s="4" t="str">
        <f t="shared" si="7"/>
        <v>2720</v>
      </c>
      <c r="F63" s="4">
        <f t="shared" si="13"/>
        <v>1</v>
      </c>
    </row>
    <row r="64" spans="1:6" x14ac:dyDescent="0.15">
      <c r="A64" s="26">
        <f>テスト!B64</f>
        <v>33</v>
      </c>
      <c r="B64" s="4">
        <f>テスト!C64</f>
        <v>2</v>
      </c>
      <c r="C64" s="4">
        <f t="shared" si="11"/>
        <v>33</v>
      </c>
      <c r="D64" s="4" t="str">
        <f t="shared" si="12"/>
        <v>02</v>
      </c>
      <c r="E64" s="4" t="str">
        <f t="shared" si="7"/>
        <v>3302</v>
      </c>
      <c r="F64" s="4">
        <f t="shared" si="13"/>
        <v>1</v>
      </c>
    </row>
    <row r="65" spans="1:6" x14ac:dyDescent="0.15">
      <c r="A65" s="26"/>
      <c r="C65" s="4"/>
      <c r="D65" s="4"/>
      <c r="E65" s="4" t="str">
        <f t="shared" si="7"/>
        <v/>
      </c>
      <c r="F65" s="4"/>
    </row>
    <row r="66" spans="1:6" x14ac:dyDescent="0.15">
      <c r="A66" s="26">
        <f>テスト!B66</f>
        <v>2</v>
      </c>
      <c r="B66" s="4">
        <f>テスト!C66</f>
        <v>25</v>
      </c>
      <c r="C66" s="4" t="str">
        <f t="shared" ref="C66:C80" si="14">IF(LEN(A66)&gt;1,A66,0&amp;A66)</f>
        <v>02</v>
      </c>
      <c r="D66" s="4">
        <f t="shared" ref="D66:D80" si="15">IF(LEN(B66)&gt;1,B66,0&amp;B66)</f>
        <v>25</v>
      </c>
      <c r="E66" s="4" t="str">
        <f t="shared" si="7"/>
        <v>0225</v>
      </c>
      <c r="F66" s="4">
        <f t="shared" ref="F66:F80" si="16">COUNTIF(E:E,E66)</f>
        <v>1</v>
      </c>
    </row>
    <row r="67" spans="1:6" x14ac:dyDescent="0.15">
      <c r="A67" s="26">
        <f>テスト!B67</f>
        <v>3</v>
      </c>
      <c r="B67" s="4">
        <f>テスト!C67</f>
        <v>10</v>
      </c>
      <c r="C67" s="4" t="str">
        <f t="shared" si="14"/>
        <v>03</v>
      </c>
      <c r="D67" s="4">
        <f t="shared" si="15"/>
        <v>10</v>
      </c>
      <c r="E67" s="4" t="str">
        <f t="shared" si="7"/>
        <v>0310</v>
      </c>
      <c r="F67" s="4">
        <f t="shared" si="16"/>
        <v>1</v>
      </c>
    </row>
    <row r="68" spans="1:6" x14ac:dyDescent="0.15">
      <c r="A68" s="26">
        <f>テスト!B68</f>
        <v>4</v>
      </c>
      <c r="B68" s="4">
        <f>テスト!C68</f>
        <v>14</v>
      </c>
      <c r="C68" s="4" t="str">
        <f t="shared" si="14"/>
        <v>04</v>
      </c>
      <c r="D68" s="4">
        <f t="shared" si="15"/>
        <v>14</v>
      </c>
      <c r="E68" s="4" t="str">
        <f t="shared" si="7"/>
        <v>0414</v>
      </c>
      <c r="F68" s="4">
        <f t="shared" si="16"/>
        <v>1</v>
      </c>
    </row>
    <row r="69" spans="1:6" x14ac:dyDescent="0.15">
      <c r="A69" s="26">
        <f>テスト!B69</f>
        <v>5</v>
      </c>
      <c r="B69" s="4">
        <f>テスト!C69</f>
        <v>20</v>
      </c>
      <c r="C69" s="4" t="str">
        <f t="shared" si="14"/>
        <v>05</v>
      </c>
      <c r="D69" s="4">
        <f t="shared" si="15"/>
        <v>20</v>
      </c>
      <c r="E69" s="4" t="str">
        <f t="shared" si="7"/>
        <v>0520</v>
      </c>
      <c r="F69" s="4">
        <f t="shared" si="16"/>
        <v>1</v>
      </c>
    </row>
    <row r="70" spans="1:6" x14ac:dyDescent="0.15">
      <c r="A70" s="26">
        <f>テスト!B70</f>
        <v>6</v>
      </c>
      <c r="B70" s="4">
        <f>テスト!C70</f>
        <v>12</v>
      </c>
      <c r="C70" s="4" t="str">
        <f t="shared" si="14"/>
        <v>06</v>
      </c>
      <c r="D70" s="4">
        <f t="shared" si="15"/>
        <v>12</v>
      </c>
      <c r="E70" s="4" t="str">
        <f t="shared" si="7"/>
        <v>0612</v>
      </c>
      <c r="F70" s="4">
        <f t="shared" si="16"/>
        <v>1</v>
      </c>
    </row>
    <row r="71" spans="1:6" x14ac:dyDescent="0.15">
      <c r="A71" s="26">
        <f>テスト!B71</f>
        <v>15</v>
      </c>
      <c r="B71" s="4">
        <f>テスト!C71</f>
        <v>4</v>
      </c>
      <c r="C71" s="4">
        <f t="shared" si="14"/>
        <v>15</v>
      </c>
      <c r="D71" s="4" t="str">
        <f t="shared" si="15"/>
        <v>04</v>
      </c>
      <c r="E71" s="4" t="str">
        <f t="shared" si="7"/>
        <v>1504</v>
      </c>
      <c r="F71" s="4">
        <f t="shared" si="16"/>
        <v>1</v>
      </c>
    </row>
    <row r="72" spans="1:6" x14ac:dyDescent="0.15">
      <c r="A72" s="26">
        <f>テスト!B72</f>
        <v>16</v>
      </c>
      <c r="B72" s="4">
        <f>テスト!C72</f>
        <v>26</v>
      </c>
      <c r="C72" s="4">
        <f t="shared" si="14"/>
        <v>16</v>
      </c>
      <c r="D72" s="4">
        <f t="shared" si="15"/>
        <v>26</v>
      </c>
      <c r="E72" s="4" t="str">
        <f t="shared" si="7"/>
        <v>1626</v>
      </c>
      <c r="F72" s="4">
        <f t="shared" si="16"/>
        <v>1</v>
      </c>
    </row>
    <row r="73" spans="1:6" x14ac:dyDescent="0.15">
      <c r="A73" s="26">
        <f>テスト!B73</f>
        <v>17</v>
      </c>
      <c r="B73" s="4">
        <f>テスト!C73</f>
        <v>30</v>
      </c>
      <c r="C73" s="4">
        <f t="shared" si="14"/>
        <v>17</v>
      </c>
      <c r="D73" s="4">
        <f t="shared" si="15"/>
        <v>30</v>
      </c>
      <c r="E73" s="4" t="str">
        <f t="shared" si="7"/>
        <v>1730</v>
      </c>
      <c r="F73" s="4">
        <f t="shared" si="16"/>
        <v>1</v>
      </c>
    </row>
    <row r="74" spans="1:6" x14ac:dyDescent="0.15">
      <c r="A74" s="26">
        <f>テスト!B74</f>
        <v>18</v>
      </c>
      <c r="B74" s="4">
        <f>テスト!C74</f>
        <v>19</v>
      </c>
      <c r="C74" s="4">
        <f t="shared" si="14"/>
        <v>18</v>
      </c>
      <c r="D74" s="4">
        <f t="shared" si="15"/>
        <v>19</v>
      </c>
      <c r="E74" s="4" t="str">
        <f t="shared" si="7"/>
        <v>1819</v>
      </c>
      <c r="F74" s="4">
        <f t="shared" si="16"/>
        <v>1</v>
      </c>
    </row>
    <row r="75" spans="1:6" x14ac:dyDescent="0.15">
      <c r="A75" s="26">
        <f>テスト!B75</f>
        <v>21</v>
      </c>
      <c r="B75" s="4">
        <f>テスト!C75</f>
        <v>23</v>
      </c>
      <c r="C75" s="4">
        <f t="shared" si="14"/>
        <v>21</v>
      </c>
      <c r="D75" s="4">
        <f t="shared" si="15"/>
        <v>23</v>
      </c>
      <c r="E75" s="4" t="str">
        <f t="shared" si="7"/>
        <v>2123</v>
      </c>
      <c r="F75" s="4">
        <f t="shared" si="16"/>
        <v>1</v>
      </c>
    </row>
    <row r="76" spans="1:6" x14ac:dyDescent="0.15">
      <c r="A76" s="26">
        <f>テスト!B76</f>
        <v>22</v>
      </c>
      <c r="B76" s="4">
        <f>テスト!C76</f>
        <v>14</v>
      </c>
      <c r="C76" s="4">
        <f t="shared" si="14"/>
        <v>22</v>
      </c>
      <c r="D76" s="4">
        <f t="shared" si="15"/>
        <v>14</v>
      </c>
      <c r="E76" s="4" t="str">
        <f t="shared" si="7"/>
        <v>2214</v>
      </c>
      <c r="F76" s="4">
        <f t="shared" si="16"/>
        <v>1</v>
      </c>
    </row>
    <row r="77" spans="1:6" x14ac:dyDescent="0.15">
      <c r="A77" s="26">
        <f>テスト!B77</f>
        <v>23</v>
      </c>
      <c r="B77" s="4">
        <f>テスト!C77</f>
        <v>10</v>
      </c>
      <c r="C77" s="4">
        <f t="shared" si="14"/>
        <v>23</v>
      </c>
      <c r="D77" s="4">
        <f t="shared" si="15"/>
        <v>10</v>
      </c>
      <c r="E77" s="4" t="str">
        <f t="shared" si="7"/>
        <v>2310</v>
      </c>
      <c r="F77" s="4">
        <f t="shared" si="16"/>
        <v>1</v>
      </c>
    </row>
    <row r="78" spans="1:6" x14ac:dyDescent="0.15">
      <c r="A78" s="26">
        <f>テスト!B78</f>
        <v>24</v>
      </c>
      <c r="B78" s="4">
        <f>テスト!C78</f>
        <v>20</v>
      </c>
      <c r="C78" s="4">
        <f t="shared" si="14"/>
        <v>24</v>
      </c>
      <c r="D78" s="4">
        <f t="shared" si="15"/>
        <v>20</v>
      </c>
      <c r="E78" s="4" t="str">
        <f t="shared" si="7"/>
        <v>2420</v>
      </c>
      <c r="F78" s="4">
        <f t="shared" si="16"/>
        <v>1</v>
      </c>
    </row>
    <row r="79" spans="1:6" x14ac:dyDescent="0.15">
      <c r="A79" s="26">
        <f>テスト!B79</f>
        <v>25</v>
      </c>
      <c r="B79" s="4">
        <f>テスト!C79</f>
        <v>17</v>
      </c>
      <c r="C79" s="4">
        <f t="shared" si="14"/>
        <v>25</v>
      </c>
      <c r="D79" s="4">
        <f t="shared" si="15"/>
        <v>17</v>
      </c>
      <c r="E79" s="4" t="str">
        <f t="shared" si="7"/>
        <v>2517</v>
      </c>
      <c r="F79" s="4">
        <f t="shared" si="16"/>
        <v>1</v>
      </c>
    </row>
    <row r="80" spans="1:6" x14ac:dyDescent="0.15">
      <c r="A80" s="26">
        <f>テスト!B80</f>
        <v>40</v>
      </c>
      <c r="B80" s="4">
        <f>テスト!C80</f>
        <v>7</v>
      </c>
      <c r="C80" s="4">
        <f t="shared" si="14"/>
        <v>40</v>
      </c>
      <c r="D80" s="4" t="str">
        <f t="shared" si="15"/>
        <v>07</v>
      </c>
      <c r="E80" s="4" t="str">
        <f t="shared" si="7"/>
        <v>4007</v>
      </c>
      <c r="F80" s="4">
        <f t="shared" si="16"/>
        <v>1</v>
      </c>
    </row>
    <row r="81" spans="1:6" x14ac:dyDescent="0.15">
      <c r="A81" s="26"/>
      <c r="C81" s="4"/>
      <c r="D81" s="4"/>
      <c r="E81" s="4" t="str">
        <f t="shared" si="7"/>
        <v/>
      </c>
      <c r="F81" s="4"/>
    </row>
    <row r="82" spans="1:6" x14ac:dyDescent="0.15">
      <c r="A82" s="26">
        <f>テスト!B82</f>
        <v>10</v>
      </c>
      <c r="B82" s="4">
        <f>テスト!C82</f>
        <v>4</v>
      </c>
      <c r="C82" s="4">
        <f t="shared" ref="C82:C96" si="17">IF(LEN(A82)&gt;1,A82,0&amp;A82)</f>
        <v>10</v>
      </c>
      <c r="D82" s="4" t="str">
        <f t="shared" ref="D82:D96" si="18">IF(LEN(B82)&gt;1,B82,0&amp;B82)</f>
        <v>04</v>
      </c>
      <c r="E82" s="4" t="str">
        <f t="shared" si="7"/>
        <v>1004</v>
      </c>
      <c r="F82" s="4">
        <f t="shared" ref="F82:F144" si="19">COUNTIF(E:E,E82)</f>
        <v>1</v>
      </c>
    </row>
    <row r="83" spans="1:6" x14ac:dyDescent="0.15">
      <c r="A83" s="26">
        <f>テスト!B83</f>
        <v>1</v>
      </c>
      <c r="B83" s="4">
        <f>テスト!C83</f>
        <v>35</v>
      </c>
      <c r="C83" s="4" t="str">
        <f t="shared" si="17"/>
        <v>01</v>
      </c>
      <c r="D83" s="4">
        <f t="shared" si="18"/>
        <v>35</v>
      </c>
      <c r="E83" s="4" t="str">
        <f t="shared" ref="E83:E146" si="20">C83&amp;D83</f>
        <v>0135</v>
      </c>
      <c r="F83" s="4">
        <f t="shared" si="19"/>
        <v>1</v>
      </c>
    </row>
    <row r="84" spans="1:6" x14ac:dyDescent="0.15">
      <c r="A84" s="26">
        <f>テスト!B84</f>
        <v>2</v>
      </c>
      <c r="B84" s="4">
        <f>テスト!C84</f>
        <v>11</v>
      </c>
      <c r="C84" s="4" t="str">
        <f t="shared" si="17"/>
        <v>02</v>
      </c>
      <c r="D84" s="4">
        <f t="shared" si="18"/>
        <v>11</v>
      </c>
      <c r="E84" s="4" t="str">
        <f t="shared" si="20"/>
        <v>0211</v>
      </c>
      <c r="F84" s="4">
        <f t="shared" si="19"/>
        <v>1</v>
      </c>
    </row>
    <row r="85" spans="1:6" x14ac:dyDescent="0.15">
      <c r="A85" s="26">
        <f>テスト!B85</f>
        <v>3</v>
      </c>
      <c r="B85" s="4">
        <f>テスト!C85</f>
        <v>17</v>
      </c>
      <c r="C85" s="4" t="str">
        <f t="shared" si="17"/>
        <v>03</v>
      </c>
      <c r="D85" s="4">
        <f t="shared" si="18"/>
        <v>17</v>
      </c>
      <c r="E85" s="4" t="str">
        <f t="shared" si="20"/>
        <v>0317</v>
      </c>
      <c r="F85" s="4">
        <f t="shared" si="19"/>
        <v>1</v>
      </c>
    </row>
    <row r="86" spans="1:6" x14ac:dyDescent="0.15">
      <c r="A86" s="26">
        <f>テスト!B86</f>
        <v>4</v>
      </c>
      <c r="B86" s="4">
        <f>テスト!C86</f>
        <v>17</v>
      </c>
      <c r="C86" s="4" t="str">
        <f t="shared" si="17"/>
        <v>04</v>
      </c>
      <c r="D86" s="4">
        <f t="shared" si="18"/>
        <v>17</v>
      </c>
      <c r="E86" s="4" t="str">
        <f t="shared" si="20"/>
        <v>0417</v>
      </c>
      <c r="F86" s="4">
        <f t="shared" si="19"/>
        <v>1</v>
      </c>
    </row>
    <row r="87" spans="1:6" x14ac:dyDescent="0.15">
      <c r="A87" s="26">
        <f>テスト!B87</f>
        <v>20</v>
      </c>
      <c r="B87" s="4">
        <f>テスト!C87</f>
        <v>23</v>
      </c>
      <c r="C87" s="4">
        <f t="shared" si="17"/>
        <v>20</v>
      </c>
      <c r="D87" s="4">
        <f t="shared" si="18"/>
        <v>23</v>
      </c>
      <c r="E87" s="4" t="str">
        <f t="shared" si="20"/>
        <v>2023</v>
      </c>
      <c r="F87" s="4">
        <f t="shared" si="19"/>
        <v>1</v>
      </c>
    </row>
    <row r="88" spans="1:6" x14ac:dyDescent="0.15">
      <c r="A88" s="26">
        <f>テスト!B88</f>
        <v>11</v>
      </c>
      <c r="B88" s="4">
        <f>テスト!C88</f>
        <v>28</v>
      </c>
      <c r="C88" s="4">
        <f t="shared" si="17"/>
        <v>11</v>
      </c>
      <c r="D88" s="4">
        <f t="shared" si="18"/>
        <v>28</v>
      </c>
      <c r="E88" s="4" t="str">
        <f t="shared" si="20"/>
        <v>1128</v>
      </c>
      <c r="F88" s="4">
        <f t="shared" si="19"/>
        <v>1</v>
      </c>
    </row>
    <row r="89" spans="1:6" x14ac:dyDescent="0.15">
      <c r="A89" s="26">
        <f>テスト!B89</f>
        <v>12</v>
      </c>
      <c r="B89" s="4">
        <f>テスト!C89</f>
        <v>28</v>
      </c>
      <c r="C89" s="4">
        <f t="shared" si="17"/>
        <v>12</v>
      </c>
      <c r="D89" s="4">
        <f t="shared" si="18"/>
        <v>28</v>
      </c>
      <c r="E89" s="4" t="str">
        <f t="shared" si="20"/>
        <v>1228</v>
      </c>
      <c r="F89" s="4">
        <f t="shared" si="19"/>
        <v>1</v>
      </c>
    </row>
    <row r="90" spans="1:6" x14ac:dyDescent="0.15">
      <c r="A90" s="26">
        <f>テスト!B90</f>
        <v>13</v>
      </c>
      <c r="B90" s="4">
        <f>テスト!C90</f>
        <v>12</v>
      </c>
      <c r="C90" s="4">
        <f t="shared" si="17"/>
        <v>13</v>
      </c>
      <c r="D90" s="4">
        <f t="shared" si="18"/>
        <v>12</v>
      </c>
      <c r="E90" s="4" t="str">
        <f t="shared" si="20"/>
        <v>1312</v>
      </c>
      <c r="F90" s="4">
        <f t="shared" si="19"/>
        <v>1</v>
      </c>
    </row>
    <row r="91" spans="1:6" x14ac:dyDescent="0.15">
      <c r="A91" s="26">
        <f>テスト!B91</f>
        <v>21</v>
      </c>
      <c r="B91" s="4">
        <f>テスト!C91</f>
        <v>21</v>
      </c>
      <c r="C91" s="4">
        <f t="shared" si="17"/>
        <v>21</v>
      </c>
      <c r="D91" s="4">
        <f t="shared" si="18"/>
        <v>21</v>
      </c>
      <c r="E91" s="4" t="str">
        <f t="shared" si="20"/>
        <v>2121</v>
      </c>
      <c r="F91" s="4">
        <f t="shared" si="19"/>
        <v>1</v>
      </c>
    </row>
    <row r="92" spans="1:6" x14ac:dyDescent="0.15">
      <c r="A92" s="26">
        <f>テスト!B92</f>
        <v>22</v>
      </c>
      <c r="B92" s="4">
        <f>テスト!C92</f>
        <v>28</v>
      </c>
      <c r="C92" s="4">
        <f t="shared" si="17"/>
        <v>22</v>
      </c>
      <c r="D92" s="4">
        <f t="shared" si="18"/>
        <v>28</v>
      </c>
      <c r="E92" s="4" t="str">
        <f t="shared" si="20"/>
        <v>2228</v>
      </c>
      <c r="F92" s="4">
        <f t="shared" si="19"/>
        <v>1</v>
      </c>
    </row>
    <row r="93" spans="1:6" x14ac:dyDescent="0.15">
      <c r="A93" s="26">
        <f>テスト!B93</f>
        <v>24</v>
      </c>
      <c r="B93" s="4">
        <f>テスト!C93</f>
        <v>27</v>
      </c>
      <c r="C93" s="4">
        <f t="shared" si="17"/>
        <v>24</v>
      </c>
      <c r="D93" s="4">
        <f t="shared" si="18"/>
        <v>27</v>
      </c>
      <c r="E93" s="4" t="str">
        <f t="shared" si="20"/>
        <v>2427</v>
      </c>
      <c r="F93" s="4">
        <f t="shared" si="19"/>
        <v>1</v>
      </c>
    </row>
    <row r="94" spans="1:6" x14ac:dyDescent="0.15">
      <c r="A94" s="26">
        <f>テスト!B94</f>
        <v>25</v>
      </c>
      <c r="B94" s="4">
        <f>テスト!C94</f>
        <v>12</v>
      </c>
      <c r="C94" s="4">
        <f t="shared" si="17"/>
        <v>25</v>
      </c>
      <c r="D94" s="4">
        <f t="shared" si="18"/>
        <v>12</v>
      </c>
      <c r="E94" s="4" t="str">
        <f t="shared" si="20"/>
        <v>2512</v>
      </c>
      <c r="F94" s="4">
        <f t="shared" si="19"/>
        <v>1</v>
      </c>
    </row>
    <row r="95" spans="1:6" x14ac:dyDescent="0.15">
      <c r="A95" s="26">
        <f>テスト!B95</f>
        <v>26</v>
      </c>
      <c r="B95" s="4">
        <f>テスト!C95</f>
        <v>8</v>
      </c>
      <c r="C95" s="4">
        <f t="shared" si="17"/>
        <v>26</v>
      </c>
      <c r="D95" s="4" t="str">
        <f t="shared" si="18"/>
        <v>08</v>
      </c>
      <c r="E95" s="4" t="str">
        <f t="shared" si="20"/>
        <v>2608</v>
      </c>
      <c r="F95" s="4">
        <f t="shared" si="19"/>
        <v>1</v>
      </c>
    </row>
    <row r="96" spans="1:6" x14ac:dyDescent="0.15">
      <c r="A96" s="26">
        <f>テスト!B96</f>
        <v>36</v>
      </c>
      <c r="B96" s="4">
        <f>テスト!C96</f>
        <v>16</v>
      </c>
      <c r="C96" s="4">
        <f t="shared" si="17"/>
        <v>36</v>
      </c>
      <c r="D96" s="4">
        <f t="shared" si="18"/>
        <v>16</v>
      </c>
      <c r="E96" s="4" t="str">
        <f t="shared" si="20"/>
        <v>3616</v>
      </c>
      <c r="F96" s="4">
        <f t="shared" si="19"/>
        <v>1</v>
      </c>
    </row>
    <row r="97" spans="1:6" x14ac:dyDescent="0.15">
      <c r="A97" s="26"/>
      <c r="C97" s="4"/>
      <c r="D97" s="4"/>
      <c r="E97" s="4" t="str">
        <f t="shared" si="20"/>
        <v/>
      </c>
      <c r="F97" s="4"/>
    </row>
    <row r="98" spans="1:6" x14ac:dyDescent="0.15">
      <c r="A98" s="26">
        <f>テスト!B98</f>
        <v>1</v>
      </c>
      <c r="B98" s="4">
        <f>テスト!C98</f>
        <v>8</v>
      </c>
      <c r="C98" s="4" t="str">
        <f t="shared" ref="C98:C112" si="21">IF(LEN(A98)&gt;1,A98,0&amp;A98)</f>
        <v>01</v>
      </c>
      <c r="D98" s="4" t="str">
        <f t="shared" ref="D98:D112" si="22">IF(LEN(B98)&gt;1,B98,0&amp;B98)</f>
        <v>08</v>
      </c>
      <c r="E98" s="4" t="str">
        <f t="shared" si="20"/>
        <v>0108</v>
      </c>
      <c r="F98" s="4">
        <f t="shared" si="19"/>
        <v>1</v>
      </c>
    </row>
    <row r="99" spans="1:6" x14ac:dyDescent="0.15">
      <c r="A99" s="26">
        <f>テスト!B99</f>
        <v>2</v>
      </c>
      <c r="B99" s="4">
        <f>テスト!C99</f>
        <v>27</v>
      </c>
      <c r="C99" s="4" t="str">
        <f t="shared" si="21"/>
        <v>02</v>
      </c>
      <c r="D99" s="4">
        <f t="shared" si="22"/>
        <v>27</v>
      </c>
      <c r="E99" s="4" t="str">
        <f t="shared" si="20"/>
        <v>0227</v>
      </c>
      <c r="F99" s="4">
        <f t="shared" si="19"/>
        <v>1</v>
      </c>
    </row>
    <row r="100" spans="1:6" x14ac:dyDescent="0.15">
      <c r="A100" s="26">
        <f>テスト!B100</f>
        <v>3</v>
      </c>
      <c r="B100" s="4">
        <f>テスト!C100</f>
        <v>16</v>
      </c>
      <c r="C100" s="4" t="str">
        <f t="shared" si="21"/>
        <v>03</v>
      </c>
      <c r="D100" s="4">
        <f t="shared" si="22"/>
        <v>16</v>
      </c>
      <c r="E100" s="4" t="str">
        <f t="shared" si="20"/>
        <v>0316</v>
      </c>
      <c r="F100" s="4">
        <f t="shared" si="19"/>
        <v>1</v>
      </c>
    </row>
    <row r="101" spans="1:6" x14ac:dyDescent="0.15">
      <c r="A101" s="26">
        <f>テスト!B101</f>
        <v>4</v>
      </c>
      <c r="B101" s="4">
        <f>テスト!C101</f>
        <v>8</v>
      </c>
      <c r="C101" s="4" t="str">
        <f t="shared" si="21"/>
        <v>04</v>
      </c>
      <c r="D101" s="4" t="str">
        <f t="shared" si="22"/>
        <v>08</v>
      </c>
      <c r="E101" s="4" t="str">
        <f t="shared" si="20"/>
        <v>0408</v>
      </c>
      <c r="F101" s="4">
        <f t="shared" si="19"/>
        <v>1</v>
      </c>
    </row>
    <row r="102" spans="1:6" x14ac:dyDescent="0.15">
      <c r="A102" s="26">
        <f>テスト!B102</f>
        <v>5</v>
      </c>
      <c r="B102" s="4">
        <f>テスト!C102</f>
        <v>15</v>
      </c>
      <c r="C102" s="4" t="str">
        <f t="shared" si="21"/>
        <v>05</v>
      </c>
      <c r="D102" s="4">
        <f t="shared" si="22"/>
        <v>15</v>
      </c>
      <c r="E102" s="4" t="str">
        <f t="shared" si="20"/>
        <v>0515</v>
      </c>
      <c r="F102" s="4">
        <f t="shared" si="19"/>
        <v>1</v>
      </c>
    </row>
    <row r="103" spans="1:6" x14ac:dyDescent="0.15">
      <c r="A103" s="26">
        <f>テスト!B103</f>
        <v>13</v>
      </c>
      <c r="B103" s="4">
        <f>テスト!C103</f>
        <v>9</v>
      </c>
      <c r="C103" s="4">
        <f t="shared" si="21"/>
        <v>13</v>
      </c>
      <c r="D103" s="4" t="str">
        <f t="shared" si="22"/>
        <v>09</v>
      </c>
      <c r="E103" s="4" t="str">
        <f t="shared" si="20"/>
        <v>1309</v>
      </c>
      <c r="F103" s="4">
        <f t="shared" si="19"/>
        <v>1</v>
      </c>
    </row>
    <row r="104" spans="1:6" x14ac:dyDescent="0.15">
      <c r="A104" s="26">
        <f>テスト!B104</f>
        <v>14</v>
      </c>
      <c r="B104" s="4">
        <f>テスト!C104</f>
        <v>29</v>
      </c>
      <c r="C104" s="4">
        <f t="shared" si="21"/>
        <v>14</v>
      </c>
      <c r="D104" s="4">
        <f t="shared" si="22"/>
        <v>29</v>
      </c>
      <c r="E104" s="4" t="str">
        <f t="shared" si="20"/>
        <v>1429</v>
      </c>
      <c r="F104" s="4">
        <f t="shared" si="19"/>
        <v>1</v>
      </c>
    </row>
    <row r="105" spans="1:6" x14ac:dyDescent="0.15">
      <c r="A105" s="26">
        <f>テスト!B105</f>
        <v>15</v>
      </c>
      <c r="B105" s="4">
        <f>テスト!C105</f>
        <v>6</v>
      </c>
      <c r="C105" s="4">
        <f t="shared" si="21"/>
        <v>15</v>
      </c>
      <c r="D105" s="4" t="str">
        <f t="shared" si="22"/>
        <v>06</v>
      </c>
      <c r="E105" s="4" t="str">
        <f t="shared" si="20"/>
        <v>1506</v>
      </c>
      <c r="F105" s="4">
        <f t="shared" si="19"/>
        <v>1</v>
      </c>
    </row>
    <row r="106" spans="1:6" x14ac:dyDescent="0.15">
      <c r="A106" s="26">
        <f>テスト!B106</f>
        <v>16</v>
      </c>
      <c r="B106" s="4">
        <f>テスト!C106</f>
        <v>7</v>
      </c>
      <c r="C106" s="4">
        <f t="shared" si="21"/>
        <v>16</v>
      </c>
      <c r="D106" s="4" t="str">
        <f t="shared" si="22"/>
        <v>07</v>
      </c>
      <c r="E106" s="4" t="str">
        <f t="shared" si="20"/>
        <v>1607</v>
      </c>
      <c r="F106" s="4">
        <f t="shared" si="19"/>
        <v>1</v>
      </c>
    </row>
    <row r="107" spans="1:6" x14ac:dyDescent="0.15">
      <c r="A107" s="26">
        <f>テスト!B107</f>
        <v>21</v>
      </c>
      <c r="B107" s="4">
        <f>テスト!C107</f>
        <v>29</v>
      </c>
      <c r="C107" s="4">
        <f t="shared" si="21"/>
        <v>21</v>
      </c>
      <c r="D107" s="4">
        <f t="shared" si="22"/>
        <v>29</v>
      </c>
      <c r="E107" s="4" t="str">
        <f t="shared" si="20"/>
        <v>2129</v>
      </c>
      <c r="F107" s="4">
        <f t="shared" si="19"/>
        <v>1</v>
      </c>
    </row>
    <row r="108" spans="1:6" x14ac:dyDescent="0.15">
      <c r="A108" s="26">
        <f>テスト!B108</f>
        <v>22</v>
      </c>
      <c r="B108" s="4">
        <f>テスト!C108</f>
        <v>35</v>
      </c>
      <c r="C108" s="4">
        <f t="shared" si="21"/>
        <v>22</v>
      </c>
      <c r="D108" s="4">
        <f t="shared" si="22"/>
        <v>35</v>
      </c>
      <c r="E108" s="4" t="str">
        <f t="shared" si="20"/>
        <v>2235</v>
      </c>
      <c r="F108" s="4">
        <f t="shared" si="19"/>
        <v>1</v>
      </c>
    </row>
    <row r="109" spans="1:6" x14ac:dyDescent="0.15">
      <c r="A109" s="26">
        <f>テスト!B109</f>
        <v>32</v>
      </c>
      <c r="B109" s="4">
        <f>テスト!C109</f>
        <v>5</v>
      </c>
      <c r="C109" s="4">
        <f t="shared" si="21"/>
        <v>32</v>
      </c>
      <c r="D109" s="4" t="str">
        <f t="shared" si="22"/>
        <v>05</v>
      </c>
      <c r="E109" s="4" t="str">
        <f t="shared" si="20"/>
        <v>3205</v>
      </c>
      <c r="F109" s="4">
        <f t="shared" si="19"/>
        <v>1</v>
      </c>
    </row>
    <row r="110" spans="1:6" x14ac:dyDescent="0.15">
      <c r="A110" s="26">
        <f>テスト!B110</f>
        <v>23</v>
      </c>
      <c r="B110" s="4">
        <f>テスト!C110</f>
        <v>30</v>
      </c>
      <c r="C110" s="4">
        <f t="shared" si="21"/>
        <v>23</v>
      </c>
      <c r="D110" s="4">
        <f t="shared" si="22"/>
        <v>30</v>
      </c>
      <c r="E110" s="4" t="str">
        <f t="shared" si="20"/>
        <v>2330</v>
      </c>
      <c r="F110" s="4">
        <f t="shared" si="19"/>
        <v>1</v>
      </c>
    </row>
    <row r="111" spans="1:6" x14ac:dyDescent="0.15">
      <c r="A111" s="26">
        <f>テスト!B111</f>
        <v>24</v>
      </c>
      <c r="B111" s="4">
        <f>テスト!C111</f>
        <v>33</v>
      </c>
      <c r="C111" s="4">
        <f t="shared" si="21"/>
        <v>24</v>
      </c>
      <c r="D111" s="4">
        <f t="shared" si="22"/>
        <v>33</v>
      </c>
      <c r="E111" s="4" t="str">
        <f t="shared" si="20"/>
        <v>2433</v>
      </c>
      <c r="F111" s="4">
        <f t="shared" si="19"/>
        <v>1</v>
      </c>
    </row>
    <row r="112" spans="1:6" x14ac:dyDescent="0.15">
      <c r="A112" s="26">
        <f>テスト!B112</f>
        <v>35</v>
      </c>
      <c r="B112" s="4">
        <f>テスト!C112</f>
        <v>11</v>
      </c>
      <c r="C112" s="4">
        <f t="shared" si="21"/>
        <v>35</v>
      </c>
      <c r="D112" s="4">
        <f t="shared" si="22"/>
        <v>11</v>
      </c>
      <c r="E112" s="4" t="str">
        <f t="shared" si="20"/>
        <v>3511</v>
      </c>
      <c r="F112" s="4">
        <f t="shared" si="19"/>
        <v>1</v>
      </c>
    </row>
    <row r="113" spans="1:6" x14ac:dyDescent="0.15">
      <c r="A113" s="26"/>
      <c r="C113" s="4"/>
      <c r="D113" s="4"/>
      <c r="E113" s="4" t="str">
        <f t="shared" si="20"/>
        <v/>
      </c>
      <c r="F113" s="4"/>
    </row>
    <row r="114" spans="1:6" x14ac:dyDescent="0.15">
      <c r="A114" s="26">
        <f>テスト!B114</f>
        <v>7</v>
      </c>
      <c r="B114" s="4">
        <f>テスト!C114</f>
        <v>18</v>
      </c>
      <c r="C114" s="4" t="str">
        <f t="shared" ref="C114:C128" si="23">IF(LEN(A114)&gt;1,A114,0&amp;A114)</f>
        <v>07</v>
      </c>
      <c r="D114" s="4">
        <f t="shared" ref="D114:D128" si="24">IF(LEN(B114)&gt;1,B114,0&amp;B114)</f>
        <v>18</v>
      </c>
      <c r="E114" s="4" t="str">
        <f t="shared" si="20"/>
        <v>0718</v>
      </c>
      <c r="F114" s="4">
        <f t="shared" si="19"/>
        <v>1</v>
      </c>
    </row>
    <row r="115" spans="1:6" x14ac:dyDescent="0.15">
      <c r="A115" s="26">
        <f>テスト!B115</f>
        <v>8</v>
      </c>
      <c r="B115" s="4">
        <f>テスト!C115</f>
        <v>25</v>
      </c>
      <c r="C115" s="4" t="str">
        <f t="shared" si="23"/>
        <v>08</v>
      </c>
      <c r="D115" s="4">
        <f t="shared" si="24"/>
        <v>25</v>
      </c>
      <c r="E115" s="4" t="str">
        <f t="shared" si="20"/>
        <v>0825</v>
      </c>
      <c r="F115" s="4">
        <f t="shared" si="19"/>
        <v>1</v>
      </c>
    </row>
    <row r="116" spans="1:6" x14ac:dyDescent="0.15">
      <c r="A116" s="26">
        <f>テスト!B116</f>
        <v>9</v>
      </c>
      <c r="B116" s="4">
        <f>テスト!C116</f>
        <v>23</v>
      </c>
      <c r="C116" s="4" t="str">
        <f t="shared" si="23"/>
        <v>09</v>
      </c>
      <c r="D116" s="4">
        <f t="shared" si="24"/>
        <v>23</v>
      </c>
      <c r="E116" s="4" t="str">
        <f t="shared" si="20"/>
        <v>0923</v>
      </c>
      <c r="F116" s="4">
        <f t="shared" si="19"/>
        <v>1</v>
      </c>
    </row>
    <row r="117" spans="1:6" x14ac:dyDescent="0.15">
      <c r="A117" s="26">
        <f>テスト!B117</f>
        <v>10</v>
      </c>
      <c r="B117" s="4">
        <f>テスト!C117</f>
        <v>25</v>
      </c>
      <c r="C117" s="4">
        <f t="shared" si="23"/>
        <v>10</v>
      </c>
      <c r="D117" s="4">
        <f t="shared" si="24"/>
        <v>25</v>
      </c>
      <c r="E117" s="4" t="str">
        <f t="shared" si="20"/>
        <v>1025</v>
      </c>
      <c r="F117" s="4">
        <f t="shared" si="19"/>
        <v>1</v>
      </c>
    </row>
    <row r="118" spans="1:6" x14ac:dyDescent="0.15">
      <c r="A118" s="26">
        <f>テスト!B118</f>
        <v>1</v>
      </c>
      <c r="B118" s="4">
        <f>テスト!C118</f>
        <v>20</v>
      </c>
      <c r="C118" s="4" t="str">
        <f t="shared" si="23"/>
        <v>01</v>
      </c>
      <c r="D118" s="4">
        <f t="shared" si="24"/>
        <v>20</v>
      </c>
      <c r="E118" s="4" t="str">
        <f t="shared" si="20"/>
        <v>0120</v>
      </c>
      <c r="F118" s="4">
        <f t="shared" si="19"/>
        <v>1</v>
      </c>
    </row>
    <row r="119" spans="1:6" x14ac:dyDescent="0.15">
      <c r="A119" s="26">
        <f>テスト!B119</f>
        <v>20</v>
      </c>
      <c r="B119" s="4">
        <f>テスト!C119</f>
        <v>26</v>
      </c>
      <c r="C119" s="4">
        <f t="shared" si="23"/>
        <v>20</v>
      </c>
      <c r="D119" s="4">
        <f t="shared" si="24"/>
        <v>26</v>
      </c>
      <c r="E119" s="4" t="str">
        <f t="shared" si="20"/>
        <v>2026</v>
      </c>
      <c r="F119" s="4">
        <f t="shared" si="19"/>
        <v>1</v>
      </c>
    </row>
    <row r="120" spans="1:6" x14ac:dyDescent="0.15">
      <c r="A120" s="26">
        <f>テスト!B120</f>
        <v>11</v>
      </c>
      <c r="B120" s="4">
        <f>テスト!C120</f>
        <v>7</v>
      </c>
      <c r="C120" s="4">
        <f t="shared" si="23"/>
        <v>11</v>
      </c>
      <c r="D120" s="4" t="str">
        <f t="shared" si="24"/>
        <v>07</v>
      </c>
      <c r="E120" s="4" t="str">
        <f t="shared" si="20"/>
        <v>1107</v>
      </c>
      <c r="F120" s="4">
        <f t="shared" si="19"/>
        <v>1</v>
      </c>
    </row>
    <row r="121" spans="1:6" x14ac:dyDescent="0.15">
      <c r="A121" s="26">
        <f>テスト!B121</f>
        <v>12</v>
      </c>
      <c r="B121" s="4">
        <f>テスト!C121</f>
        <v>4</v>
      </c>
      <c r="C121" s="4">
        <f t="shared" si="23"/>
        <v>12</v>
      </c>
      <c r="D121" s="4" t="str">
        <f t="shared" si="24"/>
        <v>04</v>
      </c>
      <c r="E121" s="4" t="str">
        <f t="shared" si="20"/>
        <v>1204</v>
      </c>
      <c r="F121" s="4">
        <f t="shared" si="19"/>
        <v>1</v>
      </c>
    </row>
    <row r="122" spans="1:6" x14ac:dyDescent="0.15">
      <c r="A122" s="26">
        <f>テスト!B122</f>
        <v>13</v>
      </c>
      <c r="B122" s="4">
        <f>テスト!C122</f>
        <v>7</v>
      </c>
      <c r="C122" s="4">
        <f t="shared" si="23"/>
        <v>13</v>
      </c>
      <c r="D122" s="4" t="str">
        <f t="shared" si="24"/>
        <v>07</v>
      </c>
      <c r="E122" s="4" t="str">
        <f t="shared" si="20"/>
        <v>1307</v>
      </c>
      <c r="F122" s="4">
        <f t="shared" si="19"/>
        <v>1</v>
      </c>
    </row>
    <row r="123" spans="1:6" x14ac:dyDescent="0.15">
      <c r="A123" s="26">
        <f>テスト!B123</f>
        <v>21</v>
      </c>
      <c r="B123" s="4">
        <f>テスト!C123</f>
        <v>13</v>
      </c>
      <c r="C123" s="4">
        <f t="shared" si="23"/>
        <v>21</v>
      </c>
      <c r="D123" s="4">
        <f t="shared" si="24"/>
        <v>13</v>
      </c>
      <c r="E123" s="4" t="str">
        <f t="shared" si="20"/>
        <v>2113</v>
      </c>
      <c r="F123" s="4">
        <f t="shared" si="19"/>
        <v>1</v>
      </c>
    </row>
    <row r="124" spans="1:6" x14ac:dyDescent="0.15">
      <c r="A124" s="26">
        <f>テスト!B124</f>
        <v>22</v>
      </c>
      <c r="B124" s="4">
        <f>テスト!C124</f>
        <v>63</v>
      </c>
      <c r="C124" s="4">
        <f t="shared" si="23"/>
        <v>22</v>
      </c>
      <c r="D124" s="4">
        <f t="shared" si="24"/>
        <v>63</v>
      </c>
      <c r="E124" s="4" t="str">
        <f t="shared" si="20"/>
        <v>2263</v>
      </c>
      <c r="F124" s="4">
        <f t="shared" si="19"/>
        <v>1</v>
      </c>
    </row>
    <row r="125" spans="1:6" x14ac:dyDescent="0.15">
      <c r="A125" s="26">
        <f>テスト!B125</f>
        <v>27</v>
      </c>
      <c r="B125" s="4">
        <f>テスト!C125</f>
        <v>27</v>
      </c>
      <c r="C125" s="4">
        <f t="shared" si="23"/>
        <v>27</v>
      </c>
      <c r="D125" s="4">
        <f t="shared" si="24"/>
        <v>27</v>
      </c>
      <c r="E125" s="4" t="str">
        <f t="shared" si="20"/>
        <v>2727</v>
      </c>
      <c r="F125" s="4">
        <f t="shared" si="19"/>
        <v>1</v>
      </c>
    </row>
    <row r="126" spans="1:6" x14ac:dyDescent="0.15">
      <c r="A126" s="26">
        <f>テスト!B126</f>
        <v>28</v>
      </c>
      <c r="B126" s="4">
        <f>テスト!C126</f>
        <v>20</v>
      </c>
      <c r="C126" s="4">
        <f t="shared" si="23"/>
        <v>28</v>
      </c>
      <c r="D126" s="4">
        <f t="shared" si="24"/>
        <v>20</v>
      </c>
      <c r="E126" s="4" t="str">
        <f t="shared" si="20"/>
        <v>2820</v>
      </c>
      <c r="F126" s="4">
        <f t="shared" si="19"/>
        <v>1</v>
      </c>
    </row>
    <row r="127" spans="1:6" x14ac:dyDescent="0.15">
      <c r="A127" s="26">
        <f>テスト!B127</f>
        <v>29</v>
      </c>
      <c r="B127" s="4">
        <f>テスト!C127</f>
        <v>5</v>
      </c>
      <c r="C127" s="4">
        <f t="shared" si="23"/>
        <v>29</v>
      </c>
      <c r="D127" s="4" t="str">
        <f t="shared" si="24"/>
        <v>05</v>
      </c>
      <c r="E127" s="4" t="str">
        <f t="shared" si="20"/>
        <v>2905</v>
      </c>
      <c r="F127" s="4">
        <f t="shared" si="19"/>
        <v>1</v>
      </c>
    </row>
    <row r="128" spans="1:6" x14ac:dyDescent="0.15">
      <c r="A128" s="26">
        <f>テスト!B128</f>
        <v>35</v>
      </c>
      <c r="B128" s="4">
        <f>テスト!C128</f>
        <v>4</v>
      </c>
      <c r="C128" s="4">
        <f t="shared" si="23"/>
        <v>35</v>
      </c>
      <c r="D128" s="4" t="str">
        <f t="shared" si="24"/>
        <v>04</v>
      </c>
      <c r="E128" s="4" t="str">
        <f t="shared" si="20"/>
        <v>3504</v>
      </c>
      <c r="F128" s="4">
        <f t="shared" si="19"/>
        <v>1</v>
      </c>
    </row>
    <row r="129" spans="1:6" x14ac:dyDescent="0.15">
      <c r="A129" s="26"/>
      <c r="C129" s="4"/>
      <c r="D129" s="4"/>
      <c r="E129" s="4" t="str">
        <f t="shared" si="20"/>
        <v/>
      </c>
      <c r="F129" s="4"/>
    </row>
    <row r="130" spans="1:6" x14ac:dyDescent="0.15">
      <c r="A130" s="26">
        <f>テスト!B130</f>
        <v>4</v>
      </c>
      <c r="B130" s="4">
        <f>テスト!C130</f>
        <v>33</v>
      </c>
      <c r="C130" s="4" t="str">
        <f t="shared" ref="C130:C144" si="25">IF(LEN(A130)&gt;1,A130,0&amp;A130)</f>
        <v>04</v>
      </c>
      <c r="D130" s="4">
        <f t="shared" ref="D130:D144" si="26">IF(LEN(B130)&gt;1,B130,0&amp;B130)</f>
        <v>33</v>
      </c>
      <c r="E130" s="4" t="str">
        <f t="shared" si="20"/>
        <v>0433</v>
      </c>
      <c r="F130" s="4">
        <f t="shared" si="19"/>
        <v>1</v>
      </c>
    </row>
    <row r="131" spans="1:6" x14ac:dyDescent="0.15">
      <c r="A131" s="26">
        <f>テスト!B131</f>
        <v>5</v>
      </c>
      <c r="B131" s="4">
        <f>テスト!C131</f>
        <v>5</v>
      </c>
      <c r="C131" s="4" t="str">
        <f t="shared" si="25"/>
        <v>05</v>
      </c>
      <c r="D131" s="4" t="str">
        <f t="shared" si="26"/>
        <v>05</v>
      </c>
      <c r="E131" s="4" t="str">
        <f t="shared" si="20"/>
        <v>0505</v>
      </c>
      <c r="F131" s="4">
        <f t="shared" si="19"/>
        <v>1</v>
      </c>
    </row>
    <row r="132" spans="1:6" x14ac:dyDescent="0.15">
      <c r="A132" s="26">
        <f>テスト!B132</f>
        <v>6</v>
      </c>
      <c r="B132" s="4">
        <f>テスト!C132</f>
        <v>26</v>
      </c>
      <c r="C132" s="4" t="str">
        <f t="shared" si="25"/>
        <v>06</v>
      </c>
      <c r="D132" s="4">
        <f t="shared" si="26"/>
        <v>26</v>
      </c>
      <c r="E132" s="4" t="str">
        <f t="shared" si="20"/>
        <v>0626</v>
      </c>
      <c r="F132" s="4">
        <f t="shared" si="19"/>
        <v>1</v>
      </c>
    </row>
    <row r="133" spans="1:6" x14ac:dyDescent="0.15">
      <c r="A133" s="26">
        <f>テスト!B133</f>
        <v>7</v>
      </c>
      <c r="B133" s="4">
        <f>テスト!C133</f>
        <v>30</v>
      </c>
      <c r="C133" s="4" t="str">
        <f t="shared" si="25"/>
        <v>07</v>
      </c>
      <c r="D133" s="4">
        <f t="shared" si="26"/>
        <v>30</v>
      </c>
      <c r="E133" s="4" t="str">
        <f t="shared" si="20"/>
        <v>0730</v>
      </c>
      <c r="F133" s="4">
        <f t="shared" si="19"/>
        <v>1</v>
      </c>
    </row>
    <row r="134" spans="1:6" x14ac:dyDescent="0.15">
      <c r="A134" s="26">
        <f>テスト!B134</f>
        <v>8</v>
      </c>
      <c r="B134" s="4">
        <f>テスト!C134</f>
        <v>31</v>
      </c>
      <c r="C134" s="4" t="str">
        <f t="shared" si="25"/>
        <v>08</v>
      </c>
      <c r="D134" s="4">
        <f t="shared" si="26"/>
        <v>31</v>
      </c>
      <c r="E134" s="4" t="str">
        <f t="shared" si="20"/>
        <v>0831</v>
      </c>
      <c r="F134" s="4">
        <f t="shared" si="19"/>
        <v>1</v>
      </c>
    </row>
    <row r="135" spans="1:6" x14ac:dyDescent="0.15">
      <c r="A135" s="26">
        <f>テスト!B135</f>
        <v>13</v>
      </c>
      <c r="B135" s="4">
        <f>テスト!C135</f>
        <v>26</v>
      </c>
      <c r="C135" s="4">
        <f t="shared" si="25"/>
        <v>13</v>
      </c>
      <c r="D135" s="4">
        <f t="shared" si="26"/>
        <v>26</v>
      </c>
      <c r="E135" s="4" t="str">
        <f t="shared" si="20"/>
        <v>1326</v>
      </c>
      <c r="F135" s="4">
        <f t="shared" si="19"/>
        <v>1</v>
      </c>
    </row>
    <row r="136" spans="1:6" x14ac:dyDescent="0.15">
      <c r="A136" s="26">
        <f>テスト!B136</f>
        <v>14</v>
      </c>
      <c r="B136" s="4">
        <f>テスト!C136</f>
        <v>22</v>
      </c>
      <c r="C136" s="4">
        <f t="shared" si="25"/>
        <v>14</v>
      </c>
      <c r="D136" s="4">
        <f t="shared" si="26"/>
        <v>22</v>
      </c>
      <c r="E136" s="4" t="str">
        <f t="shared" si="20"/>
        <v>1422</v>
      </c>
      <c r="F136" s="4">
        <f t="shared" si="19"/>
        <v>1</v>
      </c>
    </row>
    <row r="137" spans="1:6" x14ac:dyDescent="0.15">
      <c r="A137" s="26">
        <f>テスト!B137</f>
        <v>15</v>
      </c>
      <c r="B137" s="4">
        <f>テスト!C137</f>
        <v>21</v>
      </c>
      <c r="C137" s="4">
        <f t="shared" si="25"/>
        <v>15</v>
      </c>
      <c r="D137" s="4">
        <f t="shared" si="26"/>
        <v>21</v>
      </c>
      <c r="E137" s="4" t="str">
        <f t="shared" si="20"/>
        <v>1521</v>
      </c>
      <c r="F137" s="4">
        <f t="shared" si="19"/>
        <v>1</v>
      </c>
    </row>
    <row r="138" spans="1:6" x14ac:dyDescent="0.15">
      <c r="A138" s="26">
        <f>テスト!B138</f>
        <v>16</v>
      </c>
      <c r="B138" s="4">
        <f>テスト!C138</f>
        <v>5</v>
      </c>
      <c r="C138" s="4">
        <f t="shared" si="25"/>
        <v>16</v>
      </c>
      <c r="D138" s="4" t="str">
        <f t="shared" si="26"/>
        <v>05</v>
      </c>
      <c r="E138" s="4" t="str">
        <f t="shared" si="20"/>
        <v>1605</v>
      </c>
      <c r="F138" s="4">
        <f t="shared" si="19"/>
        <v>1</v>
      </c>
    </row>
    <row r="139" spans="1:6" x14ac:dyDescent="0.15">
      <c r="A139" s="26">
        <f>テスト!B139</f>
        <v>21</v>
      </c>
      <c r="B139" s="4">
        <f>テスト!C139</f>
        <v>7</v>
      </c>
      <c r="C139" s="4">
        <f t="shared" si="25"/>
        <v>21</v>
      </c>
      <c r="D139" s="4" t="str">
        <f t="shared" si="26"/>
        <v>07</v>
      </c>
      <c r="E139" s="4" t="str">
        <f t="shared" si="20"/>
        <v>2107</v>
      </c>
      <c r="F139" s="4">
        <f t="shared" si="19"/>
        <v>1</v>
      </c>
    </row>
    <row r="140" spans="1:6" x14ac:dyDescent="0.15">
      <c r="A140" s="26">
        <f>テスト!B140</f>
        <v>22</v>
      </c>
      <c r="B140" s="4">
        <f>テスト!C140</f>
        <v>4</v>
      </c>
      <c r="C140" s="4">
        <f t="shared" si="25"/>
        <v>22</v>
      </c>
      <c r="D140" s="4" t="str">
        <f t="shared" si="26"/>
        <v>04</v>
      </c>
      <c r="E140" s="4" t="str">
        <f t="shared" si="20"/>
        <v>2204</v>
      </c>
      <c r="F140" s="4">
        <f t="shared" si="19"/>
        <v>1</v>
      </c>
    </row>
    <row r="141" spans="1:6" x14ac:dyDescent="0.15">
      <c r="A141" s="26">
        <f>テスト!B141</f>
        <v>31</v>
      </c>
      <c r="B141" s="4">
        <f>テスト!C141</f>
        <v>25</v>
      </c>
      <c r="C141" s="4">
        <f t="shared" si="25"/>
        <v>31</v>
      </c>
      <c r="D141" s="4">
        <f t="shared" si="26"/>
        <v>25</v>
      </c>
      <c r="E141" s="4" t="str">
        <f t="shared" si="20"/>
        <v>3125</v>
      </c>
      <c r="F141" s="4">
        <f t="shared" si="19"/>
        <v>1</v>
      </c>
    </row>
    <row r="142" spans="1:6" x14ac:dyDescent="0.15">
      <c r="A142" s="26">
        <f>テスト!B142</f>
        <v>32</v>
      </c>
      <c r="B142" s="4">
        <f>テスト!C142</f>
        <v>13</v>
      </c>
      <c r="C142" s="4">
        <f t="shared" si="25"/>
        <v>32</v>
      </c>
      <c r="D142" s="4">
        <f t="shared" si="26"/>
        <v>13</v>
      </c>
      <c r="E142" s="4" t="str">
        <f t="shared" si="20"/>
        <v>3213</v>
      </c>
      <c r="F142" s="4">
        <f t="shared" si="19"/>
        <v>1</v>
      </c>
    </row>
    <row r="143" spans="1:6" x14ac:dyDescent="0.15">
      <c r="A143" s="26">
        <f>テスト!B143</f>
        <v>23</v>
      </c>
      <c r="B143" s="4">
        <f>テスト!C143</f>
        <v>25</v>
      </c>
      <c r="C143" s="4">
        <f t="shared" si="25"/>
        <v>23</v>
      </c>
      <c r="D143" s="4">
        <f t="shared" si="26"/>
        <v>25</v>
      </c>
      <c r="E143" s="4" t="str">
        <f t="shared" si="20"/>
        <v>2325</v>
      </c>
      <c r="F143" s="4">
        <f t="shared" si="19"/>
        <v>1</v>
      </c>
    </row>
    <row r="144" spans="1:6" x14ac:dyDescent="0.15">
      <c r="A144" s="26">
        <f>テスト!B144</f>
        <v>39</v>
      </c>
      <c r="B144" s="4">
        <f>テスト!C144</f>
        <v>11</v>
      </c>
      <c r="C144" s="4">
        <f t="shared" si="25"/>
        <v>39</v>
      </c>
      <c r="D144" s="4">
        <f t="shared" si="26"/>
        <v>11</v>
      </c>
      <c r="E144" s="4" t="str">
        <f t="shared" si="20"/>
        <v>3911</v>
      </c>
      <c r="F144" s="4">
        <f t="shared" si="19"/>
        <v>1</v>
      </c>
    </row>
    <row r="145" spans="1:6" x14ac:dyDescent="0.15">
      <c r="A145" s="26"/>
      <c r="C145" s="4"/>
      <c r="D145" s="4"/>
      <c r="E145" s="4" t="str">
        <f t="shared" si="20"/>
        <v/>
      </c>
      <c r="F145" s="4"/>
    </row>
    <row r="146" spans="1:6" x14ac:dyDescent="0.15">
      <c r="A146" s="26">
        <f>テスト!B146</f>
        <v>6</v>
      </c>
      <c r="B146" s="4">
        <f>テスト!C146</f>
        <v>27</v>
      </c>
      <c r="C146" s="4" t="str">
        <f t="shared" ref="C146:C160" si="27">IF(LEN(A146)&gt;1,A146,0&amp;A146)</f>
        <v>06</v>
      </c>
      <c r="D146" s="4">
        <f t="shared" ref="D146:D160" si="28">IF(LEN(B146)&gt;1,B146,0&amp;B146)</f>
        <v>27</v>
      </c>
      <c r="E146" s="4" t="str">
        <f t="shared" si="20"/>
        <v>0627</v>
      </c>
      <c r="F146" s="4">
        <f t="shared" ref="F146:F208" si="29">COUNTIF(E:E,E146)</f>
        <v>1</v>
      </c>
    </row>
    <row r="147" spans="1:6" x14ac:dyDescent="0.15">
      <c r="A147" s="26">
        <f>テスト!B147</f>
        <v>7</v>
      </c>
      <c r="B147" s="4">
        <f>テスト!C147</f>
        <v>32</v>
      </c>
      <c r="C147" s="4" t="str">
        <f t="shared" si="27"/>
        <v>07</v>
      </c>
      <c r="D147" s="4">
        <f t="shared" si="28"/>
        <v>32</v>
      </c>
      <c r="E147" s="4" t="str">
        <f t="shared" ref="E147:E210" si="30">C147&amp;D147</f>
        <v>0732</v>
      </c>
      <c r="F147" s="4">
        <f t="shared" si="29"/>
        <v>1</v>
      </c>
    </row>
    <row r="148" spans="1:6" x14ac:dyDescent="0.15">
      <c r="A148" s="26">
        <f>テスト!B148</f>
        <v>8</v>
      </c>
      <c r="B148" s="4">
        <f>テスト!C148</f>
        <v>29</v>
      </c>
      <c r="C148" s="4" t="str">
        <f t="shared" si="27"/>
        <v>08</v>
      </c>
      <c r="D148" s="4">
        <f t="shared" si="28"/>
        <v>29</v>
      </c>
      <c r="E148" s="4" t="str">
        <f t="shared" si="30"/>
        <v>0829</v>
      </c>
      <c r="F148" s="4">
        <f t="shared" si="29"/>
        <v>1</v>
      </c>
    </row>
    <row r="149" spans="1:6" x14ac:dyDescent="0.15">
      <c r="A149" s="26">
        <f>テスト!B149</f>
        <v>9</v>
      </c>
      <c r="B149" s="4">
        <f>テスト!C149</f>
        <v>32</v>
      </c>
      <c r="C149" s="4" t="str">
        <f t="shared" si="27"/>
        <v>09</v>
      </c>
      <c r="D149" s="4">
        <f t="shared" si="28"/>
        <v>32</v>
      </c>
      <c r="E149" s="4" t="str">
        <f t="shared" si="30"/>
        <v>0932</v>
      </c>
      <c r="F149" s="4">
        <f t="shared" si="29"/>
        <v>1</v>
      </c>
    </row>
    <row r="150" spans="1:6" x14ac:dyDescent="0.15">
      <c r="A150" s="26">
        <f>テスト!B150</f>
        <v>10</v>
      </c>
      <c r="B150" s="4">
        <f>テスト!C150</f>
        <v>9</v>
      </c>
      <c r="C150" s="4">
        <f t="shared" si="27"/>
        <v>10</v>
      </c>
      <c r="D150" s="4" t="str">
        <f t="shared" si="28"/>
        <v>09</v>
      </c>
      <c r="E150" s="4" t="str">
        <f t="shared" si="30"/>
        <v>1009</v>
      </c>
      <c r="F150" s="4">
        <f t="shared" si="29"/>
        <v>1</v>
      </c>
    </row>
    <row r="151" spans="1:6" x14ac:dyDescent="0.15">
      <c r="A151" s="26">
        <f>テスト!B151</f>
        <v>12</v>
      </c>
      <c r="B151" s="4">
        <f>テスト!C151</f>
        <v>23</v>
      </c>
      <c r="C151" s="4">
        <f t="shared" si="27"/>
        <v>12</v>
      </c>
      <c r="D151" s="4">
        <f t="shared" si="28"/>
        <v>23</v>
      </c>
      <c r="E151" s="4" t="str">
        <f t="shared" si="30"/>
        <v>1223</v>
      </c>
      <c r="F151" s="4">
        <f t="shared" si="29"/>
        <v>1</v>
      </c>
    </row>
    <row r="152" spans="1:6" x14ac:dyDescent="0.15">
      <c r="A152" s="26">
        <f>テスト!B152</f>
        <v>13</v>
      </c>
      <c r="B152" s="4">
        <f>テスト!C152</f>
        <v>23</v>
      </c>
      <c r="C152" s="4">
        <f t="shared" si="27"/>
        <v>13</v>
      </c>
      <c r="D152" s="4">
        <f t="shared" si="28"/>
        <v>23</v>
      </c>
      <c r="E152" s="4" t="str">
        <f t="shared" si="30"/>
        <v>1323</v>
      </c>
      <c r="F152" s="4">
        <f t="shared" si="29"/>
        <v>1</v>
      </c>
    </row>
    <row r="153" spans="1:6" x14ac:dyDescent="0.15">
      <c r="A153" s="26">
        <f>テスト!B153</f>
        <v>14</v>
      </c>
      <c r="B153" s="4">
        <f>テスト!C153</f>
        <v>11</v>
      </c>
      <c r="C153" s="4">
        <f t="shared" si="27"/>
        <v>14</v>
      </c>
      <c r="D153" s="4">
        <f t="shared" si="28"/>
        <v>11</v>
      </c>
      <c r="E153" s="4" t="str">
        <f t="shared" si="30"/>
        <v>1411</v>
      </c>
      <c r="F153" s="4">
        <f t="shared" si="29"/>
        <v>1</v>
      </c>
    </row>
    <row r="154" spans="1:6" x14ac:dyDescent="0.15">
      <c r="A154" s="26">
        <f>テスト!B154</f>
        <v>15</v>
      </c>
      <c r="B154" s="4">
        <f>テスト!C154</f>
        <v>10</v>
      </c>
      <c r="C154" s="4">
        <f t="shared" si="27"/>
        <v>15</v>
      </c>
      <c r="D154" s="4">
        <f t="shared" si="28"/>
        <v>10</v>
      </c>
      <c r="E154" s="4" t="str">
        <f t="shared" si="30"/>
        <v>1510</v>
      </c>
      <c r="F154" s="4">
        <f t="shared" si="29"/>
        <v>1</v>
      </c>
    </row>
    <row r="155" spans="1:6" x14ac:dyDescent="0.15">
      <c r="A155" s="26">
        <f>テスト!B155</f>
        <v>21</v>
      </c>
      <c r="B155" s="4">
        <f>テスト!C155</f>
        <v>35</v>
      </c>
      <c r="C155" s="4">
        <f t="shared" si="27"/>
        <v>21</v>
      </c>
      <c r="D155" s="4">
        <f t="shared" si="28"/>
        <v>35</v>
      </c>
      <c r="E155" s="4" t="str">
        <f t="shared" si="30"/>
        <v>2135</v>
      </c>
      <c r="F155" s="4">
        <f t="shared" si="29"/>
        <v>1</v>
      </c>
    </row>
    <row r="156" spans="1:6" x14ac:dyDescent="0.15">
      <c r="A156" s="26">
        <f>テスト!B156</f>
        <v>22</v>
      </c>
      <c r="B156" s="4">
        <f>テスト!C156</f>
        <v>26</v>
      </c>
      <c r="C156" s="4">
        <f t="shared" si="27"/>
        <v>22</v>
      </c>
      <c r="D156" s="4">
        <f t="shared" si="28"/>
        <v>26</v>
      </c>
      <c r="E156" s="4" t="str">
        <f t="shared" si="30"/>
        <v>2226</v>
      </c>
      <c r="F156" s="4">
        <f t="shared" si="29"/>
        <v>1</v>
      </c>
    </row>
    <row r="157" spans="1:6" x14ac:dyDescent="0.15">
      <c r="A157" s="26">
        <f>テスト!B157</f>
        <v>25</v>
      </c>
      <c r="B157" s="4">
        <f>テスト!C157</f>
        <v>25</v>
      </c>
      <c r="C157" s="4">
        <f t="shared" si="27"/>
        <v>25</v>
      </c>
      <c r="D157" s="4">
        <f t="shared" si="28"/>
        <v>25</v>
      </c>
      <c r="E157" s="4" t="str">
        <f t="shared" si="30"/>
        <v>2525</v>
      </c>
      <c r="F157" s="4">
        <f t="shared" si="29"/>
        <v>1</v>
      </c>
    </row>
    <row r="158" spans="1:6" x14ac:dyDescent="0.15">
      <c r="A158" s="26">
        <f>テスト!B158</f>
        <v>26</v>
      </c>
      <c r="B158" s="4">
        <f>テスト!C158</f>
        <v>21</v>
      </c>
      <c r="C158" s="4">
        <f t="shared" si="27"/>
        <v>26</v>
      </c>
      <c r="D158" s="4">
        <f t="shared" si="28"/>
        <v>21</v>
      </c>
      <c r="E158" s="4" t="str">
        <f t="shared" si="30"/>
        <v>2621</v>
      </c>
      <c r="F158" s="4">
        <f t="shared" si="29"/>
        <v>1</v>
      </c>
    </row>
    <row r="159" spans="1:6" x14ac:dyDescent="0.15">
      <c r="A159" s="26">
        <f>テスト!B159</f>
        <v>27</v>
      </c>
      <c r="B159" s="4">
        <f>テスト!C159</f>
        <v>4</v>
      </c>
      <c r="C159" s="4">
        <f t="shared" si="27"/>
        <v>27</v>
      </c>
      <c r="D159" s="4" t="str">
        <f t="shared" si="28"/>
        <v>04</v>
      </c>
      <c r="E159" s="4" t="str">
        <f t="shared" si="30"/>
        <v>2704</v>
      </c>
      <c r="F159" s="4">
        <f t="shared" si="29"/>
        <v>1</v>
      </c>
    </row>
    <row r="160" spans="1:6" x14ac:dyDescent="0.15">
      <c r="A160" s="26">
        <f>テスト!B160</f>
        <v>34</v>
      </c>
      <c r="B160" s="4">
        <f>テスト!C160</f>
        <v>9</v>
      </c>
      <c r="C160" s="4">
        <f t="shared" si="27"/>
        <v>34</v>
      </c>
      <c r="D160" s="4" t="str">
        <f t="shared" si="28"/>
        <v>09</v>
      </c>
      <c r="E160" s="4" t="str">
        <f t="shared" si="30"/>
        <v>3409</v>
      </c>
      <c r="F160" s="4">
        <f t="shared" si="29"/>
        <v>1</v>
      </c>
    </row>
    <row r="161" spans="1:6" x14ac:dyDescent="0.15">
      <c r="A161" s="26"/>
      <c r="C161" s="4"/>
      <c r="D161" s="4"/>
      <c r="E161" s="4" t="str">
        <f t="shared" si="30"/>
        <v/>
      </c>
      <c r="F161" s="4"/>
    </row>
    <row r="162" spans="1:6" x14ac:dyDescent="0.15">
      <c r="A162" s="26">
        <f>テスト!B162</f>
        <v>6</v>
      </c>
      <c r="B162" s="4">
        <f>テスト!C162</f>
        <v>33</v>
      </c>
      <c r="C162" s="4" t="str">
        <f t="shared" ref="C162:C176" si="31">IF(LEN(A162)&gt;1,A162,0&amp;A162)</f>
        <v>06</v>
      </c>
      <c r="D162" s="4">
        <f t="shared" ref="D162:D176" si="32">IF(LEN(B162)&gt;1,B162,0&amp;B162)</f>
        <v>33</v>
      </c>
      <c r="E162" s="4" t="str">
        <f t="shared" si="30"/>
        <v>0633</v>
      </c>
      <c r="F162" s="4">
        <f t="shared" si="29"/>
        <v>1</v>
      </c>
    </row>
    <row r="163" spans="1:6" x14ac:dyDescent="0.15">
      <c r="A163" s="26">
        <f>テスト!B163</f>
        <v>7</v>
      </c>
      <c r="B163" s="4">
        <f>テスト!C163</f>
        <v>19</v>
      </c>
      <c r="C163" s="4" t="str">
        <f t="shared" si="31"/>
        <v>07</v>
      </c>
      <c r="D163" s="4">
        <f t="shared" si="32"/>
        <v>19</v>
      </c>
      <c r="E163" s="4" t="str">
        <f t="shared" si="30"/>
        <v>0719</v>
      </c>
      <c r="F163" s="4">
        <f t="shared" si="29"/>
        <v>1</v>
      </c>
    </row>
    <row r="164" spans="1:6" x14ac:dyDescent="0.15">
      <c r="A164" s="26">
        <f>テスト!B164</f>
        <v>8</v>
      </c>
      <c r="B164" s="4">
        <f>テスト!C164</f>
        <v>13</v>
      </c>
      <c r="C164" s="4" t="str">
        <f t="shared" si="31"/>
        <v>08</v>
      </c>
      <c r="D164" s="4">
        <f t="shared" si="32"/>
        <v>13</v>
      </c>
      <c r="E164" s="4" t="str">
        <f t="shared" si="30"/>
        <v>0813</v>
      </c>
      <c r="F164" s="4">
        <f t="shared" si="29"/>
        <v>1</v>
      </c>
    </row>
    <row r="165" spans="1:6" x14ac:dyDescent="0.15">
      <c r="A165" s="26">
        <f>テスト!B165</f>
        <v>9</v>
      </c>
      <c r="B165" s="4">
        <f>テスト!C165</f>
        <v>19</v>
      </c>
      <c r="C165" s="4" t="str">
        <f t="shared" si="31"/>
        <v>09</v>
      </c>
      <c r="D165" s="4">
        <f t="shared" si="32"/>
        <v>19</v>
      </c>
      <c r="E165" s="4" t="str">
        <f t="shared" si="30"/>
        <v>0919</v>
      </c>
      <c r="F165" s="4">
        <f t="shared" si="29"/>
        <v>1</v>
      </c>
    </row>
    <row r="166" spans="1:6" x14ac:dyDescent="0.15">
      <c r="A166" s="26">
        <f>テスト!B166</f>
        <v>10</v>
      </c>
      <c r="B166" s="4">
        <f>テスト!C166</f>
        <v>29</v>
      </c>
      <c r="C166" s="4">
        <f t="shared" si="31"/>
        <v>10</v>
      </c>
      <c r="D166" s="4">
        <f t="shared" si="32"/>
        <v>29</v>
      </c>
      <c r="E166" s="4" t="str">
        <f t="shared" si="30"/>
        <v>1029</v>
      </c>
      <c r="F166" s="4">
        <f t="shared" si="29"/>
        <v>1</v>
      </c>
    </row>
    <row r="167" spans="1:6" x14ac:dyDescent="0.15">
      <c r="A167" s="26">
        <f>テスト!B167</f>
        <v>13</v>
      </c>
      <c r="B167" s="4">
        <f>テスト!C167</f>
        <v>18</v>
      </c>
      <c r="C167" s="4">
        <f t="shared" si="31"/>
        <v>13</v>
      </c>
      <c r="D167" s="4">
        <f t="shared" si="32"/>
        <v>18</v>
      </c>
      <c r="E167" s="4" t="str">
        <f t="shared" si="30"/>
        <v>1318</v>
      </c>
      <c r="F167" s="4">
        <f t="shared" si="29"/>
        <v>1</v>
      </c>
    </row>
    <row r="168" spans="1:6" x14ac:dyDescent="0.15">
      <c r="A168" s="26">
        <f>テスト!B168</f>
        <v>14</v>
      </c>
      <c r="B168" s="4">
        <f>テスト!C168</f>
        <v>14</v>
      </c>
      <c r="C168" s="4">
        <f t="shared" si="31"/>
        <v>14</v>
      </c>
      <c r="D168" s="4">
        <f t="shared" si="32"/>
        <v>14</v>
      </c>
      <c r="E168" s="4" t="str">
        <f t="shared" si="30"/>
        <v>1414</v>
      </c>
      <c r="F168" s="4">
        <f t="shared" si="29"/>
        <v>1</v>
      </c>
    </row>
    <row r="169" spans="1:6" x14ac:dyDescent="0.15">
      <c r="A169" s="26">
        <f>テスト!B169</f>
        <v>15</v>
      </c>
      <c r="B169" s="4">
        <f>テスト!C169</f>
        <v>8</v>
      </c>
      <c r="C169" s="4">
        <f t="shared" si="31"/>
        <v>15</v>
      </c>
      <c r="D169" s="4" t="str">
        <f t="shared" si="32"/>
        <v>08</v>
      </c>
      <c r="E169" s="4" t="str">
        <f t="shared" si="30"/>
        <v>1508</v>
      </c>
      <c r="F169" s="4">
        <f t="shared" si="29"/>
        <v>1</v>
      </c>
    </row>
    <row r="170" spans="1:6" x14ac:dyDescent="0.15">
      <c r="A170" s="26">
        <f>テスト!B170</f>
        <v>16</v>
      </c>
      <c r="B170" s="4">
        <f>テスト!C170</f>
        <v>21</v>
      </c>
      <c r="C170" s="4">
        <f t="shared" si="31"/>
        <v>16</v>
      </c>
      <c r="D170" s="4">
        <f t="shared" si="32"/>
        <v>21</v>
      </c>
      <c r="E170" s="4" t="str">
        <f t="shared" si="30"/>
        <v>1621</v>
      </c>
      <c r="F170" s="4">
        <f t="shared" si="29"/>
        <v>1</v>
      </c>
    </row>
    <row r="171" spans="1:6" x14ac:dyDescent="0.15">
      <c r="A171" s="26">
        <f>テスト!B171</f>
        <v>21</v>
      </c>
      <c r="B171" s="4">
        <f>テスト!C171</f>
        <v>20</v>
      </c>
      <c r="C171" s="4">
        <f t="shared" si="31"/>
        <v>21</v>
      </c>
      <c r="D171" s="4">
        <f t="shared" si="32"/>
        <v>20</v>
      </c>
      <c r="E171" s="4" t="str">
        <f t="shared" si="30"/>
        <v>2120</v>
      </c>
      <c r="F171" s="4">
        <f t="shared" si="29"/>
        <v>1</v>
      </c>
    </row>
    <row r="172" spans="1:6" x14ac:dyDescent="0.15">
      <c r="A172" s="26">
        <f>テスト!B172</f>
        <v>22</v>
      </c>
      <c r="B172" s="4">
        <f>テスト!C172</f>
        <v>34</v>
      </c>
      <c r="C172" s="4">
        <f t="shared" si="31"/>
        <v>22</v>
      </c>
      <c r="D172" s="4">
        <f t="shared" si="32"/>
        <v>34</v>
      </c>
      <c r="E172" s="4" t="str">
        <f t="shared" si="30"/>
        <v>2234</v>
      </c>
      <c r="F172" s="4">
        <f t="shared" si="29"/>
        <v>1</v>
      </c>
    </row>
    <row r="173" spans="1:6" x14ac:dyDescent="0.15">
      <c r="A173" s="26">
        <f>テスト!B173</f>
        <v>24</v>
      </c>
      <c r="B173" s="4">
        <f>テスト!C173</f>
        <v>35</v>
      </c>
      <c r="C173" s="4">
        <f t="shared" si="31"/>
        <v>24</v>
      </c>
      <c r="D173" s="4">
        <f t="shared" si="32"/>
        <v>35</v>
      </c>
      <c r="E173" s="4" t="str">
        <f t="shared" si="30"/>
        <v>2435</v>
      </c>
      <c r="F173" s="4">
        <f t="shared" si="29"/>
        <v>1</v>
      </c>
    </row>
    <row r="174" spans="1:6" x14ac:dyDescent="0.15">
      <c r="A174" s="26">
        <f>テスト!B174</f>
        <v>25</v>
      </c>
      <c r="B174" s="4">
        <f>テスト!C174</f>
        <v>20</v>
      </c>
      <c r="C174" s="4">
        <f t="shared" si="31"/>
        <v>25</v>
      </c>
      <c r="D174" s="4">
        <f t="shared" si="32"/>
        <v>20</v>
      </c>
      <c r="E174" s="4" t="str">
        <f t="shared" si="30"/>
        <v>2520</v>
      </c>
      <c r="F174" s="4">
        <f t="shared" si="29"/>
        <v>1</v>
      </c>
    </row>
    <row r="175" spans="1:6" x14ac:dyDescent="0.15">
      <c r="A175" s="26">
        <f>テスト!B175</f>
        <v>26</v>
      </c>
      <c r="B175" s="4">
        <f>テスト!C175</f>
        <v>35</v>
      </c>
      <c r="C175" s="4">
        <f t="shared" si="31"/>
        <v>26</v>
      </c>
      <c r="D175" s="4">
        <f t="shared" si="32"/>
        <v>35</v>
      </c>
      <c r="E175" s="4" t="str">
        <f t="shared" si="30"/>
        <v>2635</v>
      </c>
      <c r="F175" s="4">
        <f t="shared" si="29"/>
        <v>1</v>
      </c>
    </row>
    <row r="176" spans="1:6" x14ac:dyDescent="0.15">
      <c r="A176" s="26">
        <f>テスト!B176</f>
        <v>35</v>
      </c>
      <c r="B176" s="4">
        <f>テスト!C176</f>
        <v>14</v>
      </c>
      <c r="C176" s="4">
        <f t="shared" si="31"/>
        <v>35</v>
      </c>
      <c r="D176" s="4">
        <f t="shared" si="32"/>
        <v>14</v>
      </c>
      <c r="E176" s="4" t="str">
        <f t="shared" si="30"/>
        <v>3514</v>
      </c>
      <c r="F176" s="4">
        <f t="shared" si="29"/>
        <v>1</v>
      </c>
    </row>
    <row r="177" spans="1:6" x14ac:dyDescent="0.15">
      <c r="A177" s="26"/>
      <c r="C177" s="4"/>
      <c r="D177" s="4"/>
      <c r="E177" s="4" t="str">
        <f t="shared" si="30"/>
        <v/>
      </c>
      <c r="F177" s="4"/>
    </row>
    <row r="178" spans="1:6" x14ac:dyDescent="0.15">
      <c r="A178" s="26">
        <f>テスト!B178</f>
        <v>7</v>
      </c>
      <c r="B178" s="4">
        <f>テスト!C178</f>
        <v>35</v>
      </c>
      <c r="C178" s="4" t="str">
        <f t="shared" ref="C178:C192" si="33">IF(LEN(A178)&gt;1,A178,0&amp;A178)</f>
        <v>07</v>
      </c>
      <c r="D178" s="4">
        <f t="shared" ref="D178:D192" si="34">IF(LEN(B178)&gt;1,B178,0&amp;B178)</f>
        <v>35</v>
      </c>
      <c r="E178" s="4" t="str">
        <f t="shared" si="30"/>
        <v>0735</v>
      </c>
      <c r="F178" s="4">
        <f t="shared" si="29"/>
        <v>1</v>
      </c>
    </row>
    <row r="179" spans="1:6" x14ac:dyDescent="0.15">
      <c r="A179" s="26">
        <f>テスト!B179</f>
        <v>8</v>
      </c>
      <c r="B179" s="4">
        <f>テスト!C179</f>
        <v>21</v>
      </c>
      <c r="C179" s="4" t="str">
        <f t="shared" si="33"/>
        <v>08</v>
      </c>
      <c r="D179" s="4">
        <f t="shared" si="34"/>
        <v>21</v>
      </c>
      <c r="E179" s="4" t="str">
        <f t="shared" si="30"/>
        <v>0821</v>
      </c>
      <c r="F179" s="4">
        <f t="shared" si="29"/>
        <v>1</v>
      </c>
    </row>
    <row r="180" spans="1:6" x14ac:dyDescent="0.15">
      <c r="A180" s="26">
        <f>テスト!B180</f>
        <v>9</v>
      </c>
      <c r="B180" s="4">
        <f>テスト!C180</f>
        <v>5</v>
      </c>
      <c r="C180" s="4" t="str">
        <f t="shared" si="33"/>
        <v>09</v>
      </c>
      <c r="D180" s="4" t="str">
        <f t="shared" si="34"/>
        <v>05</v>
      </c>
      <c r="E180" s="4" t="str">
        <f t="shared" si="30"/>
        <v>0905</v>
      </c>
      <c r="F180" s="4">
        <f t="shared" si="29"/>
        <v>1</v>
      </c>
    </row>
    <row r="181" spans="1:6" x14ac:dyDescent="0.15">
      <c r="A181" s="26">
        <f>テスト!B181</f>
        <v>10</v>
      </c>
      <c r="B181" s="4">
        <f>テスト!C181</f>
        <v>21</v>
      </c>
      <c r="C181" s="4">
        <f t="shared" si="33"/>
        <v>10</v>
      </c>
      <c r="D181" s="4">
        <f t="shared" si="34"/>
        <v>21</v>
      </c>
      <c r="E181" s="4" t="str">
        <f t="shared" si="30"/>
        <v>1021</v>
      </c>
      <c r="F181" s="4">
        <f t="shared" si="29"/>
        <v>1</v>
      </c>
    </row>
    <row r="182" spans="1:6" x14ac:dyDescent="0.15">
      <c r="A182" s="26">
        <f>テスト!B182</f>
        <v>1</v>
      </c>
      <c r="B182" s="4">
        <f>テスト!C182</f>
        <v>13</v>
      </c>
      <c r="C182" s="4" t="str">
        <f t="shared" si="33"/>
        <v>01</v>
      </c>
      <c r="D182" s="4">
        <f t="shared" si="34"/>
        <v>13</v>
      </c>
      <c r="E182" s="4" t="str">
        <f t="shared" si="30"/>
        <v>0113</v>
      </c>
      <c r="F182" s="4">
        <f t="shared" si="29"/>
        <v>1</v>
      </c>
    </row>
    <row r="183" spans="1:6" x14ac:dyDescent="0.15">
      <c r="A183" s="26">
        <f>テスト!B183</f>
        <v>12</v>
      </c>
      <c r="B183" s="4">
        <f>テスト!C183</f>
        <v>7</v>
      </c>
      <c r="C183" s="4">
        <f t="shared" si="33"/>
        <v>12</v>
      </c>
      <c r="D183" s="4" t="str">
        <f t="shared" si="34"/>
        <v>07</v>
      </c>
      <c r="E183" s="4" t="str">
        <f t="shared" si="30"/>
        <v>1207</v>
      </c>
      <c r="F183" s="4">
        <f t="shared" si="29"/>
        <v>1</v>
      </c>
    </row>
    <row r="184" spans="1:6" x14ac:dyDescent="0.15">
      <c r="A184" s="26">
        <f>テスト!B184</f>
        <v>13</v>
      </c>
      <c r="B184" s="4">
        <f>テスト!C184</f>
        <v>3</v>
      </c>
      <c r="C184" s="4">
        <f t="shared" si="33"/>
        <v>13</v>
      </c>
      <c r="D184" s="4" t="str">
        <f t="shared" si="34"/>
        <v>03</v>
      </c>
      <c r="E184" s="4" t="str">
        <f t="shared" si="30"/>
        <v>1303</v>
      </c>
      <c r="F184" s="4">
        <f t="shared" si="29"/>
        <v>1</v>
      </c>
    </row>
    <row r="185" spans="1:6" x14ac:dyDescent="0.15">
      <c r="A185" s="26">
        <f>テスト!B185</f>
        <v>14</v>
      </c>
      <c r="B185" s="4">
        <f>テスト!C185</f>
        <v>30</v>
      </c>
      <c r="C185" s="4">
        <f t="shared" si="33"/>
        <v>14</v>
      </c>
      <c r="D185" s="4">
        <f t="shared" si="34"/>
        <v>30</v>
      </c>
      <c r="E185" s="4" t="str">
        <f t="shared" si="30"/>
        <v>1430</v>
      </c>
      <c r="F185" s="4">
        <f t="shared" si="29"/>
        <v>1</v>
      </c>
    </row>
    <row r="186" spans="1:6" x14ac:dyDescent="0.15">
      <c r="A186" s="26">
        <f>テスト!B186</f>
        <v>15</v>
      </c>
      <c r="B186" s="4">
        <f>テスト!C186</f>
        <v>24</v>
      </c>
      <c r="C186" s="4">
        <f t="shared" si="33"/>
        <v>15</v>
      </c>
      <c r="D186" s="4">
        <f t="shared" si="34"/>
        <v>24</v>
      </c>
      <c r="E186" s="4" t="str">
        <f t="shared" si="30"/>
        <v>1524</v>
      </c>
      <c r="F186" s="4">
        <f t="shared" si="29"/>
        <v>1</v>
      </c>
    </row>
    <row r="187" spans="1:6" x14ac:dyDescent="0.15">
      <c r="A187" s="26">
        <f>テスト!B187</f>
        <v>21</v>
      </c>
      <c r="B187" s="4">
        <f>テスト!C187</f>
        <v>4</v>
      </c>
      <c r="C187" s="4">
        <f t="shared" si="33"/>
        <v>21</v>
      </c>
      <c r="D187" s="4" t="str">
        <f t="shared" si="34"/>
        <v>04</v>
      </c>
      <c r="E187" s="4" t="str">
        <f t="shared" si="30"/>
        <v>2104</v>
      </c>
      <c r="F187" s="4">
        <f t="shared" si="29"/>
        <v>1</v>
      </c>
    </row>
    <row r="188" spans="1:6" x14ac:dyDescent="0.15">
      <c r="A188" s="26">
        <f>テスト!B188</f>
        <v>22</v>
      </c>
      <c r="B188" s="4">
        <f>テスト!C188</f>
        <v>52</v>
      </c>
      <c r="C188" s="4">
        <f t="shared" si="33"/>
        <v>22</v>
      </c>
      <c r="D188" s="4">
        <f t="shared" si="34"/>
        <v>52</v>
      </c>
      <c r="E188" s="4" t="str">
        <f t="shared" si="30"/>
        <v>2252</v>
      </c>
      <c r="F188" s="4">
        <f t="shared" si="29"/>
        <v>1</v>
      </c>
    </row>
    <row r="189" spans="1:6" x14ac:dyDescent="0.15">
      <c r="A189" s="26">
        <f>テスト!B189</f>
        <v>23</v>
      </c>
      <c r="B189" s="4">
        <f>テスト!C189</f>
        <v>29</v>
      </c>
      <c r="C189" s="4">
        <f t="shared" si="33"/>
        <v>23</v>
      </c>
      <c r="D189" s="4">
        <f t="shared" si="34"/>
        <v>29</v>
      </c>
      <c r="E189" s="4" t="str">
        <f t="shared" si="30"/>
        <v>2329</v>
      </c>
      <c r="F189" s="4">
        <f t="shared" si="29"/>
        <v>1</v>
      </c>
    </row>
    <row r="190" spans="1:6" x14ac:dyDescent="0.15">
      <c r="A190" s="26">
        <f>テスト!B190</f>
        <v>24</v>
      </c>
      <c r="B190" s="4">
        <f>テスト!C190</f>
        <v>19</v>
      </c>
      <c r="C190" s="4">
        <f t="shared" si="33"/>
        <v>24</v>
      </c>
      <c r="D190" s="4">
        <f t="shared" si="34"/>
        <v>19</v>
      </c>
      <c r="E190" s="4" t="str">
        <f t="shared" si="30"/>
        <v>2419</v>
      </c>
      <c r="F190" s="4">
        <f t="shared" si="29"/>
        <v>1</v>
      </c>
    </row>
    <row r="191" spans="1:6" x14ac:dyDescent="0.15">
      <c r="A191" s="26">
        <f>テスト!B191</f>
        <v>25</v>
      </c>
      <c r="B191" s="4">
        <f>テスト!C191</f>
        <v>22</v>
      </c>
      <c r="C191" s="4">
        <f t="shared" si="33"/>
        <v>25</v>
      </c>
      <c r="D191" s="4">
        <f t="shared" si="34"/>
        <v>22</v>
      </c>
      <c r="E191" s="4" t="str">
        <f t="shared" si="30"/>
        <v>2522</v>
      </c>
      <c r="F191" s="4">
        <f t="shared" si="29"/>
        <v>1</v>
      </c>
    </row>
    <row r="192" spans="1:6" x14ac:dyDescent="0.15">
      <c r="A192" s="26">
        <f>テスト!B192</f>
        <v>38</v>
      </c>
      <c r="B192" s="4">
        <f>テスト!C192</f>
        <v>8</v>
      </c>
      <c r="C192" s="4">
        <f t="shared" si="33"/>
        <v>38</v>
      </c>
      <c r="D192" s="4" t="str">
        <f t="shared" si="34"/>
        <v>08</v>
      </c>
      <c r="E192" s="4" t="str">
        <f t="shared" si="30"/>
        <v>3808</v>
      </c>
      <c r="F192" s="4">
        <f t="shared" si="29"/>
        <v>1</v>
      </c>
    </row>
    <row r="193" spans="1:6" x14ac:dyDescent="0.15">
      <c r="A193" s="26"/>
      <c r="C193" s="4"/>
      <c r="D193" s="4"/>
      <c r="E193" s="4" t="str">
        <f t="shared" si="30"/>
        <v/>
      </c>
      <c r="F193" s="4"/>
    </row>
    <row r="194" spans="1:6" x14ac:dyDescent="0.15">
      <c r="A194" s="26">
        <f>テスト!B194</f>
        <v>10</v>
      </c>
      <c r="B194" s="4">
        <f>テスト!C194</f>
        <v>33</v>
      </c>
      <c r="C194" s="4">
        <f t="shared" ref="C194:C208" si="35">IF(LEN(A194)&gt;1,A194,0&amp;A194)</f>
        <v>10</v>
      </c>
      <c r="D194" s="4">
        <f t="shared" ref="D194:D208" si="36">IF(LEN(B194)&gt;1,B194,0&amp;B194)</f>
        <v>33</v>
      </c>
      <c r="E194" s="4" t="str">
        <f t="shared" si="30"/>
        <v>1033</v>
      </c>
      <c r="F194" s="4">
        <f t="shared" si="29"/>
        <v>1</v>
      </c>
    </row>
    <row r="195" spans="1:6" x14ac:dyDescent="0.15">
      <c r="A195" s="26">
        <f>テスト!B195</f>
        <v>1</v>
      </c>
      <c r="B195" s="4">
        <f>テスト!C195</f>
        <v>30</v>
      </c>
      <c r="C195" s="4" t="str">
        <f t="shared" si="35"/>
        <v>01</v>
      </c>
      <c r="D195" s="4">
        <f t="shared" si="36"/>
        <v>30</v>
      </c>
      <c r="E195" s="4" t="str">
        <f t="shared" si="30"/>
        <v>0130</v>
      </c>
      <c r="F195" s="4">
        <f t="shared" si="29"/>
        <v>1</v>
      </c>
    </row>
    <row r="196" spans="1:6" x14ac:dyDescent="0.15">
      <c r="A196" s="26">
        <f>テスト!B196</f>
        <v>2</v>
      </c>
      <c r="B196" s="4">
        <f>テスト!C196</f>
        <v>32</v>
      </c>
      <c r="C196" s="4" t="str">
        <f t="shared" si="35"/>
        <v>02</v>
      </c>
      <c r="D196" s="4">
        <f t="shared" si="36"/>
        <v>32</v>
      </c>
      <c r="E196" s="4" t="str">
        <f t="shared" si="30"/>
        <v>0232</v>
      </c>
      <c r="F196" s="4">
        <f t="shared" si="29"/>
        <v>1</v>
      </c>
    </row>
    <row r="197" spans="1:6" x14ac:dyDescent="0.15">
      <c r="A197" s="26">
        <f>テスト!B197</f>
        <v>3</v>
      </c>
      <c r="B197" s="4">
        <f>テスト!C197</f>
        <v>34</v>
      </c>
      <c r="C197" s="4" t="str">
        <f t="shared" si="35"/>
        <v>03</v>
      </c>
      <c r="D197" s="4">
        <f t="shared" si="36"/>
        <v>34</v>
      </c>
      <c r="E197" s="4" t="str">
        <f t="shared" si="30"/>
        <v>0334</v>
      </c>
      <c r="F197" s="4">
        <f t="shared" si="29"/>
        <v>1</v>
      </c>
    </row>
    <row r="198" spans="1:6" x14ac:dyDescent="0.15">
      <c r="A198" s="26">
        <f>テスト!B198</f>
        <v>4</v>
      </c>
      <c r="B198" s="4">
        <f>テスト!C198</f>
        <v>18</v>
      </c>
      <c r="C198" s="4" t="str">
        <f t="shared" si="35"/>
        <v>04</v>
      </c>
      <c r="D198" s="4">
        <f t="shared" si="36"/>
        <v>18</v>
      </c>
      <c r="E198" s="4" t="str">
        <f t="shared" si="30"/>
        <v>0418</v>
      </c>
      <c r="F198" s="4">
        <f t="shared" si="29"/>
        <v>1</v>
      </c>
    </row>
    <row r="199" spans="1:6" x14ac:dyDescent="0.15">
      <c r="A199" s="26">
        <f>テスト!B199</f>
        <v>20</v>
      </c>
      <c r="B199" s="4">
        <f>テスト!C199</f>
        <v>6</v>
      </c>
      <c r="C199" s="4">
        <f t="shared" si="35"/>
        <v>20</v>
      </c>
      <c r="D199" s="4" t="str">
        <f t="shared" si="36"/>
        <v>06</v>
      </c>
      <c r="E199" s="4" t="str">
        <f t="shared" si="30"/>
        <v>2006</v>
      </c>
      <c r="F199" s="4">
        <f t="shared" si="29"/>
        <v>1</v>
      </c>
    </row>
    <row r="200" spans="1:6" x14ac:dyDescent="0.15">
      <c r="A200" s="26">
        <f>テスト!B200</f>
        <v>11</v>
      </c>
      <c r="B200" s="4">
        <f>テスト!C200</f>
        <v>12</v>
      </c>
      <c r="C200" s="4">
        <f t="shared" si="35"/>
        <v>11</v>
      </c>
      <c r="D200" s="4">
        <f t="shared" si="36"/>
        <v>12</v>
      </c>
      <c r="E200" s="4" t="str">
        <f t="shared" si="30"/>
        <v>1112</v>
      </c>
      <c r="F200" s="4">
        <f t="shared" si="29"/>
        <v>1</v>
      </c>
    </row>
    <row r="201" spans="1:6" x14ac:dyDescent="0.15">
      <c r="A201" s="26">
        <f>テスト!B201</f>
        <v>12</v>
      </c>
      <c r="B201" s="4">
        <f>テスト!C201</f>
        <v>29</v>
      </c>
      <c r="C201" s="4">
        <f t="shared" si="35"/>
        <v>12</v>
      </c>
      <c r="D201" s="4">
        <f t="shared" si="36"/>
        <v>29</v>
      </c>
      <c r="E201" s="4" t="str">
        <f t="shared" si="30"/>
        <v>1229</v>
      </c>
      <c r="F201" s="4">
        <f t="shared" si="29"/>
        <v>1</v>
      </c>
    </row>
    <row r="202" spans="1:6" x14ac:dyDescent="0.15">
      <c r="A202" s="26">
        <f>テスト!B202</f>
        <v>13</v>
      </c>
      <c r="B202" s="4">
        <f>テスト!C202</f>
        <v>22</v>
      </c>
      <c r="C202" s="4">
        <f t="shared" si="35"/>
        <v>13</v>
      </c>
      <c r="D202" s="4">
        <f t="shared" si="36"/>
        <v>22</v>
      </c>
      <c r="E202" s="4" t="str">
        <f t="shared" si="30"/>
        <v>1322</v>
      </c>
      <c r="F202" s="4">
        <f t="shared" si="29"/>
        <v>1</v>
      </c>
    </row>
    <row r="203" spans="1:6" x14ac:dyDescent="0.15">
      <c r="A203" s="26">
        <f>テスト!B203</f>
        <v>21</v>
      </c>
      <c r="B203" s="4">
        <f>テスト!C203</f>
        <v>28</v>
      </c>
      <c r="C203" s="4">
        <f t="shared" si="35"/>
        <v>21</v>
      </c>
      <c r="D203" s="4">
        <f t="shared" si="36"/>
        <v>28</v>
      </c>
      <c r="E203" s="4" t="str">
        <f t="shared" si="30"/>
        <v>2128</v>
      </c>
      <c r="F203" s="4">
        <f t="shared" si="29"/>
        <v>1</v>
      </c>
    </row>
    <row r="204" spans="1:6" x14ac:dyDescent="0.15">
      <c r="A204" s="26">
        <f>テスト!B204</f>
        <v>22</v>
      </c>
      <c r="B204" s="4">
        <f>テスト!C204</f>
        <v>25</v>
      </c>
      <c r="C204" s="4">
        <f t="shared" si="35"/>
        <v>22</v>
      </c>
      <c r="D204" s="4">
        <f t="shared" si="36"/>
        <v>25</v>
      </c>
      <c r="E204" s="4" t="str">
        <f t="shared" si="30"/>
        <v>2225</v>
      </c>
      <c r="F204" s="4">
        <f t="shared" si="29"/>
        <v>1</v>
      </c>
    </row>
    <row r="205" spans="1:6" x14ac:dyDescent="0.15">
      <c r="A205" s="26">
        <f>テスト!B205</f>
        <v>23</v>
      </c>
      <c r="B205" s="4">
        <f>テスト!C205</f>
        <v>22</v>
      </c>
      <c r="C205" s="4">
        <f t="shared" si="35"/>
        <v>23</v>
      </c>
      <c r="D205" s="4">
        <f t="shared" si="36"/>
        <v>22</v>
      </c>
      <c r="E205" s="4" t="str">
        <f t="shared" si="30"/>
        <v>2322</v>
      </c>
      <c r="F205" s="4">
        <f t="shared" si="29"/>
        <v>1</v>
      </c>
    </row>
    <row r="206" spans="1:6" x14ac:dyDescent="0.15">
      <c r="A206" s="26">
        <f>テスト!B206</f>
        <v>24</v>
      </c>
      <c r="B206" s="4">
        <f>テスト!C206</f>
        <v>11</v>
      </c>
      <c r="C206" s="4">
        <f t="shared" si="35"/>
        <v>24</v>
      </c>
      <c r="D206" s="4">
        <f t="shared" si="36"/>
        <v>11</v>
      </c>
      <c r="E206" s="4" t="str">
        <f t="shared" si="30"/>
        <v>2411</v>
      </c>
      <c r="F206" s="4">
        <f t="shared" si="29"/>
        <v>1</v>
      </c>
    </row>
    <row r="207" spans="1:6" x14ac:dyDescent="0.15">
      <c r="A207" s="26">
        <f>テスト!B207</f>
        <v>25</v>
      </c>
      <c r="B207" s="4">
        <f>テスト!C207</f>
        <v>21</v>
      </c>
      <c r="C207" s="4">
        <f t="shared" si="35"/>
        <v>25</v>
      </c>
      <c r="D207" s="4">
        <f t="shared" si="36"/>
        <v>21</v>
      </c>
      <c r="E207" s="4" t="str">
        <f t="shared" si="30"/>
        <v>2521</v>
      </c>
      <c r="F207" s="4">
        <f t="shared" si="29"/>
        <v>1</v>
      </c>
    </row>
    <row r="208" spans="1:6" x14ac:dyDescent="0.15">
      <c r="A208" s="26">
        <f>テスト!B208</f>
        <v>35</v>
      </c>
      <c r="B208" s="4">
        <f>テスト!C208</f>
        <v>9</v>
      </c>
      <c r="C208" s="4">
        <f t="shared" si="35"/>
        <v>35</v>
      </c>
      <c r="D208" s="4" t="str">
        <f t="shared" si="36"/>
        <v>09</v>
      </c>
      <c r="E208" s="4" t="str">
        <f t="shared" si="30"/>
        <v>3509</v>
      </c>
      <c r="F208" s="4">
        <f t="shared" si="29"/>
        <v>1</v>
      </c>
    </row>
    <row r="209" spans="1:6" x14ac:dyDescent="0.15">
      <c r="A209" s="26"/>
      <c r="C209" s="4"/>
      <c r="D209" s="4"/>
      <c r="E209" s="4" t="str">
        <f t="shared" si="30"/>
        <v/>
      </c>
      <c r="F209" s="4"/>
    </row>
    <row r="210" spans="1:6" x14ac:dyDescent="0.15">
      <c r="A210" s="26">
        <f>テスト!B210</f>
        <v>4</v>
      </c>
      <c r="B210" s="4">
        <f>テスト!C210</f>
        <v>4</v>
      </c>
      <c r="C210" s="4" t="str">
        <f t="shared" ref="C210:C224" si="37">IF(LEN(A210)&gt;1,A210,0&amp;A210)</f>
        <v>04</v>
      </c>
      <c r="D210" s="4" t="str">
        <f t="shared" ref="D210:D224" si="38">IF(LEN(B210)&gt;1,B210,0&amp;B210)</f>
        <v>04</v>
      </c>
      <c r="E210" s="4" t="str">
        <f t="shared" si="30"/>
        <v>0404</v>
      </c>
      <c r="F210" s="4">
        <f t="shared" ref="F210:F272" si="39">COUNTIF(E:E,E210)</f>
        <v>1</v>
      </c>
    </row>
    <row r="211" spans="1:6" x14ac:dyDescent="0.15">
      <c r="A211" s="26">
        <f>テスト!B211</f>
        <v>5</v>
      </c>
      <c r="B211" s="4">
        <f>テスト!C211</f>
        <v>18</v>
      </c>
      <c r="C211" s="4" t="str">
        <f t="shared" si="37"/>
        <v>05</v>
      </c>
      <c r="D211" s="4">
        <f t="shared" si="38"/>
        <v>18</v>
      </c>
      <c r="E211" s="4" t="str">
        <f t="shared" ref="E211:E274" si="40">C211&amp;D211</f>
        <v>0518</v>
      </c>
      <c r="F211" s="4">
        <f t="shared" si="39"/>
        <v>1</v>
      </c>
    </row>
    <row r="212" spans="1:6" x14ac:dyDescent="0.15">
      <c r="A212" s="26">
        <f>テスト!B212</f>
        <v>6</v>
      </c>
      <c r="B212" s="4">
        <f>テスト!C212</f>
        <v>11</v>
      </c>
      <c r="C212" s="4" t="str">
        <f t="shared" si="37"/>
        <v>06</v>
      </c>
      <c r="D212" s="4">
        <f t="shared" si="38"/>
        <v>11</v>
      </c>
      <c r="E212" s="4" t="str">
        <f t="shared" si="40"/>
        <v>0611</v>
      </c>
      <c r="F212" s="4">
        <f t="shared" si="39"/>
        <v>1</v>
      </c>
    </row>
    <row r="213" spans="1:6" x14ac:dyDescent="0.15">
      <c r="A213" s="26">
        <f>テスト!B213</f>
        <v>7</v>
      </c>
      <c r="B213" s="4">
        <f>テスト!C213</f>
        <v>33</v>
      </c>
      <c r="C213" s="4" t="str">
        <f t="shared" si="37"/>
        <v>07</v>
      </c>
      <c r="D213" s="4">
        <f t="shared" si="38"/>
        <v>33</v>
      </c>
      <c r="E213" s="4" t="str">
        <f t="shared" si="40"/>
        <v>0733</v>
      </c>
      <c r="F213" s="4">
        <f t="shared" si="39"/>
        <v>1</v>
      </c>
    </row>
    <row r="214" spans="1:6" x14ac:dyDescent="0.15">
      <c r="A214" s="26">
        <f>テスト!B214</f>
        <v>8</v>
      </c>
      <c r="B214" s="4">
        <f>テスト!C214</f>
        <v>24</v>
      </c>
      <c r="C214" s="4" t="str">
        <f t="shared" si="37"/>
        <v>08</v>
      </c>
      <c r="D214" s="4">
        <f t="shared" si="38"/>
        <v>24</v>
      </c>
      <c r="E214" s="4" t="str">
        <f t="shared" si="40"/>
        <v>0824</v>
      </c>
      <c r="F214" s="4">
        <f t="shared" si="39"/>
        <v>1</v>
      </c>
    </row>
    <row r="215" spans="1:6" x14ac:dyDescent="0.15">
      <c r="A215" s="26">
        <f>テスト!B215</f>
        <v>12</v>
      </c>
      <c r="B215" s="4">
        <f>テスト!C215</f>
        <v>9</v>
      </c>
      <c r="C215" s="4">
        <f t="shared" si="37"/>
        <v>12</v>
      </c>
      <c r="D215" s="4" t="str">
        <f t="shared" si="38"/>
        <v>09</v>
      </c>
      <c r="E215" s="4" t="str">
        <f t="shared" si="40"/>
        <v>1209</v>
      </c>
      <c r="F215" s="4">
        <f t="shared" si="39"/>
        <v>1</v>
      </c>
    </row>
    <row r="216" spans="1:6" x14ac:dyDescent="0.15">
      <c r="A216" s="26">
        <f>テスト!B216</f>
        <v>13</v>
      </c>
      <c r="B216" s="4">
        <f>テスト!C216</f>
        <v>14</v>
      </c>
      <c r="C216" s="4">
        <f t="shared" si="37"/>
        <v>13</v>
      </c>
      <c r="D216" s="4">
        <f t="shared" si="38"/>
        <v>14</v>
      </c>
      <c r="E216" s="4" t="str">
        <f t="shared" si="40"/>
        <v>1314</v>
      </c>
      <c r="F216" s="4">
        <f t="shared" si="39"/>
        <v>1</v>
      </c>
    </row>
    <row r="217" spans="1:6" x14ac:dyDescent="0.15">
      <c r="A217" s="26">
        <f>テスト!B217</f>
        <v>14</v>
      </c>
      <c r="B217" s="4">
        <f>テスト!C217</f>
        <v>6</v>
      </c>
      <c r="C217" s="4">
        <f t="shared" si="37"/>
        <v>14</v>
      </c>
      <c r="D217" s="4" t="str">
        <f t="shared" si="38"/>
        <v>06</v>
      </c>
      <c r="E217" s="4" t="str">
        <f t="shared" si="40"/>
        <v>1406</v>
      </c>
      <c r="F217" s="4">
        <f t="shared" si="39"/>
        <v>1</v>
      </c>
    </row>
    <row r="218" spans="1:6" x14ac:dyDescent="0.15">
      <c r="A218" s="26">
        <f>テスト!B218</f>
        <v>15</v>
      </c>
      <c r="B218" s="4">
        <f>テスト!C218</f>
        <v>11</v>
      </c>
      <c r="C218" s="4">
        <f t="shared" si="37"/>
        <v>15</v>
      </c>
      <c r="D218" s="4">
        <f t="shared" si="38"/>
        <v>11</v>
      </c>
      <c r="E218" s="4" t="str">
        <f t="shared" si="40"/>
        <v>1511</v>
      </c>
      <c r="F218" s="4">
        <f t="shared" si="39"/>
        <v>1</v>
      </c>
    </row>
    <row r="219" spans="1:6" x14ac:dyDescent="0.15">
      <c r="A219" s="26">
        <f>テスト!B219</f>
        <v>21</v>
      </c>
      <c r="B219" s="4">
        <f>テスト!C219</f>
        <v>8</v>
      </c>
      <c r="C219" s="4">
        <f t="shared" si="37"/>
        <v>21</v>
      </c>
      <c r="D219" s="4" t="str">
        <f t="shared" si="38"/>
        <v>08</v>
      </c>
      <c r="E219" s="4" t="str">
        <f t="shared" si="40"/>
        <v>2108</v>
      </c>
      <c r="F219" s="4">
        <f t="shared" si="39"/>
        <v>1</v>
      </c>
    </row>
    <row r="220" spans="1:6" x14ac:dyDescent="0.15">
      <c r="A220" s="26">
        <f>テスト!B220</f>
        <v>22</v>
      </c>
      <c r="B220" s="4">
        <f>テスト!C220</f>
        <v>1</v>
      </c>
      <c r="C220" s="4">
        <f t="shared" si="37"/>
        <v>22</v>
      </c>
      <c r="D220" s="4" t="str">
        <f t="shared" si="38"/>
        <v>01</v>
      </c>
      <c r="E220" s="4" t="str">
        <f t="shared" si="40"/>
        <v>2201</v>
      </c>
      <c r="F220" s="4">
        <f t="shared" si="39"/>
        <v>1</v>
      </c>
    </row>
    <row r="221" spans="1:6" x14ac:dyDescent="0.15">
      <c r="A221" s="26">
        <f>テスト!B221</f>
        <v>24</v>
      </c>
      <c r="B221" s="4">
        <f>テスト!C221</f>
        <v>15</v>
      </c>
      <c r="C221" s="4">
        <f t="shared" si="37"/>
        <v>24</v>
      </c>
      <c r="D221" s="4">
        <f t="shared" si="38"/>
        <v>15</v>
      </c>
      <c r="E221" s="4" t="str">
        <f t="shared" si="40"/>
        <v>2415</v>
      </c>
      <c r="F221" s="4">
        <f t="shared" si="39"/>
        <v>1</v>
      </c>
    </row>
    <row r="222" spans="1:6" x14ac:dyDescent="0.15">
      <c r="A222" s="26">
        <f>テスト!B222</f>
        <v>25</v>
      </c>
      <c r="B222" s="4">
        <f>テスト!C222</f>
        <v>10</v>
      </c>
      <c r="C222" s="4">
        <f t="shared" si="37"/>
        <v>25</v>
      </c>
      <c r="D222" s="4">
        <f t="shared" si="38"/>
        <v>10</v>
      </c>
      <c r="E222" s="4" t="str">
        <f t="shared" si="40"/>
        <v>2510</v>
      </c>
      <c r="F222" s="4">
        <f t="shared" si="39"/>
        <v>1</v>
      </c>
    </row>
    <row r="223" spans="1:6" x14ac:dyDescent="0.15">
      <c r="A223" s="26">
        <f>テスト!B223</f>
        <v>26</v>
      </c>
      <c r="B223" s="4">
        <f>テスト!C223</f>
        <v>30</v>
      </c>
      <c r="C223" s="4">
        <f t="shared" si="37"/>
        <v>26</v>
      </c>
      <c r="D223" s="4">
        <f t="shared" si="38"/>
        <v>30</v>
      </c>
      <c r="E223" s="4" t="str">
        <f t="shared" si="40"/>
        <v>2630</v>
      </c>
      <c r="F223" s="4">
        <f t="shared" si="39"/>
        <v>1</v>
      </c>
    </row>
    <row r="224" spans="1:6" x14ac:dyDescent="0.15">
      <c r="A224" s="26">
        <f>テスト!B224</f>
        <v>41</v>
      </c>
      <c r="B224" s="4">
        <f>テスト!C224</f>
        <v>3</v>
      </c>
      <c r="C224" s="4">
        <f t="shared" si="37"/>
        <v>41</v>
      </c>
      <c r="D224" s="4" t="str">
        <f t="shared" si="38"/>
        <v>03</v>
      </c>
      <c r="E224" s="4" t="str">
        <f t="shared" si="40"/>
        <v>4103</v>
      </c>
      <c r="F224" s="4">
        <f t="shared" si="39"/>
        <v>1</v>
      </c>
    </row>
    <row r="225" spans="1:6" x14ac:dyDescent="0.15">
      <c r="A225" s="26"/>
      <c r="C225" s="4"/>
      <c r="D225" s="4"/>
      <c r="E225" s="4" t="str">
        <f t="shared" si="40"/>
        <v/>
      </c>
      <c r="F225" s="4"/>
    </row>
    <row r="226" spans="1:6" x14ac:dyDescent="0.15">
      <c r="A226" s="26">
        <f>テスト!B226</f>
        <v>7</v>
      </c>
      <c r="B226" s="4">
        <f>テスト!C226</f>
        <v>3</v>
      </c>
      <c r="C226" s="4" t="str">
        <f t="shared" ref="C226:C240" si="41">IF(LEN(A226)&gt;1,A226,0&amp;A226)</f>
        <v>07</v>
      </c>
      <c r="D226" s="4" t="str">
        <f t="shared" ref="D226:D240" si="42">IF(LEN(B226)&gt;1,B226,0&amp;B226)</f>
        <v>03</v>
      </c>
      <c r="E226" s="4" t="str">
        <f t="shared" si="40"/>
        <v>0703</v>
      </c>
      <c r="F226" s="4">
        <f t="shared" si="39"/>
        <v>1</v>
      </c>
    </row>
    <row r="227" spans="1:6" x14ac:dyDescent="0.15">
      <c r="A227" s="26">
        <f>テスト!B227</f>
        <v>8</v>
      </c>
      <c r="B227" s="4">
        <f>テスト!C227</f>
        <v>8</v>
      </c>
      <c r="C227" s="4" t="str">
        <f t="shared" si="41"/>
        <v>08</v>
      </c>
      <c r="D227" s="4" t="str">
        <f t="shared" si="42"/>
        <v>08</v>
      </c>
      <c r="E227" s="4" t="str">
        <f t="shared" si="40"/>
        <v>0808</v>
      </c>
      <c r="F227" s="4">
        <f t="shared" si="39"/>
        <v>1</v>
      </c>
    </row>
    <row r="228" spans="1:6" x14ac:dyDescent="0.15">
      <c r="A228" s="26">
        <f>テスト!B228</f>
        <v>9</v>
      </c>
      <c r="B228" s="4">
        <f>テスト!C228</f>
        <v>7</v>
      </c>
      <c r="C228" s="4" t="str">
        <f t="shared" si="41"/>
        <v>09</v>
      </c>
      <c r="D228" s="4" t="str">
        <f t="shared" si="42"/>
        <v>07</v>
      </c>
      <c r="E228" s="4" t="str">
        <f t="shared" si="40"/>
        <v>0907</v>
      </c>
      <c r="F228" s="4">
        <f t="shared" si="39"/>
        <v>1</v>
      </c>
    </row>
    <row r="229" spans="1:6" x14ac:dyDescent="0.15">
      <c r="A229" s="26">
        <f>テスト!B229</f>
        <v>10</v>
      </c>
      <c r="B229" s="4">
        <f>テスト!C229</f>
        <v>35</v>
      </c>
      <c r="C229" s="4">
        <f t="shared" si="41"/>
        <v>10</v>
      </c>
      <c r="D229" s="4">
        <f t="shared" si="42"/>
        <v>35</v>
      </c>
      <c r="E229" s="4" t="str">
        <f t="shared" si="40"/>
        <v>1035</v>
      </c>
      <c r="F229" s="4">
        <f t="shared" si="39"/>
        <v>1</v>
      </c>
    </row>
    <row r="230" spans="1:6" x14ac:dyDescent="0.15">
      <c r="A230" s="26">
        <f>テスト!B230</f>
        <v>1</v>
      </c>
      <c r="B230" s="4">
        <f>テスト!C230</f>
        <v>26</v>
      </c>
      <c r="C230" s="4" t="str">
        <f t="shared" si="41"/>
        <v>01</v>
      </c>
      <c r="D230" s="4">
        <f t="shared" si="42"/>
        <v>26</v>
      </c>
      <c r="E230" s="4" t="str">
        <f t="shared" si="40"/>
        <v>0126</v>
      </c>
      <c r="F230" s="4">
        <f t="shared" si="39"/>
        <v>1</v>
      </c>
    </row>
    <row r="231" spans="1:6" x14ac:dyDescent="0.15">
      <c r="A231" s="26">
        <f>テスト!B231</f>
        <v>17</v>
      </c>
      <c r="B231" s="4">
        <f>テスト!C231</f>
        <v>11</v>
      </c>
      <c r="C231" s="4">
        <f t="shared" si="41"/>
        <v>17</v>
      </c>
      <c r="D231" s="4">
        <f t="shared" si="42"/>
        <v>11</v>
      </c>
      <c r="E231" s="4" t="str">
        <f t="shared" si="40"/>
        <v>1711</v>
      </c>
      <c r="F231" s="4">
        <f t="shared" si="39"/>
        <v>1</v>
      </c>
    </row>
    <row r="232" spans="1:6" x14ac:dyDescent="0.15">
      <c r="A232" s="26">
        <f>テスト!B232</f>
        <v>18</v>
      </c>
      <c r="B232" s="4">
        <f>テスト!C232</f>
        <v>15</v>
      </c>
      <c r="C232" s="4">
        <f t="shared" si="41"/>
        <v>18</v>
      </c>
      <c r="D232" s="4">
        <f t="shared" si="42"/>
        <v>15</v>
      </c>
      <c r="E232" s="4" t="str">
        <f t="shared" si="40"/>
        <v>1815</v>
      </c>
      <c r="F232" s="4">
        <f t="shared" si="39"/>
        <v>1</v>
      </c>
    </row>
    <row r="233" spans="1:6" x14ac:dyDescent="0.15">
      <c r="A233" s="26">
        <f>テスト!B233</f>
        <v>19</v>
      </c>
      <c r="B233" s="4">
        <f>テスト!C233</f>
        <v>14</v>
      </c>
      <c r="C233" s="4">
        <f t="shared" si="41"/>
        <v>19</v>
      </c>
      <c r="D233" s="4">
        <f t="shared" si="42"/>
        <v>14</v>
      </c>
      <c r="E233" s="4" t="str">
        <f t="shared" si="40"/>
        <v>1914</v>
      </c>
      <c r="F233" s="4">
        <f t="shared" si="39"/>
        <v>1</v>
      </c>
    </row>
    <row r="234" spans="1:6" x14ac:dyDescent="0.15">
      <c r="A234" s="26">
        <f>テスト!B234</f>
        <v>20</v>
      </c>
      <c r="B234" s="4">
        <f>テスト!C234</f>
        <v>9</v>
      </c>
      <c r="C234" s="4">
        <f t="shared" si="41"/>
        <v>20</v>
      </c>
      <c r="D234" s="4" t="str">
        <f t="shared" si="42"/>
        <v>09</v>
      </c>
      <c r="E234" s="4" t="str">
        <f t="shared" si="40"/>
        <v>2009</v>
      </c>
      <c r="F234" s="4">
        <f t="shared" si="39"/>
        <v>1</v>
      </c>
    </row>
    <row r="235" spans="1:6" x14ac:dyDescent="0.15">
      <c r="A235" s="26">
        <f>テスト!B235</f>
        <v>21</v>
      </c>
      <c r="B235" s="4">
        <f>テスト!C235</f>
        <v>16</v>
      </c>
      <c r="C235" s="4">
        <f t="shared" si="41"/>
        <v>21</v>
      </c>
      <c r="D235" s="4">
        <f t="shared" si="42"/>
        <v>16</v>
      </c>
      <c r="E235" s="4" t="str">
        <f t="shared" si="40"/>
        <v>2116</v>
      </c>
      <c r="F235" s="4">
        <f t="shared" si="39"/>
        <v>1</v>
      </c>
    </row>
    <row r="236" spans="1:6" x14ac:dyDescent="0.15">
      <c r="A236" s="26">
        <f>テスト!B236</f>
        <v>22</v>
      </c>
      <c r="B236" s="4">
        <f>テスト!C236</f>
        <v>24</v>
      </c>
      <c r="C236" s="4">
        <f t="shared" si="41"/>
        <v>22</v>
      </c>
      <c r="D236" s="4">
        <f t="shared" si="42"/>
        <v>24</v>
      </c>
      <c r="E236" s="4" t="str">
        <f t="shared" si="40"/>
        <v>2224</v>
      </c>
      <c r="F236" s="4">
        <f t="shared" si="39"/>
        <v>1</v>
      </c>
    </row>
    <row r="237" spans="1:6" x14ac:dyDescent="0.15">
      <c r="A237" s="26">
        <f>テスト!B237</f>
        <v>26</v>
      </c>
      <c r="B237" s="4">
        <f>テスト!C237</f>
        <v>33</v>
      </c>
      <c r="C237" s="4">
        <f t="shared" si="41"/>
        <v>26</v>
      </c>
      <c r="D237" s="4">
        <f t="shared" si="42"/>
        <v>33</v>
      </c>
      <c r="E237" s="4" t="str">
        <f t="shared" si="40"/>
        <v>2633</v>
      </c>
      <c r="F237" s="4">
        <f t="shared" si="39"/>
        <v>1</v>
      </c>
    </row>
    <row r="238" spans="1:6" x14ac:dyDescent="0.15">
      <c r="A238" s="26">
        <f>テスト!B238</f>
        <v>27</v>
      </c>
      <c r="B238" s="4">
        <f>テスト!C238</f>
        <v>2</v>
      </c>
      <c r="C238" s="4">
        <f t="shared" si="41"/>
        <v>27</v>
      </c>
      <c r="D238" s="4" t="str">
        <f t="shared" si="42"/>
        <v>02</v>
      </c>
      <c r="E238" s="4" t="str">
        <f t="shared" si="40"/>
        <v>2702</v>
      </c>
      <c r="F238" s="4">
        <f t="shared" si="39"/>
        <v>1</v>
      </c>
    </row>
    <row r="239" spans="1:6" x14ac:dyDescent="0.15">
      <c r="A239" s="26">
        <f>テスト!B239</f>
        <v>28</v>
      </c>
      <c r="B239" s="4">
        <f>テスト!C239</f>
        <v>27</v>
      </c>
      <c r="C239" s="4">
        <f t="shared" si="41"/>
        <v>28</v>
      </c>
      <c r="D239" s="4">
        <f t="shared" si="42"/>
        <v>27</v>
      </c>
      <c r="E239" s="4" t="str">
        <f t="shared" si="40"/>
        <v>2827</v>
      </c>
      <c r="F239" s="4">
        <f t="shared" si="39"/>
        <v>1</v>
      </c>
    </row>
    <row r="240" spans="1:6" x14ac:dyDescent="0.15">
      <c r="A240" s="26">
        <f>テスト!B240</f>
        <v>35</v>
      </c>
      <c r="B240" s="4">
        <f>テスト!C240</f>
        <v>3</v>
      </c>
      <c r="C240" s="4">
        <f t="shared" si="41"/>
        <v>35</v>
      </c>
      <c r="D240" s="4" t="str">
        <f t="shared" si="42"/>
        <v>03</v>
      </c>
      <c r="E240" s="4" t="str">
        <f t="shared" si="40"/>
        <v>3503</v>
      </c>
      <c r="F240" s="4">
        <f t="shared" si="39"/>
        <v>1</v>
      </c>
    </row>
    <row r="241" spans="1:6" x14ac:dyDescent="0.15">
      <c r="A241" s="26"/>
      <c r="C241" s="4"/>
      <c r="D241" s="4"/>
      <c r="E241" s="4" t="str">
        <f t="shared" si="40"/>
        <v/>
      </c>
      <c r="F241" s="4"/>
    </row>
    <row r="242" spans="1:6" x14ac:dyDescent="0.15">
      <c r="A242" s="26">
        <f>テスト!B242</f>
        <v>10</v>
      </c>
      <c r="B242" s="4">
        <f>テスト!C242</f>
        <v>2</v>
      </c>
      <c r="C242" s="4">
        <f t="shared" ref="C242:C256" si="43">IF(LEN(A242)&gt;1,A242,0&amp;A242)</f>
        <v>10</v>
      </c>
      <c r="D242" s="4" t="str">
        <f t="shared" ref="D242:D256" si="44">IF(LEN(B242)&gt;1,B242,0&amp;B242)</f>
        <v>02</v>
      </c>
      <c r="E242" s="4" t="str">
        <f t="shared" si="40"/>
        <v>1002</v>
      </c>
      <c r="F242" s="4">
        <f t="shared" si="39"/>
        <v>1</v>
      </c>
    </row>
    <row r="243" spans="1:6" x14ac:dyDescent="0.15">
      <c r="A243" s="26">
        <f>テスト!B243</f>
        <v>1</v>
      </c>
      <c r="B243" s="4">
        <f>テスト!C243</f>
        <v>12</v>
      </c>
      <c r="C243" s="4" t="str">
        <f t="shared" si="43"/>
        <v>01</v>
      </c>
      <c r="D243" s="4">
        <f t="shared" si="44"/>
        <v>12</v>
      </c>
      <c r="E243" s="4" t="str">
        <f t="shared" si="40"/>
        <v>0112</v>
      </c>
      <c r="F243" s="4">
        <f t="shared" si="39"/>
        <v>1</v>
      </c>
    </row>
    <row r="244" spans="1:6" x14ac:dyDescent="0.15">
      <c r="A244" s="26">
        <f>テスト!B244</f>
        <v>2</v>
      </c>
      <c r="B244" s="4">
        <f>テスト!C244</f>
        <v>20</v>
      </c>
      <c r="C244" s="4" t="str">
        <f t="shared" si="43"/>
        <v>02</v>
      </c>
      <c r="D244" s="4">
        <f t="shared" si="44"/>
        <v>20</v>
      </c>
      <c r="E244" s="4" t="str">
        <f t="shared" si="40"/>
        <v>0220</v>
      </c>
      <c r="F244" s="4">
        <f t="shared" si="39"/>
        <v>1</v>
      </c>
    </row>
    <row r="245" spans="1:6" x14ac:dyDescent="0.15">
      <c r="A245" s="26">
        <f>テスト!B245</f>
        <v>3</v>
      </c>
      <c r="B245" s="4">
        <f>テスト!C245</f>
        <v>18</v>
      </c>
      <c r="C245" s="4" t="str">
        <f t="shared" si="43"/>
        <v>03</v>
      </c>
      <c r="D245" s="4">
        <f t="shared" si="44"/>
        <v>18</v>
      </c>
      <c r="E245" s="4" t="str">
        <f t="shared" si="40"/>
        <v>0318</v>
      </c>
      <c r="F245" s="4">
        <f t="shared" si="39"/>
        <v>1</v>
      </c>
    </row>
    <row r="246" spans="1:6" x14ac:dyDescent="0.15">
      <c r="A246" s="26">
        <f>テスト!B246</f>
        <v>4</v>
      </c>
      <c r="B246" s="4">
        <f>テスト!C246</f>
        <v>7</v>
      </c>
      <c r="C246" s="4" t="str">
        <f t="shared" si="43"/>
        <v>04</v>
      </c>
      <c r="D246" s="4" t="str">
        <f t="shared" si="44"/>
        <v>07</v>
      </c>
      <c r="E246" s="4" t="str">
        <f t="shared" si="40"/>
        <v>0407</v>
      </c>
      <c r="F246" s="4">
        <f t="shared" si="39"/>
        <v>1</v>
      </c>
    </row>
    <row r="247" spans="1:6" x14ac:dyDescent="0.15">
      <c r="A247" s="26">
        <f>テスト!B247</f>
        <v>18</v>
      </c>
      <c r="B247" s="4">
        <f>テスト!C247</f>
        <v>30</v>
      </c>
      <c r="C247" s="4">
        <f t="shared" si="43"/>
        <v>18</v>
      </c>
      <c r="D247" s="4">
        <f t="shared" si="44"/>
        <v>30</v>
      </c>
      <c r="E247" s="4" t="str">
        <f t="shared" si="40"/>
        <v>1830</v>
      </c>
      <c r="F247" s="4">
        <f t="shared" si="39"/>
        <v>1</v>
      </c>
    </row>
    <row r="248" spans="1:6" x14ac:dyDescent="0.15">
      <c r="A248" s="26">
        <f>テスト!B248</f>
        <v>19</v>
      </c>
      <c r="B248" s="4">
        <f>テスト!C248</f>
        <v>27</v>
      </c>
      <c r="C248" s="4">
        <f t="shared" si="43"/>
        <v>19</v>
      </c>
      <c r="D248" s="4">
        <f t="shared" si="44"/>
        <v>27</v>
      </c>
      <c r="E248" s="4" t="str">
        <f t="shared" si="40"/>
        <v>1927</v>
      </c>
      <c r="F248" s="4">
        <f t="shared" si="39"/>
        <v>1</v>
      </c>
    </row>
    <row r="249" spans="1:6" x14ac:dyDescent="0.15">
      <c r="A249" s="26">
        <f>テスト!B249</f>
        <v>20</v>
      </c>
      <c r="B249" s="4">
        <f>テスト!C249</f>
        <v>5</v>
      </c>
      <c r="C249" s="4">
        <f t="shared" si="43"/>
        <v>20</v>
      </c>
      <c r="D249" s="4" t="str">
        <f t="shared" si="44"/>
        <v>05</v>
      </c>
      <c r="E249" s="4" t="str">
        <f t="shared" si="40"/>
        <v>2005</v>
      </c>
      <c r="F249" s="4">
        <f t="shared" si="39"/>
        <v>1</v>
      </c>
    </row>
    <row r="250" spans="1:6" x14ac:dyDescent="0.15">
      <c r="A250" s="26">
        <f>テスト!B250</f>
        <v>11</v>
      </c>
      <c r="B250" s="4">
        <f>テスト!C250</f>
        <v>9</v>
      </c>
      <c r="C250" s="4">
        <f t="shared" si="43"/>
        <v>11</v>
      </c>
      <c r="D250" s="4" t="str">
        <f t="shared" si="44"/>
        <v>09</v>
      </c>
      <c r="E250" s="4" t="str">
        <f t="shared" si="40"/>
        <v>1109</v>
      </c>
      <c r="F250" s="4">
        <f t="shared" si="39"/>
        <v>1</v>
      </c>
    </row>
    <row r="251" spans="1:6" x14ac:dyDescent="0.15">
      <c r="A251" s="26">
        <f>テスト!B251</f>
        <v>21</v>
      </c>
      <c r="B251" s="4">
        <f>テスト!C251</f>
        <v>11</v>
      </c>
      <c r="C251" s="4">
        <f t="shared" si="43"/>
        <v>21</v>
      </c>
      <c r="D251" s="4">
        <f t="shared" si="44"/>
        <v>11</v>
      </c>
      <c r="E251" s="4" t="str">
        <f t="shared" si="40"/>
        <v>2111</v>
      </c>
      <c r="F251" s="4">
        <f t="shared" si="39"/>
        <v>1</v>
      </c>
    </row>
    <row r="252" spans="1:6" x14ac:dyDescent="0.15">
      <c r="A252" s="26">
        <f>テスト!B252</f>
        <v>22</v>
      </c>
      <c r="B252" s="4">
        <f>テスト!C252</f>
        <v>31</v>
      </c>
      <c r="C252" s="4">
        <f t="shared" si="43"/>
        <v>22</v>
      </c>
      <c r="D252" s="4">
        <f t="shared" si="44"/>
        <v>31</v>
      </c>
      <c r="E252" s="4" t="str">
        <f t="shared" si="40"/>
        <v>2231</v>
      </c>
      <c r="F252" s="4">
        <f t="shared" si="39"/>
        <v>1</v>
      </c>
    </row>
    <row r="253" spans="1:6" x14ac:dyDescent="0.15">
      <c r="A253" s="26">
        <f>テスト!B253</f>
        <v>31</v>
      </c>
      <c r="B253" s="4">
        <f>テスト!C253</f>
        <v>21</v>
      </c>
      <c r="C253" s="4">
        <f t="shared" si="43"/>
        <v>31</v>
      </c>
      <c r="D253" s="4">
        <f t="shared" si="44"/>
        <v>21</v>
      </c>
      <c r="E253" s="4" t="str">
        <f t="shared" si="40"/>
        <v>3121</v>
      </c>
      <c r="F253" s="4">
        <f t="shared" si="39"/>
        <v>1</v>
      </c>
    </row>
    <row r="254" spans="1:6" x14ac:dyDescent="0.15">
      <c r="A254" s="26">
        <f>テスト!B254</f>
        <v>32</v>
      </c>
      <c r="B254" s="4">
        <f>テスト!C254</f>
        <v>35</v>
      </c>
      <c r="C254" s="4">
        <f t="shared" si="43"/>
        <v>32</v>
      </c>
      <c r="D254" s="4">
        <f t="shared" si="44"/>
        <v>35</v>
      </c>
      <c r="E254" s="4" t="str">
        <f t="shared" si="40"/>
        <v>3235</v>
      </c>
      <c r="F254" s="4">
        <f t="shared" si="39"/>
        <v>1</v>
      </c>
    </row>
    <row r="255" spans="1:6" x14ac:dyDescent="0.15">
      <c r="A255" s="26">
        <f>テスト!B255</f>
        <v>23</v>
      </c>
      <c r="B255" s="4">
        <f>テスト!C255</f>
        <v>28</v>
      </c>
      <c r="C255" s="4">
        <f t="shared" si="43"/>
        <v>23</v>
      </c>
      <c r="D255" s="4">
        <f t="shared" si="44"/>
        <v>28</v>
      </c>
      <c r="E255" s="4" t="str">
        <f t="shared" si="40"/>
        <v>2328</v>
      </c>
      <c r="F255" s="4">
        <f t="shared" si="39"/>
        <v>1</v>
      </c>
    </row>
    <row r="256" spans="1:6" x14ac:dyDescent="0.15">
      <c r="A256" s="26">
        <f>テスト!B256</f>
        <v>39</v>
      </c>
      <c r="B256" s="4">
        <f>テスト!C256</f>
        <v>13</v>
      </c>
      <c r="C256" s="4">
        <f t="shared" si="43"/>
        <v>39</v>
      </c>
      <c r="D256" s="4">
        <f t="shared" si="44"/>
        <v>13</v>
      </c>
      <c r="E256" s="4" t="str">
        <f t="shared" si="40"/>
        <v>3913</v>
      </c>
      <c r="F256" s="4">
        <f t="shared" si="39"/>
        <v>1</v>
      </c>
    </row>
    <row r="257" spans="1:6" x14ac:dyDescent="0.15">
      <c r="A257" s="26"/>
      <c r="C257" s="4"/>
      <c r="D257" s="4"/>
      <c r="E257" s="4" t="str">
        <f t="shared" si="40"/>
        <v/>
      </c>
      <c r="F257" s="4"/>
    </row>
    <row r="258" spans="1:6" x14ac:dyDescent="0.15">
      <c r="A258" s="26">
        <f>テスト!B258</f>
        <v>2</v>
      </c>
      <c r="B258" s="4">
        <f>テスト!C258</f>
        <v>31</v>
      </c>
      <c r="C258" s="4" t="str">
        <f t="shared" ref="C258:C272" si="45">IF(LEN(A258)&gt;1,A258,0&amp;A258)</f>
        <v>02</v>
      </c>
      <c r="D258" s="4">
        <f t="shared" ref="D258:D272" si="46">IF(LEN(B258)&gt;1,B258,0&amp;B258)</f>
        <v>31</v>
      </c>
      <c r="E258" s="4" t="str">
        <f t="shared" si="40"/>
        <v>0231</v>
      </c>
      <c r="F258" s="4">
        <f t="shared" si="39"/>
        <v>1</v>
      </c>
    </row>
    <row r="259" spans="1:6" x14ac:dyDescent="0.15">
      <c r="A259" s="26">
        <f>テスト!B259</f>
        <v>3</v>
      </c>
      <c r="B259" s="4">
        <f>テスト!C259</f>
        <v>11</v>
      </c>
      <c r="C259" s="4" t="str">
        <f t="shared" si="45"/>
        <v>03</v>
      </c>
      <c r="D259" s="4">
        <f t="shared" si="46"/>
        <v>11</v>
      </c>
      <c r="E259" s="4" t="str">
        <f t="shared" si="40"/>
        <v>0311</v>
      </c>
      <c r="F259" s="4">
        <f t="shared" si="39"/>
        <v>1</v>
      </c>
    </row>
    <row r="260" spans="1:6" x14ac:dyDescent="0.15">
      <c r="A260" s="26">
        <f>テスト!B260</f>
        <v>4</v>
      </c>
      <c r="B260" s="4">
        <f>テスト!C260</f>
        <v>28</v>
      </c>
      <c r="C260" s="4" t="str">
        <f t="shared" si="45"/>
        <v>04</v>
      </c>
      <c r="D260" s="4">
        <f t="shared" si="46"/>
        <v>28</v>
      </c>
      <c r="E260" s="4" t="str">
        <f t="shared" si="40"/>
        <v>0428</v>
      </c>
      <c r="F260" s="4">
        <f t="shared" si="39"/>
        <v>1</v>
      </c>
    </row>
    <row r="261" spans="1:6" x14ac:dyDescent="0.15">
      <c r="A261" s="26">
        <f>テスト!B261</f>
        <v>5</v>
      </c>
      <c r="B261" s="4">
        <f>テスト!C261</f>
        <v>2</v>
      </c>
      <c r="C261" s="4" t="str">
        <f t="shared" si="45"/>
        <v>05</v>
      </c>
      <c r="D261" s="4" t="str">
        <f t="shared" si="46"/>
        <v>02</v>
      </c>
      <c r="E261" s="4" t="str">
        <f t="shared" si="40"/>
        <v>0502</v>
      </c>
      <c r="F261" s="4">
        <f t="shared" si="39"/>
        <v>1</v>
      </c>
    </row>
    <row r="262" spans="1:6" x14ac:dyDescent="0.15">
      <c r="A262" s="26">
        <f>テスト!B262</f>
        <v>6</v>
      </c>
      <c r="B262" s="4">
        <f>テスト!C262</f>
        <v>21</v>
      </c>
      <c r="C262" s="4" t="str">
        <f t="shared" si="45"/>
        <v>06</v>
      </c>
      <c r="D262" s="4">
        <f t="shared" si="46"/>
        <v>21</v>
      </c>
      <c r="E262" s="4" t="str">
        <f t="shared" si="40"/>
        <v>0621</v>
      </c>
      <c r="F262" s="4">
        <f t="shared" si="39"/>
        <v>1</v>
      </c>
    </row>
    <row r="263" spans="1:6" x14ac:dyDescent="0.15">
      <c r="A263" s="26">
        <f>テスト!B263</f>
        <v>16</v>
      </c>
      <c r="B263" s="4">
        <f>テスト!C263</f>
        <v>28</v>
      </c>
      <c r="C263" s="4">
        <f t="shared" si="45"/>
        <v>16</v>
      </c>
      <c r="D263" s="4">
        <f t="shared" si="46"/>
        <v>28</v>
      </c>
      <c r="E263" s="4" t="str">
        <f t="shared" si="40"/>
        <v>1628</v>
      </c>
      <c r="F263" s="4">
        <f t="shared" si="39"/>
        <v>1</v>
      </c>
    </row>
    <row r="264" spans="1:6" x14ac:dyDescent="0.15">
      <c r="A264" s="26">
        <f>テスト!B264</f>
        <v>17</v>
      </c>
      <c r="B264" s="4">
        <f>テスト!C264</f>
        <v>7</v>
      </c>
      <c r="C264" s="4">
        <f t="shared" si="45"/>
        <v>17</v>
      </c>
      <c r="D264" s="4" t="str">
        <f t="shared" si="46"/>
        <v>07</v>
      </c>
      <c r="E264" s="4" t="str">
        <f t="shared" si="40"/>
        <v>1707</v>
      </c>
      <c r="F264" s="4">
        <f t="shared" si="39"/>
        <v>1</v>
      </c>
    </row>
    <row r="265" spans="1:6" x14ac:dyDescent="0.15">
      <c r="A265" s="26">
        <f>テスト!B265</f>
        <v>18</v>
      </c>
      <c r="B265" s="4">
        <f>テスト!C265</f>
        <v>10</v>
      </c>
      <c r="C265" s="4">
        <f t="shared" si="45"/>
        <v>18</v>
      </c>
      <c r="D265" s="4">
        <f t="shared" si="46"/>
        <v>10</v>
      </c>
      <c r="E265" s="4" t="str">
        <f t="shared" si="40"/>
        <v>1810</v>
      </c>
      <c r="F265" s="4">
        <f t="shared" si="39"/>
        <v>1</v>
      </c>
    </row>
    <row r="266" spans="1:6" x14ac:dyDescent="0.15">
      <c r="A266" s="26">
        <f>テスト!B266</f>
        <v>19</v>
      </c>
      <c r="B266" s="4">
        <f>テスト!C266</f>
        <v>4</v>
      </c>
      <c r="C266" s="4">
        <f t="shared" si="45"/>
        <v>19</v>
      </c>
      <c r="D266" s="4" t="str">
        <f t="shared" si="46"/>
        <v>04</v>
      </c>
      <c r="E266" s="4" t="str">
        <f t="shared" si="40"/>
        <v>1904</v>
      </c>
      <c r="F266" s="4">
        <f t="shared" si="39"/>
        <v>1</v>
      </c>
    </row>
    <row r="267" spans="1:6" x14ac:dyDescent="0.15">
      <c r="A267" s="26">
        <f>テスト!B267</f>
        <v>21</v>
      </c>
      <c r="B267" s="4">
        <f>テスト!C267</f>
        <v>31</v>
      </c>
      <c r="C267" s="4">
        <f t="shared" si="45"/>
        <v>21</v>
      </c>
      <c r="D267" s="4">
        <f t="shared" si="46"/>
        <v>31</v>
      </c>
      <c r="E267" s="4" t="str">
        <f t="shared" si="40"/>
        <v>2131</v>
      </c>
      <c r="F267" s="4">
        <f t="shared" si="39"/>
        <v>1</v>
      </c>
    </row>
    <row r="268" spans="1:6" x14ac:dyDescent="0.15">
      <c r="A268" s="26">
        <f>テスト!B268</f>
        <v>22</v>
      </c>
      <c r="B268" s="4">
        <f>テスト!C268</f>
        <v>59</v>
      </c>
      <c r="C268" s="4">
        <f t="shared" si="45"/>
        <v>22</v>
      </c>
      <c r="D268" s="4">
        <f t="shared" si="46"/>
        <v>59</v>
      </c>
      <c r="E268" s="4" t="str">
        <f t="shared" si="40"/>
        <v>2259</v>
      </c>
      <c r="F268" s="4">
        <f t="shared" si="39"/>
        <v>1</v>
      </c>
    </row>
    <row r="269" spans="1:6" x14ac:dyDescent="0.15">
      <c r="A269" s="26">
        <f>テスト!B269</f>
        <v>29</v>
      </c>
      <c r="B269" s="4">
        <f>テスト!C269</f>
        <v>29</v>
      </c>
      <c r="C269" s="4">
        <f t="shared" si="45"/>
        <v>29</v>
      </c>
      <c r="D269" s="4">
        <f t="shared" si="46"/>
        <v>29</v>
      </c>
      <c r="E269" s="4" t="str">
        <f t="shared" si="40"/>
        <v>2929</v>
      </c>
      <c r="F269" s="4">
        <f t="shared" si="39"/>
        <v>1</v>
      </c>
    </row>
    <row r="270" spans="1:6" x14ac:dyDescent="0.15">
      <c r="A270" s="26">
        <f>テスト!B270</f>
        <v>30</v>
      </c>
      <c r="B270" s="4">
        <f>テスト!C270</f>
        <v>20</v>
      </c>
      <c r="C270" s="4">
        <f t="shared" si="45"/>
        <v>30</v>
      </c>
      <c r="D270" s="4">
        <f t="shared" si="46"/>
        <v>20</v>
      </c>
      <c r="E270" s="4" t="str">
        <f t="shared" si="40"/>
        <v>3020</v>
      </c>
      <c r="F270" s="4">
        <f t="shared" si="39"/>
        <v>1</v>
      </c>
    </row>
    <row r="271" spans="1:6" x14ac:dyDescent="0.15">
      <c r="A271" s="26">
        <f>テスト!B271</f>
        <v>31</v>
      </c>
      <c r="B271" s="4">
        <f>テスト!C271</f>
        <v>18</v>
      </c>
      <c r="C271" s="4">
        <f t="shared" si="45"/>
        <v>31</v>
      </c>
      <c r="D271" s="4">
        <f t="shared" si="46"/>
        <v>18</v>
      </c>
      <c r="E271" s="4" t="str">
        <f t="shared" si="40"/>
        <v>3118</v>
      </c>
      <c r="F271" s="4">
        <f t="shared" si="39"/>
        <v>1</v>
      </c>
    </row>
    <row r="272" spans="1:6" x14ac:dyDescent="0.15">
      <c r="A272" s="26">
        <f>テスト!B272</f>
        <v>33</v>
      </c>
      <c r="B272" s="4">
        <f>テスト!C272</f>
        <v>8</v>
      </c>
      <c r="C272" s="4">
        <f t="shared" si="45"/>
        <v>33</v>
      </c>
      <c r="D272" s="4" t="str">
        <f t="shared" si="46"/>
        <v>08</v>
      </c>
      <c r="E272" s="4" t="str">
        <f t="shared" si="40"/>
        <v>3308</v>
      </c>
      <c r="F272" s="4">
        <f t="shared" si="39"/>
        <v>1</v>
      </c>
    </row>
    <row r="273" spans="1:6" x14ac:dyDescent="0.15">
      <c r="A273" s="26"/>
      <c r="C273" s="4"/>
      <c r="D273" s="4"/>
      <c r="E273" s="4" t="str">
        <f t="shared" si="40"/>
        <v/>
      </c>
      <c r="F273" s="4"/>
    </row>
    <row r="274" spans="1:6" x14ac:dyDescent="0.15">
      <c r="A274" s="26">
        <f>テスト!B274</f>
        <v>8</v>
      </c>
      <c r="B274" s="4">
        <f>テスト!C274</f>
        <v>28</v>
      </c>
      <c r="C274" s="4" t="str">
        <f t="shared" ref="C274:C288" si="47">IF(LEN(A274)&gt;1,A274,0&amp;A274)</f>
        <v>08</v>
      </c>
      <c r="D274" s="4">
        <f t="shared" ref="D274:D288" si="48">IF(LEN(B274)&gt;1,B274,0&amp;B274)</f>
        <v>28</v>
      </c>
      <c r="E274" s="4" t="str">
        <f t="shared" si="40"/>
        <v>0828</v>
      </c>
      <c r="F274" s="4">
        <f t="shared" ref="F274:F336" si="49">COUNTIF(E:E,E274)</f>
        <v>1</v>
      </c>
    </row>
    <row r="275" spans="1:6" x14ac:dyDescent="0.15">
      <c r="A275" s="26">
        <f>テスト!B275</f>
        <v>9</v>
      </c>
      <c r="B275" s="4">
        <f>テスト!C275</f>
        <v>20</v>
      </c>
      <c r="C275" s="4" t="str">
        <f t="shared" si="47"/>
        <v>09</v>
      </c>
      <c r="D275" s="4">
        <f t="shared" si="48"/>
        <v>20</v>
      </c>
      <c r="E275" s="4" t="str">
        <f t="shared" ref="E275:E338" si="50">C275&amp;D275</f>
        <v>0920</v>
      </c>
      <c r="F275" s="4">
        <f t="shared" si="49"/>
        <v>1</v>
      </c>
    </row>
    <row r="276" spans="1:6" x14ac:dyDescent="0.15">
      <c r="A276" s="26">
        <f>テスト!B276</f>
        <v>10</v>
      </c>
      <c r="B276" s="4">
        <f>テスト!C276</f>
        <v>5</v>
      </c>
      <c r="C276" s="4">
        <f t="shared" si="47"/>
        <v>10</v>
      </c>
      <c r="D276" s="4" t="str">
        <f t="shared" si="48"/>
        <v>05</v>
      </c>
      <c r="E276" s="4" t="str">
        <f t="shared" si="50"/>
        <v>1005</v>
      </c>
      <c r="F276" s="4">
        <f t="shared" si="49"/>
        <v>1</v>
      </c>
    </row>
    <row r="277" spans="1:6" x14ac:dyDescent="0.15">
      <c r="A277" s="26">
        <f>テスト!B277</f>
        <v>1</v>
      </c>
      <c r="B277" s="4">
        <f>テスト!C277</f>
        <v>1</v>
      </c>
      <c r="C277" s="4" t="str">
        <f t="shared" si="47"/>
        <v>01</v>
      </c>
      <c r="D277" s="4" t="str">
        <f t="shared" si="48"/>
        <v>01</v>
      </c>
      <c r="E277" s="4" t="str">
        <f t="shared" si="50"/>
        <v>0101</v>
      </c>
      <c r="F277" s="4">
        <f t="shared" si="49"/>
        <v>1</v>
      </c>
    </row>
    <row r="278" spans="1:6" x14ac:dyDescent="0.15">
      <c r="A278" s="26">
        <f>テスト!B278</f>
        <v>2</v>
      </c>
      <c r="B278" s="4">
        <f>テスト!C278</f>
        <v>6</v>
      </c>
      <c r="C278" s="4" t="str">
        <f t="shared" si="47"/>
        <v>02</v>
      </c>
      <c r="D278" s="4" t="str">
        <f t="shared" si="48"/>
        <v>06</v>
      </c>
      <c r="E278" s="4" t="str">
        <f t="shared" si="50"/>
        <v>0206</v>
      </c>
      <c r="F278" s="4">
        <f t="shared" si="49"/>
        <v>1</v>
      </c>
    </row>
    <row r="279" spans="1:6" x14ac:dyDescent="0.15">
      <c r="A279" s="26">
        <f>テスト!B279</f>
        <v>11</v>
      </c>
      <c r="B279" s="4">
        <f>テスト!C279</f>
        <v>10</v>
      </c>
      <c r="C279" s="4">
        <f t="shared" si="47"/>
        <v>11</v>
      </c>
      <c r="D279" s="4">
        <f t="shared" si="48"/>
        <v>10</v>
      </c>
      <c r="E279" s="4" t="str">
        <f t="shared" si="50"/>
        <v>1110</v>
      </c>
      <c r="F279" s="4">
        <f t="shared" si="49"/>
        <v>1</v>
      </c>
    </row>
    <row r="280" spans="1:6" x14ac:dyDescent="0.15">
      <c r="A280" s="26">
        <f>テスト!B280</f>
        <v>12</v>
      </c>
      <c r="B280" s="4">
        <f>テスト!C280</f>
        <v>25</v>
      </c>
      <c r="C280" s="4">
        <f t="shared" si="47"/>
        <v>12</v>
      </c>
      <c r="D280" s="4">
        <f t="shared" si="48"/>
        <v>25</v>
      </c>
      <c r="E280" s="4" t="str">
        <f t="shared" si="50"/>
        <v>1225</v>
      </c>
      <c r="F280" s="4">
        <f t="shared" si="49"/>
        <v>1</v>
      </c>
    </row>
    <row r="281" spans="1:6" x14ac:dyDescent="0.15">
      <c r="A281" s="26">
        <f>テスト!B281</f>
        <v>13</v>
      </c>
      <c r="B281" s="4">
        <f>テスト!C281</f>
        <v>8</v>
      </c>
      <c r="C281" s="4">
        <f t="shared" si="47"/>
        <v>13</v>
      </c>
      <c r="D281" s="4" t="str">
        <f t="shared" si="48"/>
        <v>08</v>
      </c>
      <c r="E281" s="4" t="str">
        <f t="shared" si="50"/>
        <v>1308</v>
      </c>
      <c r="F281" s="4">
        <f t="shared" si="49"/>
        <v>1</v>
      </c>
    </row>
    <row r="282" spans="1:6" x14ac:dyDescent="0.15">
      <c r="A282" s="26">
        <f>テスト!B282</f>
        <v>14</v>
      </c>
      <c r="B282" s="4">
        <f>テスト!C282</f>
        <v>12</v>
      </c>
      <c r="C282" s="4">
        <f t="shared" si="47"/>
        <v>14</v>
      </c>
      <c r="D282" s="4">
        <f t="shared" si="48"/>
        <v>12</v>
      </c>
      <c r="E282" s="4" t="str">
        <f t="shared" si="50"/>
        <v>1412</v>
      </c>
      <c r="F282" s="4">
        <f t="shared" si="49"/>
        <v>1</v>
      </c>
    </row>
    <row r="283" spans="1:6" x14ac:dyDescent="0.15">
      <c r="A283" s="26">
        <f>テスト!B283</f>
        <v>21</v>
      </c>
      <c r="B283" s="4">
        <f>テスト!C283</f>
        <v>24</v>
      </c>
      <c r="C283" s="4">
        <f t="shared" si="47"/>
        <v>21</v>
      </c>
      <c r="D283" s="4">
        <f t="shared" si="48"/>
        <v>24</v>
      </c>
      <c r="E283" s="4" t="str">
        <f t="shared" si="50"/>
        <v>2124</v>
      </c>
      <c r="F283" s="4">
        <f t="shared" si="49"/>
        <v>1</v>
      </c>
    </row>
    <row r="284" spans="1:6" x14ac:dyDescent="0.15">
      <c r="A284" s="26">
        <f>テスト!B284</f>
        <v>22</v>
      </c>
      <c r="B284" s="4">
        <f>テスト!C284</f>
        <v>50</v>
      </c>
      <c r="C284" s="4">
        <f t="shared" si="47"/>
        <v>22</v>
      </c>
      <c r="D284" s="4">
        <f t="shared" si="48"/>
        <v>50</v>
      </c>
      <c r="E284" s="4" t="str">
        <f t="shared" si="50"/>
        <v>2250</v>
      </c>
      <c r="F284" s="4">
        <f t="shared" si="49"/>
        <v>1</v>
      </c>
    </row>
    <row r="285" spans="1:6" x14ac:dyDescent="0.15">
      <c r="A285" s="26">
        <f>テスト!B285</f>
        <v>30</v>
      </c>
      <c r="B285" s="4">
        <f>テスト!C285</f>
        <v>15</v>
      </c>
      <c r="C285" s="4">
        <f t="shared" si="47"/>
        <v>30</v>
      </c>
      <c r="D285" s="4">
        <f t="shared" si="48"/>
        <v>15</v>
      </c>
      <c r="E285" s="4" t="str">
        <f t="shared" si="50"/>
        <v>3015</v>
      </c>
      <c r="F285" s="4">
        <f t="shared" si="49"/>
        <v>1</v>
      </c>
    </row>
    <row r="286" spans="1:6" x14ac:dyDescent="0.15">
      <c r="A286" s="26">
        <f>テスト!B286</f>
        <v>31</v>
      </c>
      <c r="B286" s="4">
        <f>テスト!C286</f>
        <v>34</v>
      </c>
      <c r="C286" s="4">
        <f t="shared" si="47"/>
        <v>31</v>
      </c>
      <c r="D286" s="4">
        <f t="shared" si="48"/>
        <v>34</v>
      </c>
      <c r="E286" s="4" t="str">
        <f t="shared" si="50"/>
        <v>3134</v>
      </c>
      <c r="F286" s="4">
        <f t="shared" si="49"/>
        <v>1</v>
      </c>
    </row>
    <row r="287" spans="1:6" x14ac:dyDescent="0.15">
      <c r="A287" s="26">
        <f>テスト!B287</f>
        <v>32</v>
      </c>
      <c r="B287" s="4">
        <f>テスト!C287</f>
        <v>19</v>
      </c>
      <c r="C287" s="4">
        <f t="shared" si="47"/>
        <v>32</v>
      </c>
      <c r="D287" s="4">
        <f t="shared" si="48"/>
        <v>19</v>
      </c>
      <c r="E287" s="4" t="str">
        <f t="shared" si="50"/>
        <v>3219</v>
      </c>
      <c r="F287" s="4">
        <f t="shared" si="49"/>
        <v>1</v>
      </c>
    </row>
    <row r="288" spans="1:6" x14ac:dyDescent="0.15">
      <c r="A288" s="26">
        <f>テスト!B288</f>
        <v>39</v>
      </c>
      <c r="B288" s="4">
        <f>テスト!C288</f>
        <v>12</v>
      </c>
      <c r="C288" s="4">
        <f t="shared" si="47"/>
        <v>39</v>
      </c>
      <c r="D288" s="4">
        <f t="shared" si="48"/>
        <v>12</v>
      </c>
      <c r="E288" s="4" t="str">
        <f t="shared" si="50"/>
        <v>3912</v>
      </c>
      <c r="F288" s="4">
        <f t="shared" si="49"/>
        <v>1</v>
      </c>
    </row>
    <row r="289" spans="1:6" x14ac:dyDescent="0.15">
      <c r="A289" s="26"/>
      <c r="C289" s="4"/>
      <c r="D289" s="4"/>
      <c r="E289" s="4" t="str">
        <f t="shared" si="50"/>
        <v/>
      </c>
      <c r="F289" s="4"/>
    </row>
    <row r="290" spans="1:6" x14ac:dyDescent="0.15">
      <c r="A290" s="26">
        <f>テスト!B290</f>
        <v>10</v>
      </c>
      <c r="B290" s="4">
        <f>テスト!C290</f>
        <v>27</v>
      </c>
      <c r="C290" s="4">
        <f t="shared" ref="C290:C304" si="51">IF(LEN(A290)&gt;1,A290,0&amp;A290)</f>
        <v>10</v>
      </c>
      <c r="D290" s="4">
        <f t="shared" ref="D290:D304" si="52">IF(LEN(B290)&gt;1,B290,0&amp;B290)</f>
        <v>27</v>
      </c>
      <c r="E290" s="4" t="str">
        <f t="shared" si="50"/>
        <v>1027</v>
      </c>
      <c r="F290" s="4">
        <f t="shared" si="49"/>
        <v>1</v>
      </c>
    </row>
    <row r="291" spans="1:6" x14ac:dyDescent="0.15">
      <c r="A291" s="26">
        <f>テスト!B291</f>
        <v>1</v>
      </c>
      <c r="B291" s="4">
        <f>テスト!C291</f>
        <v>7</v>
      </c>
      <c r="C291" s="4" t="str">
        <f t="shared" si="51"/>
        <v>01</v>
      </c>
      <c r="D291" s="4" t="str">
        <f t="shared" si="52"/>
        <v>07</v>
      </c>
      <c r="E291" s="4" t="str">
        <f t="shared" si="50"/>
        <v>0107</v>
      </c>
      <c r="F291" s="4">
        <f t="shared" si="49"/>
        <v>1</v>
      </c>
    </row>
    <row r="292" spans="1:6" x14ac:dyDescent="0.15">
      <c r="A292" s="26">
        <f>テスト!B292</f>
        <v>2</v>
      </c>
      <c r="B292" s="4">
        <f>テスト!C292</f>
        <v>28</v>
      </c>
      <c r="C292" s="4" t="str">
        <f t="shared" si="51"/>
        <v>02</v>
      </c>
      <c r="D292" s="4">
        <f t="shared" si="52"/>
        <v>28</v>
      </c>
      <c r="E292" s="4" t="str">
        <f t="shared" si="50"/>
        <v>0228</v>
      </c>
      <c r="F292" s="4">
        <f t="shared" si="49"/>
        <v>1</v>
      </c>
    </row>
    <row r="293" spans="1:6" x14ac:dyDescent="0.15">
      <c r="A293" s="26">
        <f>テスト!B293</f>
        <v>3</v>
      </c>
      <c r="B293" s="4">
        <f>テスト!C293</f>
        <v>31</v>
      </c>
      <c r="C293" s="4" t="str">
        <f t="shared" si="51"/>
        <v>03</v>
      </c>
      <c r="D293" s="4">
        <f t="shared" si="52"/>
        <v>31</v>
      </c>
      <c r="E293" s="4" t="str">
        <f t="shared" si="50"/>
        <v>0331</v>
      </c>
      <c r="F293" s="4">
        <f t="shared" si="49"/>
        <v>1</v>
      </c>
    </row>
    <row r="294" spans="1:6" x14ac:dyDescent="0.15">
      <c r="A294" s="26">
        <f>テスト!B294</f>
        <v>4</v>
      </c>
      <c r="B294" s="4">
        <f>テスト!C294</f>
        <v>16</v>
      </c>
      <c r="C294" s="4" t="str">
        <f t="shared" si="51"/>
        <v>04</v>
      </c>
      <c r="D294" s="4">
        <f t="shared" si="52"/>
        <v>16</v>
      </c>
      <c r="E294" s="4" t="str">
        <f t="shared" si="50"/>
        <v>0416</v>
      </c>
      <c r="F294" s="4">
        <f t="shared" si="49"/>
        <v>1</v>
      </c>
    </row>
    <row r="295" spans="1:6" x14ac:dyDescent="0.15">
      <c r="A295" s="26">
        <f>テスト!B295</f>
        <v>12</v>
      </c>
      <c r="B295" s="4">
        <f>テスト!C295</f>
        <v>2</v>
      </c>
      <c r="C295" s="4">
        <f t="shared" si="51"/>
        <v>12</v>
      </c>
      <c r="D295" s="4" t="str">
        <f t="shared" si="52"/>
        <v>02</v>
      </c>
      <c r="E295" s="4" t="str">
        <f t="shared" si="50"/>
        <v>1202</v>
      </c>
      <c r="F295" s="4">
        <f t="shared" si="49"/>
        <v>1</v>
      </c>
    </row>
    <row r="296" spans="1:6" x14ac:dyDescent="0.15">
      <c r="A296" s="26">
        <f>テスト!B296</f>
        <v>13</v>
      </c>
      <c r="B296" s="4">
        <f>テスト!C296</f>
        <v>17</v>
      </c>
      <c r="C296" s="4">
        <f t="shared" si="51"/>
        <v>13</v>
      </c>
      <c r="D296" s="4">
        <f t="shared" si="52"/>
        <v>17</v>
      </c>
      <c r="E296" s="4" t="str">
        <f t="shared" si="50"/>
        <v>1317</v>
      </c>
      <c r="F296" s="4">
        <f t="shared" si="49"/>
        <v>1</v>
      </c>
    </row>
    <row r="297" spans="1:6" x14ac:dyDescent="0.15">
      <c r="A297" s="26">
        <f>テスト!B297</f>
        <v>14</v>
      </c>
      <c r="B297" s="4">
        <f>テスト!C297</f>
        <v>10</v>
      </c>
      <c r="C297" s="4">
        <f t="shared" si="51"/>
        <v>14</v>
      </c>
      <c r="D297" s="4">
        <f t="shared" si="52"/>
        <v>10</v>
      </c>
      <c r="E297" s="4" t="str">
        <f t="shared" si="50"/>
        <v>1410</v>
      </c>
      <c r="F297" s="4">
        <f t="shared" si="49"/>
        <v>1</v>
      </c>
    </row>
    <row r="298" spans="1:6" x14ac:dyDescent="0.15">
      <c r="A298" s="26">
        <f>テスト!B298</f>
        <v>15</v>
      </c>
      <c r="B298" s="4">
        <f>テスト!C298</f>
        <v>26</v>
      </c>
      <c r="C298" s="4">
        <f t="shared" si="51"/>
        <v>15</v>
      </c>
      <c r="D298" s="4">
        <f t="shared" si="52"/>
        <v>26</v>
      </c>
      <c r="E298" s="4" t="str">
        <f t="shared" si="50"/>
        <v>1526</v>
      </c>
      <c r="F298" s="4">
        <f t="shared" si="49"/>
        <v>1</v>
      </c>
    </row>
    <row r="299" spans="1:6" x14ac:dyDescent="0.15">
      <c r="A299" s="26">
        <f>テスト!B299</f>
        <v>21</v>
      </c>
      <c r="B299" s="4">
        <f>テスト!C299</f>
        <v>2</v>
      </c>
      <c r="C299" s="4">
        <f t="shared" si="51"/>
        <v>21</v>
      </c>
      <c r="D299" s="4" t="str">
        <f t="shared" si="52"/>
        <v>02</v>
      </c>
      <c r="E299" s="4" t="str">
        <f t="shared" si="50"/>
        <v>2102</v>
      </c>
      <c r="F299" s="4">
        <f t="shared" si="49"/>
        <v>1</v>
      </c>
    </row>
    <row r="300" spans="1:6" x14ac:dyDescent="0.15">
      <c r="A300" s="26">
        <f>テスト!B300</f>
        <v>22</v>
      </c>
      <c r="B300" s="4">
        <f>テスト!C300</f>
        <v>65</v>
      </c>
      <c r="C300" s="4">
        <f t="shared" si="51"/>
        <v>22</v>
      </c>
      <c r="D300" s="4">
        <f t="shared" si="52"/>
        <v>65</v>
      </c>
      <c r="E300" s="4" t="str">
        <f t="shared" si="50"/>
        <v>2265</v>
      </c>
      <c r="F300" s="4">
        <f t="shared" si="49"/>
        <v>1</v>
      </c>
    </row>
    <row r="301" spans="1:6" x14ac:dyDescent="0.15">
      <c r="A301" s="26">
        <f>テスト!B301</f>
        <v>27</v>
      </c>
      <c r="B301" s="4">
        <f>テスト!C301</f>
        <v>23</v>
      </c>
      <c r="C301" s="4">
        <f t="shared" si="51"/>
        <v>27</v>
      </c>
      <c r="D301" s="4">
        <f t="shared" si="52"/>
        <v>23</v>
      </c>
      <c r="E301" s="4" t="str">
        <f t="shared" si="50"/>
        <v>2723</v>
      </c>
      <c r="F301" s="4">
        <f t="shared" si="49"/>
        <v>1</v>
      </c>
    </row>
    <row r="302" spans="1:6" x14ac:dyDescent="0.15">
      <c r="A302" s="26">
        <f>テスト!B302</f>
        <v>28</v>
      </c>
      <c r="B302" s="4">
        <f>テスト!C302</f>
        <v>12</v>
      </c>
      <c r="C302" s="4">
        <f t="shared" si="51"/>
        <v>28</v>
      </c>
      <c r="D302" s="4">
        <f t="shared" si="52"/>
        <v>12</v>
      </c>
      <c r="E302" s="4" t="str">
        <f t="shared" si="50"/>
        <v>2812</v>
      </c>
      <c r="F302" s="4">
        <f t="shared" si="49"/>
        <v>1</v>
      </c>
    </row>
    <row r="303" spans="1:6" x14ac:dyDescent="0.15">
      <c r="A303" s="26">
        <f>テスト!B303</f>
        <v>29</v>
      </c>
      <c r="B303" s="4">
        <f>テスト!C303</f>
        <v>15</v>
      </c>
      <c r="C303" s="4">
        <f t="shared" si="51"/>
        <v>29</v>
      </c>
      <c r="D303" s="4">
        <f t="shared" si="52"/>
        <v>15</v>
      </c>
      <c r="E303" s="4" t="str">
        <f t="shared" si="50"/>
        <v>2915</v>
      </c>
      <c r="F303" s="4">
        <f t="shared" si="49"/>
        <v>1</v>
      </c>
    </row>
    <row r="304" spans="1:6" x14ac:dyDescent="0.15">
      <c r="A304" s="26">
        <f>テスト!B304</f>
        <v>38</v>
      </c>
      <c r="B304" s="4">
        <f>テスト!C304</f>
        <v>1</v>
      </c>
      <c r="C304" s="4">
        <f t="shared" si="51"/>
        <v>38</v>
      </c>
      <c r="D304" s="4" t="str">
        <f t="shared" si="52"/>
        <v>01</v>
      </c>
      <c r="E304" s="4" t="str">
        <f t="shared" si="50"/>
        <v>3801</v>
      </c>
      <c r="F304" s="4">
        <f t="shared" si="49"/>
        <v>1</v>
      </c>
    </row>
    <row r="305" spans="1:6" x14ac:dyDescent="0.15">
      <c r="A305" s="26"/>
      <c r="C305" s="4"/>
      <c r="D305" s="4"/>
      <c r="E305" s="4" t="str">
        <f t="shared" si="50"/>
        <v/>
      </c>
      <c r="F305" s="4"/>
    </row>
    <row r="306" spans="1:6" x14ac:dyDescent="0.15">
      <c r="A306" s="26">
        <f>テスト!B306</f>
        <v>1</v>
      </c>
      <c r="B306" s="4">
        <f>テスト!C306</f>
        <v>33</v>
      </c>
      <c r="C306" s="4" t="str">
        <f t="shared" ref="C306:C320" si="53">IF(LEN(A306)&gt;1,A306,0&amp;A306)</f>
        <v>01</v>
      </c>
      <c r="D306" s="4">
        <f t="shared" ref="D306:D320" si="54">IF(LEN(B306)&gt;1,B306,0&amp;B306)</f>
        <v>33</v>
      </c>
      <c r="E306" s="4" t="str">
        <f t="shared" si="50"/>
        <v>0133</v>
      </c>
      <c r="F306" s="4">
        <f t="shared" si="49"/>
        <v>1</v>
      </c>
    </row>
    <row r="307" spans="1:6" x14ac:dyDescent="0.15">
      <c r="A307" s="26">
        <f>テスト!B307</f>
        <v>2</v>
      </c>
      <c r="B307" s="4">
        <f>テスト!C307</f>
        <v>29</v>
      </c>
      <c r="C307" s="4" t="str">
        <f t="shared" si="53"/>
        <v>02</v>
      </c>
      <c r="D307" s="4">
        <f t="shared" si="54"/>
        <v>29</v>
      </c>
      <c r="E307" s="4" t="str">
        <f t="shared" si="50"/>
        <v>0229</v>
      </c>
      <c r="F307" s="4">
        <f t="shared" si="49"/>
        <v>1</v>
      </c>
    </row>
    <row r="308" spans="1:6" x14ac:dyDescent="0.15">
      <c r="A308" s="26">
        <f>テスト!B308</f>
        <v>3</v>
      </c>
      <c r="B308" s="4">
        <f>テスト!C308</f>
        <v>28</v>
      </c>
      <c r="C308" s="4" t="str">
        <f t="shared" si="53"/>
        <v>03</v>
      </c>
      <c r="D308" s="4">
        <f t="shared" si="54"/>
        <v>28</v>
      </c>
      <c r="E308" s="4" t="str">
        <f t="shared" si="50"/>
        <v>0328</v>
      </c>
      <c r="F308" s="4">
        <f t="shared" si="49"/>
        <v>1</v>
      </c>
    </row>
    <row r="309" spans="1:6" x14ac:dyDescent="0.15">
      <c r="A309" s="26">
        <f>テスト!B309</f>
        <v>4</v>
      </c>
      <c r="B309" s="4">
        <f>テスト!C309</f>
        <v>5</v>
      </c>
      <c r="C309" s="4" t="str">
        <f t="shared" si="53"/>
        <v>04</v>
      </c>
      <c r="D309" s="4" t="str">
        <f t="shared" si="54"/>
        <v>05</v>
      </c>
      <c r="E309" s="4" t="str">
        <f t="shared" si="50"/>
        <v>0405</v>
      </c>
      <c r="F309" s="4">
        <f t="shared" si="49"/>
        <v>1</v>
      </c>
    </row>
    <row r="310" spans="1:6" x14ac:dyDescent="0.15">
      <c r="A310" s="26">
        <f>テスト!B310</f>
        <v>5</v>
      </c>
      <c r="B310" s="4">
        <f>テスト!C310</f>
        <v>1</v>
      </c>
      <c r="C310" s="4" t="str">
        <f t="shared" si="53"/>
        <v>05</v>
      </c>
      <c r="D310" s="4" t="str">
        <f t="shared" si="54"/>
        <v>01</v>
      </c>
      <c r="E310" s="4" t="str">
        <f t="shared" si="50"/>
        <v>0501</v>
      </c>
      <c r="F310" s="4">
        <f t="shared" si="49"/>
        <v>1</v>
      </c>
    </row>
    <row r="311" spans="1:6" x14ac:dyDescent="0.15">
      <c r="A311" s="26">
        <f>テスト!B311</f>
        <v>18</v>
      </c>
      <c r="B311" s="4">
        <f>テスト!C311</f>
        <v>23</v>
      </c>
      <c r="C311" s="4">
        <f t="shared" si="53"/>
        <v>18</v>
      </c>
      <c r="D311" s="4">
        <f t="shared" si="54"/>
        <v>23</v>
      </c>
      <c r="E311" s="4" t="str">
        <f t="shared" si="50"/>
        <v>1823</v>
      </c>
      <c r="F311" s="4">
        <f t="shared" si="49"/>
        <v>1</v>
      </c>
    </row>
    <row r="312" spans="1:6" x14ac:dyDescent="0.15">
      <c r="A312" s="26">
        <f>テスト!B312</f>
        <v>19</v>
      </c>
      <c r="B312" s="4">
        <f>テスト!C312</f>
        <v>10</v>
      </c>
      <c r="C312" s="4">
        <f t="shared" si="53"/>
        <v>19</v>
      </c>
      <c r="D312" s="4">
        <f t="shared" si="54"/>
        <v>10</v>
      </c>
      <c r="E312" s="4" t="str">
        <f t="shared" si="50"/>
        <v>1910</v>
      </c>
      <c r="F312" s="4">
        <f t="shared" si="49"/>
        <v>1</v>
      </c>
    </row>
    <row r="313" spans="1:6" x14ac:dyDescent="0.15">
      <c r="A313" s="26">
        <f>テスト!B313</f>
        <v>20</v>
      </c>
      <c r="B313" s="4">
        <f>テスト!C313</f>
        <v>16</v>
      </c>
      <c r="C313" s="4">
        <f t="shared" si="53"/>
        <v>20</v>
      </c>
      <c r="D313" s="4">
        <f t="shared" si="54"/>
        <v>16</v>
      </c>
      <c r="E313" s="4" t="str">
        <f t="shared" si="50"/>
        <v>2016</v>
      </c>
      <c r="F313" s="4">
        <f t="shared" si="49"/>
        <v>1</v>
      </c>
    </row>
    <row r="314" spans="1:6" x14ac:dyDescent="0.15">
      <c r="A314" s="26">
        <f>テスト!B314</f>
        <v>11</v>
      </c>
      <c r="B314" s="4">
        <f>テスト!C314</f>
        <v>1</v>
      </c>
      <c r="C314" s="4">
        <f t="shared" si="53"/>
        <v>11</v>
      </c>
      <c r="D314" s="4" t="str">
        <f t="shared" si="54"/>
        <v>01</v>
      </c>
      <c r="E314" s="4" t="str">
        <f t="shared" si="50"/>
        <v>1101</v>
      </c>
      <c r="F314" s="4">
        <f t="shared" si="49"/>
        <v>1</v>
      </c>
    </row>
    <row r="315" spans="1:6" x14ac:dyDescent="0.15">
      <c r="A315" s="26">
        <f>テスト!B315</f>
        <v>21</v>
      </c>
      <c r="B315" s="4">
        <f>テスト!C315</f>
        <v>40</v>
      </c>
      <c r="C315" s="4">
        <f t="shared" si="53"/>
        <v>21</v>
      </c>
      <c r="D315" s="4">
        <f t="shared" si="54"/>
        <v>40</v>
      </c>
      <c r="E315" s="4" t="str">
        <f t="shared" si="50"/>
        <v>2140</v>
      </c>
      <c r="F315" s="4">
        <f t="shared" si="49"/>
        <v>1</v>
      </c>
    </row>
    <row r="316" spans="1:6" x14ac:dyDescent="0.15">
      <c r="A316" s="26">
        <f>テスト!B316</f>
        <v>22</v>
      </c>
      <c r="B316" s="4">
        <f>テスト!C316</f>
        <v>54</v>
      </c>
      <c r="C316" s="4">
        <f t="shared" si="53"/>
        <v>22</v>
      </c>
      <c r="D316" s="4">
        <f t="shared" si="54"/>
        <v>54</v>
      </c>
      <c r="E316" s="4" t="str">
        <f t="shared" si="50"/>
        <v>2254</v>
      </c>
      <c r="F316" s="4">
        <f t="shared" si="49"/>
        <v>1</v>
      </c>
    </row>
    <row r="317" spans="1:6" x14ac:dyDescent="0.15">
      <c r="A317" s="26">
        <f>テスト!B317</f>
        <v>28</v>
      </c>
      <c r="B317" s="4">
        <f>テスト!C317</f>
        <v>4</v>
      </c>
      <c r="C317" s="4">
        <f t="shared" si="53"/>
        <v>28</v>
      </c>
      <c r="D317" s="4" t="str">
        <f t="shared" si="54"/>
        <v>04</v>
      </c>
      <c r="E317" s="4" t="str">
        <f t="shared" si="50"/>
        <v>2804</v>
      </c>
      <c r="F317" s="4">
        <f t="shared" si="49"/>
        <v>1</v>
      </c>
    </row>
    <row r="318" spans="1:6" x14ac:dyDescent="0.15">
      <c r="A318" s="26">
        <f>テスト!B318</f>
        <v>29</v>
      </c>
      <c r="B318" s="4">
        <f>テスト!C318</f>
        <v>32</v>
      </c>
      <c r="C318" s="4">
        <f t="shared" si="53"/>
        <v>29</v>
      </c>
      <c r="D318" s="4">
        <f t="shared" si="54"/>
        <v>32</v>
      </c>
      <c r="E318" s="4" t="str">
        <f t="shared" si="50"/>
        <v>2932</v>
      </c>
      <c r="F318" s="4">
        <f t="shared" si="49"/>
        <v>1</v>
      </c>
    </row>
    <row r="319" spans="1:6" x14ac:dyDescent="0.15">
      <c r="A319" s="26">
        <f>テスト!B319</f>
        <v>30</v>
      </c>
      <c r="B319" s="4">
        <f>テスト!C319</f>
        <v>9</v>
      </c>
      <c r="C319" s="4">
        <f t="shared" si="53"/>
        <v>30</v>
      </c>
      <c r="D319" s="4" t="str">
        <f t="shared" si="54"/>
        <v>09</v>
      </c>
      <c r="E319" s="4" t="str">
        <f t="shared" si="50"/>
        <v>3009</v>
      </c>
      <c r="F319" s="4">
        <f t="shared" si="49"/>
        <v>1</v>
      </c>
    </row>
    <row r="320" spans="1:6" x14ac:dyDescent="0.15">
      <c r="A320" s="26">
        <f>テスト!B320</f>
        <v>42</v>
      </c>
      <c r="B320" s="4">
        <f>テスト!C320</f>
        <v>11</v>
      </c>
      <c r="C320" s="4">
        <f t="shared" si="53"/>
        <v>42</v>
      </c>
      <c r="D320" s="4">
        <f t="shared" si="54"/>
        <v>11</v>
      </c>
      <c r="E320" s="4" t="str">
        <f t="shared" si="50"/>
        <v>4211</v>
      </c>
      <c r="F320" s="4">
        <f t="shared" si="49"/>
        <v>1</v>
      </c>
    </row>
    <row r="321" spans="1:6" x14ac:dyDescent="0.15">
      <c r="A321" s="26"/>
      <c r="C321" s="4"/>
      <c r="D321" s="4"/>
      <c r="E321" s="4" t="str">
        <f t="shared" si="50"/>
        <v/>
      </c>
      <c r="F321" s="4"/>
    </row>
    <row r="322" spans="1:6" x14ac:dyDescent="0.15">
      <c r="A322" s="26">
        <f>テスト!B322</f>
        <v>7</v>
      </c>
      <c r="B322" s="4">
        <f>テスト!C322</f>
        <v>4</v>
      </c>
      <c r="C322" s="4" t="str">
        <f t="shared" ref="C322:C336" si="55">IF(LEN(A322)&gt;1,A322,0&amp;A322)</f>
        <v>07</v>
      </c>
      <c r="D322" s="4" t="str">
        <f t="shared" ref="D322:D336" si="56">IF(LEN(B322)&gt;1,B322,0&amp;B322)</f>
        <v>04</v>
      </c>
      <c r="E322" s="4" t="str">
        <f t="shared" si="50"/>
        <v>0704</v>
      </c>
      <c r="F322" s="4">
        <f t="shared" si="49"/>
        <v>1</v>
      </c>
    </row>
    <row r="323" spans="1:6" x14ac:dyDescent="0.15">
      <c r="A323" s="26">
        <f>テスト!B323</f>
        <v>8</v>
      </c>
      <c r="B323" s="4">
        <f>テスト!C323</f>
        <v>32</v>
      </c>
      <c r="C323" s="4" t="str">
        <f t="shared" si="55"/>
        <v>08</v>
      </c>
      <c r="D323" s="4">
        <f t="shared" si="56"/>
        <v>32</v>
      </c>
      <c r="E323" s="4" t="str">
        <f t="shared" si="50"/>
        <v>0832</v>
      </c>
      <c r="F323" s="4">
        <f t="shared" si="49"/>
        <v>1</v>
      </c>
    </row>
    <row r="324" spans="1:6" x14ac:dyDescent="0.15">
      <c r="A324" s="26">
        <f>テスト!B324</f>
        <v>9</v>
      </c>
      <c r="B324" s="4">
        <f>テスト!C324</f>
        <v>25</v>
      </c>
      <c r="C324" s="4" t="str">
        <f t="shared" si="55"/>
        <v>09</v>
      </c>
      <c r="D324" s="4">
        <f t="shared" si="56"/>
        <v>25</v>
      </c>
      <c r="E324" s="4" t="str">
        <f t="shared" si="50"/>
        <v>0925</v>
      </c>
      <c r="F324" s="4">
        <f t="shared" si="49"/>
        <v>1</v>
      </c>
    </row>
    <row r="325" spans="1:6" x14ac:dyDescent="0.15">
      <c r="A325" s="26">
        <f>テスト!B325</f>
        <v>10</v>
      </c>
      <c r="B325" s="4">
        <f>テスト!C325</f>
        <v>18</v>
      </c>
      <c r="C325" s="4">
        <f t="shared" si="55"/>
        <v>10</v>
      </c>
      <c r="D325" s="4">
        <f t="shared" si="56"/>
        <v>18</v>
      </c>
      <c r="E325" s="4" t="str">
        <f t="shared" si="50"/>
        <v>1018</v>
      </c>
      <c r="F325" s="4">
        <f t="shared" si="49"/>
        <v>1</v>
      </c>
    </row>
    <row r="326" spans="1:6" x14ac:dyDescent="0.15">
      <c r="A326" s="26">
        <f>テスト!B326</f>
        <v>1</v>
      </c>
      <c r="B326" s="4">
        <f>テスト!C326</f>
        <v>3</v>
      </c>
      <c r="C326" s="4" t="str">
        <f t="shared" si="55"/>
        <v>01</v>
      </c>
      <c r="D326" s="4" t="str">
        <f t="shared" si="56"/>
        <v>03</v>
      </c>
      <c r="E326" s="4" t="str">
        <f t="shared" si="50"/>
        <v>0103</v>
      </c>
      <c r="F326" s="4">
        <f t="shared" si="49"/>
        <v>1</v>
      </c>
    </row>
    <row r="327" spans="1:6" x14ac:dyDescent="0.15">
      <c r="A327" s="26">
        <f>テスト!B327</f>
        <v>12</v>
      </c>
      <c r="B327" s="4">
        <f>テスト!C327</f>
        <v>12</v>
      </c>
      <c r="C327" s="4">
        <f t="shared" si="55"/>
        <v>12</v>
      </c>
      <c r="D327" s="4">
        <f t="shared" si="56"/>
        <v>12</v>
      </c>
      <c r="E327" s="4" t="str">
        <f t="shared" si="50"/>
        <v>1212</v>
      </c>
      <c r="F327" s="4">
        <f t="shared" si="49"/>
        <v>1</v>
      </c>
    </row>
    <row r="328" spans="1:6" x14ac:dyDescent="0.15">
      <c r="A328" s="26">
        <f>テスト!B328</f>
        <v>13</v>
      </c>
      <c r="B328" s="4">
        <f>テスト!C328</f>
        <v>28</v>
      </c>
      <c r="C328" s="4">
        <f t="shared" si="55"/>
        <v>13</v>
      </c>
      <c r="D328" s="4">
        <f t="shared" si="56"/>
        <v>28</v>
      </c>
      <c r="E328" s="4" t="str">
        <f t="shared" si="50"/>
        <v>1328</v>
      </c>
      <c r="F328" s="4">
        <f t="shared" si="49"/>
        <v>1</v>
      </c>
    </row>
    <row r="329" spans="1:6" x14ac:dyDescent="0.15">
      <c r="A329" s="26">
        <f>テスト!B329</f>
        <v>14</v>
      </c>
      <c r="B329" s="4">
        <f>テスト!C329</f>
        <v>20</v>
      </c>
      <c r="C329" s="4">
        <f t="shared" si="55"/>
        <v>14</v>
      </c>
      <c r="D329" s="4">
        <f t="shared" si="56"/>
        <v>20</v>
      </c>
      <c r="E329" s="4" t="str">
        <f t="shared" si="50"/>
        <v>1420</v>
      </c>
      <c r="F329" s="4">
        <f t="shared" si="49"/>
        <v>1</v>
      </c>
    </row>
    <row r="330" spans="1:6" x14ac:dyDescent="0.15">
      <c r="A330" s="26">
        <f>テスト!B330</f>
        <v>15</v>
      </c>
      <c r="B330" s="4">
        <f>テスト!C330</f>
        <v>15</v>
      </c>
      <c r="C330" s="4">
        <f t="shared" si="55"/>
        <v>15</v>
      </c>
      <c r="D330" s="4">
        <f t="shared" si="56"/>
        <v>15</v>
      </c>
      <c r="E330" s="4" t="str">
        <f t="shared" si="50"/>
        <v>1515</v>
      </c>
      <c r="F330" s="4">
        <f t="shared" si="49"/>
        <v>1</v>
      </c>
    </row>
    <row r="331" spans="1:6" x14ac:dyDescent="0.15">
      <c r="A331" s="26">
        <f>テスト!B331</f>
        <v>21</v>
      </c>
      <c r="B331" s="4">
        <f>テスト!C331</f>
        <v>1</v>
      </c>
      <c r="C331" s="4">
        <f t="shared" si="55"/>
        <v>21</v>
      </c>
      <c r="D331" s="4" t="str">
        <f t="shared" si="56"/>
        <v>01</v>
      </c>
      <c r="E331" s="4" t="str">
        <f t="shared" si="50"/>
        <v>2101</v>
      </c>
      <c r="F331" s="4">
        <f t="shared" si="49"/>
        <v>1</v>
      </c>
    </row>
    <row r="332" spans="1:6" x14ac:dyDescent="0.15">
      <c r="A332" s="26">
        <f>テスト!B332</f>
        <v>22</v>
      </c>
      <c r="B332" s="4">
        <f>テスト!C332</f>
        <v>9</v>
      </c>
      <c r="C332" s="4">
        <f t="shared" si="55"/>
        <v>22</v>
      </c>
      <c r="D332" s="4" t="str">
        <f t="shared" si="56"/>
        <v>09</v>
      </c>
      <c r="E332" s="4" t="str">
        <f t="shared" si="50"/>
        <v>2209</v>
      </c>
      <c r="F332" s="4">
        <f t="shared" si="49"/>
        <v>1</v>
      </c>
    </row>
    <row r="333" spans="1:6" x14ac:dyDescent="0.15">
      <c r="A333" s="26">
        <f>テスト!B333</f>
        <v>27</v>
      </c>
      <c r="B333" s="4">
        <f>テスト!C333</f>
        <v>11</v>
      </c>
      <c r="C333" s="4">
        <f t="shared" si="55"/>
        <v>27</v>
      </c>
      <c r="D333" s="4">
        <f t="shared" si="56"/>
        <v>11</v>
      </c>
      <c r="E333" s="4" t="str">
        <f t="shared" si="50"/>
        <v>2711</v>
      </c>
      <c r="F333" s="4">
        <f t="shared" si="49"/>
        <v>1</v>
      </c>
    </row>
    <row r="334" spans="1:6" x14ac:dyDescent="0.15">
      <c r="A334" s="26">
        <f>テスト!B334</f>
        <v>28</v>
      </c>
      <c r="B334" s="4">
        <f>テスト!C334</f>
        <v>31</v>
      </c>
      <c r="C334" s="4">
        <f t="shared" si="55"/>
        <v>28</v>
      </c>
      <c r="D334" s="4">
        <f t="shared" si="56"/>
        <v>31</v>
      </c>
      <c r="E334" s="4" t="str">
        <f t="shared" si="50"/>
        <v>2831</v>
      </c>
      <c r="F334" s="4">
        <f t="shared" si="49"/>
        <v>1</v>
      </c>
    </row>
    <row r="335" spans="1:6" x14ac:dyDescent="0.15">
      <c r="A335" s="26">
        <f>テスト!B335</f>
        <v>29</v>
      </c>
      <c r="B335" s="4">
        <f>テスト!C335</f>
        <v>27</v>
      </c>
      <c r="C335" s="4">
        <f t="shared" si="55"/>
        <v>29</v>
      </c>
      <c r="D335" s="4">
        <f t="shared" si="56"/>
        <v>27</v>
      </c>
      <c r="E335" s="4" t="str">
        <f t="shared" si="50"/>
        <v>2927</v>
      </c>
      <c r="F335" s="4">
        <f t="shared" si="49"/>
        <v>1</v>
      </c>
    </row>
    <row r="336" spans="1:6" x14ac:dyDescent="0.15">
      <c r="A336" s="26">
        <f>テスト!B336</f>
        <v>42</v>
      </c>
      <c r="B336" s="4">
        <f>テスト!C336</f>
        <v>15</v>
      </c>
      <c r="C336" s="4">
        <f t="shared" si="55"/>
        <v>42</v>
      </c>
      <c r="D336" s="4">
        <f t="shared" si="56"/>
        <v>15</v>
      </c>
      <c r="E336" s="4" t="str">
        <f t="shared" si="50"/>
        <v>4215</v>
      </c>
      <c r="F336" s="4">
        <f t="shared" si="49"/>
        <v>1</v>
      </c>
    </row>
    <row r="337" spans="1:6" x14ac:dyDescent="0.15">
      <c r="A337" s="26"/>
      <c r="C337" s="4"/>
      <c r="D337" s="4"/>
      <c r="E337" s="4" t="str">
        <f t="shared" si="50"/>
        <v/>
      </c>
      <c r="F337" s="4"/>
    </row>
    <row r="338" spans="1:6" x14ac:dyDescent="0.15">
      <c r="A338" s="26">
        <f>テスト!B338</f>
        <v>9</v>
      </c>
      <c r="B338" s="4">
        <f>テスト!C338</f>
        <v>4</v>
      </c>
      <c r="C338" s="4" t="str">
        <f t="shared" ref="C338:C352" si="57">IF(LEN(A338)&gt;1,A338,0&amp;A338)</f>
        <v>09</v>
      </c>
      <c r="D338" s="4" t="str">
        <f t="shared" ref="D338:D352" si="58">IF(LEN(B338)&gt;1,B338,0&amp;B338)</f>
        <v>04</v>
      </c>
      <c r="E338" s="4" t="str">
        <f t="shared" si="50"/>
        <v>0904</v>
      </c>
      <c r="F338" s="4">
        <f t="shared" ref="F338:F384" si="59">COUNTIF(E:E,E338)</f>
        <v>1</v>
      </c>
    </row>
    <row r="339" spans="1:6" x14ac:dyDescent="0.15">
      <c r="A339" s="26">
        <f>テスト!B339</f>
        <v>10</v>
      </c>
      <c r="B339" s="4">
        <f>テスト!C339</f>
        <v>24</v>
      </c>
      <c r="C339" s="4">
        <f t="shared" si="57"/>
        <v>10</v>
      </c>
      <c r="D339" s="4">
        <f t="shared" si="58"/>
        <v>24</v>
      </c>
      <c r="E339" s="4" t="str">
        <f t="shared" ref="E339:E384" si="60">C339&amp;D339</f>
        <v>1024</v>
      </c>
      <c r="F339" s="4">
        <f t="shared" si="59"/>
        <v>1</v>
      </c>
    </row>
    <row r="340" spans="1:6" x14ac:dyDescent="0.15">
      <c r="A340" s="26">
        <f>テスト!B340</f>
        <v>1</v>
      </c>
      <c r="B340" s="4">
        <f>テスト!C340</f>
        <v>31</v>
      </c>
      <c r="C340" s="4" t="str">
        <f t="shared" si="57"/>
        <v>01</v>
      </c>
      <c r="D340" s="4">
        <f t="shared" si="58"/>
        <v>31</v>
      </c>
      <c r="E340" s="4" t="str">
        <f t="shared" si="60"/>
        <v>0131</v>
      </c>
      <c r="F340" s="4">
        <f t="shared" si="59"/>
        <v>1</v>
      </c>
    </row>
    <row r="341" spans="1:6" x14ac:dyDescent="0.15">
      <c r="A341" s="26">
        <f>テスト!B341</f>
        <v>2</v>
      </c>
      <c r="B341" s="4">
        <f>テスト!C341</f>
        <v>24</v>
      </c>
      <c r="C341" s="4" t="str">
        <f t="shared" si="57"/>
        <v>02</v>
      </c>
      <c r="D341" s="4">
        <f t="shared" si="58"/>
        <v>24</v>
      </c>
      <c r="E341" s="4" t="str">
        <f t="shared" si="60"/>
        <v>0224</v>
      </c>
      <c r="F341" s="4">
        <f t="shared" si="59"/>
        <v>1</v>
      </c>
    </row>
    <row r="342" spans="1:6" x14ac:dyDescent="0.15">
      <c r="A342" s="26">
        <f>テスト!B342</f>
        <v>3</v>
      </c>
      <c r="B342" s="4">
        <f>テスト!C342</f>
        <v>9</v>
      </c>
      <c r="C342" s="4" t="str">
        <f t="shared" si="57"/>
        <v>03</v>
      </c>
      <c r="D342" s="4" t="str">
        <f t="shared" si="58"/>
        <v>09</v>
      </c>
      <c r="E342" s="4" t="str">
        <f t="shared" si="60"/>
        <v>0309</v>
      </c>
      <c r="F342" s="4">
        <f t="shared" si="59"/>
        <v>1</v>
      </c>
    </row>
    <row r="343" spans="1:6" x14ac:dyDescent="0.15">
      <c r="A343" s="26">
        <f>テスト!B343</f>
        <v>17</v>
      </c>
      <c r="B343" s="4">
        <f>テスト!C343</f>
        <v>28</v>
      </c>
      <c r="C343" s="4">
        <f t="shared" si="57"/>
        <v>17</v>
      </c>
      <c r="D343" s="4">
        <f t="shared" si="58"/>
        <v>28</v>
      </c>
      <c r="E343" s="4" t="str">
        <f t="shared" si="60"/>
        <v>1728</v>
      </c>
      <c r="F343" s="4">
        <f t="shared" si="59"/>
        <v>1</v>
      </c>
    </row>
    <row r="344" spans="1:6" x14ac:dyDescent="0.15">
      <c r="A344" s="26">
        <f>テスト!B344</f>
        <v>18</v>
      </c>
      <c r="B344" s="4">
        <f>テスト!C344</f>
        <v>2</v>
      </c>
      <c r="C344" s="4">
        <f t="shared" si="57"/>
        <v>18</v>
      </c>
      <c r="D344" s="4" t="str">
        <f t="shared" si="58"/>
        <v>02</v>
      </c>
      <c r="E344" s="4" t="str">
        <f t="shared" si="60"/>
        <v>1802</v>
      </c>
      <c r="F344" s="4">
        <f t="shared" si="59"/>
        <v>1</v>
      </c>
    </row>
    <row r="345" spans="1:6" x14ac:dyDescent="0.15">
      <c r="A345" s="26">
        <f>テスト!B345</f>
        <v>19</v>
      </c>
      <c r="B345" s="4">
        <f>テスト!C345</f>
        <v>6</v>
      </c>
      <c r="C345" s="4">
        <f t="shared" si="57"/>
        <v>19</v>
      </c>
      <c r="D345" s="4" t="str">
        <f t="shared" si="58"/>
        <v>06</v>
      </c>
      <c r="E345" s="4" t="str">
        <f t="shared" si="60"/>
        <v>1906</v>
      </c>
      <c r="F345" s="4">
        <f t="shared" si="59"/>
        <v>1</v>
      </c>
    </row>
    <row r="346" spans="1:6" x14ac:dyDescent="0.15">
      <c r="A346" s="26">
        <f>テスト!B346</f>
        <v>20</v>
      </c>
      <c r="B346" s="4">
        <f>テスト!C346</f>
        <v>22</v>
      </c>
      <c r="C346" s="4">
        <f t="shared" si="57"/>
        <v>20</v>
      </c>
      <c r="D346" s="4">
        <f t="shared" si="58"/>
        <v>22</v>
      </c>
      <c r="E346" s="4" t="str">
        <f t="shared" si="60"/>
        <v>2022</v>
      </c>
      <c r="F346" s="4">
        <f t="shared" si="59"/>
        <v>1</v>
      </c>
    </row>
    <row r="347" spans="1:6" x14ac:dyDescent="0.15">
      <c r="A347" s="26">
        <f>テスト!B347</f>
        <v>21</v>
      </c>
      <c r="B347" s="4">
        <f>テスト!C347</f>
        <v>36</v>
      </c>
      <c r="C347" s="4">
        <f t="shared" si="57"/>
        <v>21</v>
      </c>
      <c r="D347" s="4">
        <f t="shared" si="58"/>
        <v>36</v>
      </c>
      <c r="E347" s="4" t="str">
        <f t="shared" si="60"/>
        <v>2136</v>
      </c>
      <c r="F347" s="4">
        <f t="shared" si="59"/>
        <v>1</v>
      </c>
    </row>
    <row r="348" spans="1:6" x14ac:dyDescent="0.15">
      <c r="A348" s="26">
        <f>テスト!B348</f>
        <v>22</v>
      </c>
      <c r="B348" s="4">
        <f>テスト!C348</f>
        <v>30</v>
      </c>
      <c r="C348" s="4">
        <f t="shared" si="57"/>
        <v>22</v>
      </c>
      <c r="D348" s="4">
        <f t="shared" si="58"/>
        <v>30</v>
      </c>
      <c r="E348" s="4" t="str">
        <f t="shared" si="60"/>
        <v>2230</v>
      </c>
      <c r="F348" s="4">
        <f t="shared" si="59"/>
        <v>1</v>
      </c>
    </row>
    <row r="349" spans="1:6" x14ac:dyDescent="0.15">
      <c r="A349" s="26">
        <f>テスト!B349</f>
        <v>25</v>
      </c>
      <c r="B349" s="4">
        <f>テスト!C349</f>
        <v>15</v>
      </c>
      <c r="C349" s="4">
        <f t="shared" si="57"/>
        <v>25</v>
      </c>
      <c r="D349" s="4">
        <f t="shared" si="58"/>
        <v>15</v>
      </c>
      <c r="E349" s="4" t="str">
        <f t="shared" si="60"/>
        <v>2515</v>
      </c>
      <c r="F349" s="4">
        <f t="shared" si="59"/>
        <v>1</v>
      </c>
    </row>
    <row r="350" spans="1:6" x14ac:dyDescent="0.15">
      <c r="A350" s="26">
        <f>テスト!B350</f>
        <v>26</v>
      </c>
      <c r="B350" s="4">
        <f>テスト!C350</f>
        <v>20</v>
      </c>
      <c r="C350" s="4">
        <f t="shared" si="57"/>
        <v>26</v>
      </c>
      <c r="D350" s="4">
        <f t="shared" si="58"/>
        <v>20</v>
      </c>
      <c r="E350" s="4" t="str">
        <f t="shared" si="60"/>
        <v>2620</v>
      </c>
      <c r="F350" s="4">
        <f t="shared" si="59"/>
        <v>1</v>
      </c>
    </row>
    <row r="351" spans="1:6" x14ac:dyDescent="0.15">
      <c r="A351" s="26">
        <f>テスト!B351</f>
        <v>27</v>
      </c>
      <c r="B351" s="4">
        <f>テスト!C351</f>
        <v>16</v>
      </c>
      <c r="C351" s="4">
        <f t="shared" si="57"/>
        <v>27</v>
      </c>
      <c r="D351" s="4">
        <f t="shared" si="58"/>
        <v>16</v>
      </c>
      <c r="E351" s="4" t="str">
        <f t="shared" si="60"/>
        <v>2716</v>
      </c>
      <c r="F351" s="4">
        <f t="shared" si="59"/>
        <v>1</v>
      </c>
    </row>
    <row r="352" spans="1:6" x14ac:dyDescent="0.15">
      <c r="A352" s="26">
        <f>テスト!B352</f>
        <v>37</v>
      </c>
      <c r="B352" s="4">
        <f>テスト!C352</f>
        <v>1</v>
      </c>
      <c r="C352" s="4">
        <f t="shared" si="57"/>
        <v>37</v>
      </c>
      <c r="D352" s="4" t="str">
        <f t="shared" si="58"/>
        <v>01</v>
      </c>
      <c r="E352" s="4" t="str">
        <f t="shared" si="60"/>
        <v>3701</v>
      </c>
      <c r="F352" s="4">
        <f t="shared" si="59"/>
        <v>1</v>
      </c>
    </row>
    <row r="353" spans="1:6" x14ac:dyDescent="0.15">
      <c r="A353" s="26"/>
      <c r="C353" s="4"/>
      <c r="D353" s="4"/>
      <c r="E353" s="4" t="str">
        <f t="shared" si="60"/>
        <v/>
      </c>
      <c r="F353" s="4"/>
    </row>
    <row r="354" spans="1:6" x14ac:dyDescent="0.15">
      <c r="A354" s="26">
        <f>テスト!B354</f>
        <v>6</v>
      </c>
      <c r="B354" s="4">
        <f>テスト!C354</f>
        <v>20</v>
      </c>
      <c r="C354" s="4" t="str">
        <f t="shared" ref="C354:C368" si="61">IF(LEN(A354)&gt;1,A354,0&amp;A354)</f>
        <v>06</v>
      </c>
      <c r="D354" s="4">
        <f t="shared" ref="D354:D368" si="62">IF(LEN(B354)&gt;1,B354,0&amp;B354)</f>
        <v>20</v>
      </c>
      <c r="E354" s="4" t="str">
        <f t="shared" si="60"/>
        <v>0620</v>
      </c>
      <c r="F354" s="4">
        <f t="shared" si="59"/>
        <v>1</v>
      </c>
    </row>
    <row r="355" spans="1:6" x14ac:dyDescent="0.15">
      <c r="A355" s="26">
        <f>テスト!B355</f>
        <v>7</v>
      </c>
      <c r="B355" s="4">
        <f>テスト!C355</f>
        <v>17</v>
      </c>
      <c r="C355" s="4" t="str">
        <f t="shared" si="61"/>
        <v>07</v>
      </c>
      <c r="D355" s="4">
        <f t="shared" si="62"/>
        <v>17</v>
      </c>
      <c r="E355" s="4" t="str">
        <f t="shared" si="60"/>
        <v>0717</v>
      </c>
      <c r="F355" s="4">
        <f t="shared" si="59"/>
        <v>1</v>
      </c>
    </row>
    <row r="356" spans="1:6" x14ac:dyDescent="0.15">
      <c r="A356" s="26">
        <f>テスト!B356</f>
        <v>8</v>
      </c>
      <c r="B356" s="4">
        <f>テスト!C356</f>
        <v>18</v>
      </c>
      <c r="C356" s="4" t="str">
        <f t="shared" si="61"/>
        <v>08</v>
      </c>
      <c r="D356" s="4">
        <f t="shared" si="62"/>
        <v>18</v>
      </c>
      <c r="E356" s="4" t="str">
        <f t="shared" si="60"/>
        <v>0818</v>
      </c>
      <c r="F356" s="4">
        <f t="shared" si="59"/>
        <v>1</v>
      </c>
    </row>
    <row r="357" spans="1:6" x14ac:dyDescent="0.15">
      <c r="A357" s="26">
        <f>テスト!B357</f>
        <v>9</v>
      </c>
      <c r="B357" s="4">
        <f>テスト!C357</f>
        <v>35</v>
      </c>
      <c r="C357" s="4" t="str">
        <f t="shared" si="61"/>
        <v>09</v>
      </c>
      <c r="D357" s="4">
        <f t="shared" si="62"/>
        <v>35</v>
      </c>
      <c r="E357" s="4" t="str">
        <f t="shared" si="60"/>
        <v>0935</v>
      </c>
      <c r="F357" s="4">
        <f t="shared" si="59"/>
        <v>1</v>
      </c>
    </row>
    <row r="358" spans="1:6" x14ac:dyDescent="0.15">
      <c r="A358" s="26">
        <f>テスト!B358</f>
        <v>10</v>
      </c>
      <c r="B358" s="4">
        <f>テスト!C358</f>
        <v>32</v>
      </c>
      <c r="C358" s="4">
        <f t="shared" si="61"/>
        <v>10</v>
      </c>
      <c r="D358" s="4">
        <f t="shared" si="62"/>
        <v>32</v>
      </c>
      <c r="E358" s="4" t="str">
        <f t="shared" si="60"/>
        <v>1032</v>
      </c>
      <c r="F358" s="4">
        <f t="shared" si="59"/>
        <v>1</v>
      </c>
    </row>
    <row r="359" spans="1:6" x14ac:dyDescent="0.15">
      <c r="A359" s="26">
        <f>テスト!B359</f>
        <v>11</v>
      </c>
      <c r="B359" s="4">
        <f>テスト!C359</f>
        <v>24</v>
      </c>
      <c r="C359" s="4">
        <f t="shared" si="61"/>
        <v>11</v>
      </c>
      <c r="D359" s="4">
        <f t="shared" si="62"/>
        <v>24</v>
      </c>
      <c r="E359" s="4" t="str">
        <f t="shared" si="60"/>
        <v>1124</v>
      </c>
      <c r="F359" s="4">
        <f t="shared" si="59"/>
        <v>1</v>
      </c>
    </row>
    <row r="360" spans="1:6" x14ac:dyDescent="0.15">
      <c r="A360" s="26">
        <f>テスト!B360</f>
        <v>12</v>
      </c>
      <c r="B360" s="4">
        <f>テスト!C360</f>
        <v>3</v>
      </c>
      <c r="C360" s="4">
        <f t="shared" si="61"/>
        <v>12</v>
      </c>
      <c r="D360" s="4" t="str">
        <f t="shared" si="62"/>
        <v>03</v>
      </c>
      <c r="E360" s="4" t="str">
        <f t="shared" si="60"/>
        <v>1203</v>
      </c>
      <c r="F360" s="4">
        <f t="shared" si="59"/>
        <v>1</v>
      </c>
    </row>
    <row r="361" spans="1:6" x14ac:dyDescent="0.15">
      <c r="A361" s="26">
        <f>テスト!B361</f>
        <v>13</v>
      </c>
      <c r="B361" s="4">
        <f>テスト!C361</f>
        <v>13</v>
      </c>
      <c r="C361" s="4">
        <f t="shared" si="61"/>
        <v>13</v>
      </c>
      <c r="D361" s="4">
        <f t="shared" si="62"/>
        <v>13</v>
      </c>
      <c r="E361" s="4" t="str">
        <f t="shared" si="60"/>
        <v>1313</v>
      </c>
      <c r="F361" s="4">
        <f t="shared" si="59"/>
        <v>1</v>
      </c>
    </row>
    <row r="362" spans="1:6" x14ac:dyDescent="0.15">
      <c r="A362" s="26">
        <f>テスト!B362</f>
        <v>14</v>
      </c>
      <c r="B362" s="4">
        <f>テスト!C362</f>
        <v>16</v>
      </c>
      <c r="C362" s="4">
        <f t="shared" si="61"/>
        <v>14</v>
      </c>
      <c r="D362" s="4">
        <f t="shared" si="62"/>
        <v>16</v>
      </c>
      <c r="E362" s="4" t="str">
        <f t="shared" si="60"/>
        <v>1416</v>
      </c>
      <c r="F362" s="4">
        <f t="shared" si="59"/>
        <v>1</v>
      </c>
    </row>
    <row r="363" spans="1:6" x14ac:dyDescent="0.15">
      <c r="A363" s="26">
        <f>テスト!B363</f>
        <v>21</v>
      </c>
      <c r="B363" s="4">
        <f>テスト!C363</f>
        <v>6</v>
      </c>
      <c r="C363" s="4">
        <f t="shared" si="61"/>
        <v>21</v>
      </c>
      <c r="D363" s="4" t="str">
        <f t="shared" si="62"/>
        <v>06</v>
      </c>
      <c r="E363" s="4" t="str">
        <f t="shared" si="60"/>
        <v>2106</v>
      </c>
      <c r="F363" s="4">
        <f t="shared" si="59"/>
        <v>1</v>
      </c>
    </row>
    <row r="364" spans="1:6" x14ac:dyDescent="0.15">
      <c r="A364" s="26">
        <f>テスト!B364</f>
        <v>22</v>
      </c>
      <c r="B364" s="4">
        <f>テスト!C364</f>
        <v>51</v>
      </c>
      <c r="C364" s="4">
        <f t="shared" si="61"/>
        <v>22</v>
      </c>
      <c r="D364" s="4">
        <f t="shared" si="62"/>
        <v>51</v>
      </c>
      <c r="E364" s="4" t="str">
        <f t="shared" si="60"/>
        <v>2251</v>
      </c>
      <c r="F364" s="4">
        <f t="shared" si="59"/>
        <v>1</v>
      </c>
    </row>
    <row r="365" spans="1:6" x14ac:dyDescent="0.15">
      <c r="A365" s="26">
        <f>テスト!B365</f>
        <v>28</v>
      </c>
      <c r="B365" s="4">
        <f>テスト!C365</f>
        <v>14</v>
      </c>
      <c r="C365" s="4">
        <f t="shared" si="61"/>
        <v>28</v>
      </c>
      <c r="D365" s="4">
        <f t="shared" si="62"/>
        <v>14</v>
      </c>
      <c r="E365" s="4" t="str">
        <f t="shared" si="60"/>
        <v>2814</v>
      </c>
      <c r="F365" s="4">
        <f t="shared" si="59"/>
        <v>1</v>
      </c>
    </row>
    <row r="366" spans="1:6" x14ac:dyDescent="0.15">
      <c r="A366" s="26">
        <f>テスト!B366</f>
        <v>29</v>
      </c>
      <c r="B366" s="4">
        <f>テスト!C366</f>
        <v>9</v>
      </c>
      <c r="C366" s="4">
        <f t="shared" si="61"/>
        <v>29</v>
      </c>
      <c r="D366" s="4" t="str">
        <f t="shared" si="62"/>
        <v>09</v>
      </c>
      <c r="E366" s="4" t="str">
        <f t="shared" si="60"/>
        <v>2909</v>
      </c>
      <c r="F366" s="4">
        <f t="shared" si="59"/>
        <v>1</v>
      </c>
    </row>
    <row r="367" spans="1:6" x14ac:dyDescent="0.15">
      <c r="A367" s="26">
        <f>テスト!B367</f>
        <v>30</v>
      </c>
      <c r="B367" s="4">
        <f>テスト!C367</f>
        <v>8</v>
      </c>
      <c r="C367" s="4">
        <f t="shared" si="61"/>
        <v>30</v>
      </c>
      <c r="D367" s="4" t="str">
        <f t="shared" si="62"/>
        <v>08</v>
      </c>
      <c r="E367" s="4" t="str">
        <f t="shared" si="60"/>
        <v>3008</v>
      </c>
      <c r="F367" s="4">
        <f t="shared" si="59"/>
        <v>1</v>
      </c>
    </row>
    <row r="368" spans="1:6" x14ac:dyDescent="0.15">
      <c r="A368" s="26">
        <f>テスト!B368</f>
        <v>34</v>
      </c>
      <c r="B368" s="4">
        <f>テスト!C368</f>
        <v>4</v>
      </c>
      <c r="C368" s="4">
        <f t="shared" si="61"/>
        <v>34</v>
      </c>
      <c r="D368" s="4" t="str">
        <f t="shared" si="62"/>
        <v>04</v>
      </c>
      <c r="E368" s="4" t="str">
        <f t="shared" si="60"/>
        <v>3404</v>
      </c>
      <c r="F368" s="4">
        <f t="shared" si="59"/>
        <v>1</v>
      </c>
    </row>
    <row r="369" spans="1:6" x14ac:dyDescent="0.15">
      <c r="A369" s="26"/>
      <c r="C369" s="4"/>
      <c r="D369" s="4"/>
      <c r="E369" s="4" t="str">
        <f t="shared" si="60"/>
        <v/>
      </c>
      <c r="F369" s="4"/>
    </row>
    <row r="370" spans="1:6" x14ac:dyDescent="0.15">
      <c r="A370" s="26">
        <f>テスト!B370</f>
        <v>10</v>
      </c>
      <c r="B370" s="4">
        <f>テスト!C370</f>
        <v>22</v>
      </c>
      <c r="C370" s="4">
        <f t="shared" ref="C370:C384" si="63">IF(LEN(A370)&gt;1,A370,0&amp;A370)</f>
        <v>10</v>
      </c>
      <c r="D370" s="4">
        <f t="shared" ref="D370:D384" si="64">IF(LEN(B370)&gt;1,B370,0&amp;B370)</f>
        <v>22</v>
      </c>
      <c r="E370" s="4" t="str">
        <f t="shared" si="60"/>
        <v>1022</v>
      </c>
      <c r="F370" s="4">
        <f t="shared" si="59"/>
        <v>1</v>
      </c>
    </row>
    <row r="371" spans="1:6" x14ac:dyDescent="0.15">
      <c r="A371" s="26">
        <f>テスト!B371</f>
        <v>1</v>
      </c>
      <c r="B371" s="4">
        <f>テスト!C371</f>
        <v>24</v>
      </c>
      <c r="C371" s="4" t="str">
        <f t="shared" si="63"/>
        <v>01</v>
      </c>
      <c r="D371" s="4">
        <f t="shared" si="64"/>
        <v>24</v>
      </c>
      <c r="E371" s="4" t="str">
        <f t="shared" si="60"/>
        <v>0124</v>
      </c>
      <c r="F371" s="4">
        <f t="shared" si="59"/>
        <v>1</v>
      </c>
    </row>
    <row r="372" spans="1:6" x14ac:dyDescent="0.15">
      <c r="A372" s="26">
        <f>テスト!B372</f>
        <v>2</v>
      </c>
      <c r="B372" s="4">
        <f>テスト!C372</f>
        <v>26</v>
      </c>
      <c r="C372" s="4" t="str">
        <f t="shared" si="63"/>
        <v>02</v>
      </c>
      <c r="D372" s="4">
        <f t="shared" si="64"/>
        <v>26</v>
      </c>
      <c r="E372" s="4" t="str">
        <f t="shared" si="60"/>
        <v>0226</v>
      </c>
      <c r="F372" s="4">
        <f t="shared" si="59"/>
        <v>1</v>
      </c>
    </row>
    <row r="373" spans="1:6" x14ac:dyDescent="0.15">
      <c r="A373" s="26">
        <f>テスト!B373</f>
        <v>3</v>
      </c>
      <c r="B373" s="4">
        <f>テスト!C373</f>
        <v>4</v>
      </c>
      <c r="C373" s="4" t="str">
        <f t="shared" si="63"/>
        <v>03</v>
      </c>
      <c r="D373" s="4" t="str">
        <f t="shared" si="64"/>
        <v>04</v>
      </c>
      <c r="E373" s="4" t="str">
        <f t="shared" si="60"/>
        <v>0304</v>
      </c>
      <c r="F373" s="4">
        <f t="shared" si="59"/>
        <v>1</v>
      </c>
    </row>
    <row r="374" spans="1:6" x14ac:dyDescent="0.15">
      <c r="A374" s="26">
        <f>テスト!B374</f>
        <v>4</v>
      </c>
      <c r="B374" s="4">
        <f>テスト!C374</f>
        <v>9</v>
      </c>
      <c r="C374" s="4" t="str">
        <f t="shared" si="63"/>
        <v>04</v>
      </c>
      <c r="D374" s="4" t="str">
        <f t="shared" si="64"/>
        <v>09</v>
      </c>
      <c r="E374" s="4" t="str">
        <f t="shared" si="60"/>
        <v>0409</v>
      </c>
      <c r="F374" s="4">
        <f t="shared" si="59"/>
        <v>1</v>
      </c>
    </row>
    <row r="375" spans="1:6" x14ac:dyDescent="0.15">
      <c r="A375" s="26">
        <f>テスト!B375</f>
        <v>13</v>
      </c>
      <c r="B375" s="4">
        <f>テスト!C375</f>
        <v>16</v>
      </c>
      <c r="C375" s="4">
        <f t="shared" si="63"/>
        <v>13</v>
      </c>
      <c r="D375" s="4">
        <f t="shared" si="64"/>
        <v>16</v>
      </c>
      <c r="E375" s="4" t="str">
        <f t="shared" si="60"/>
        <v>1316</v>
      </c>
      <c r="F375" s="4">
        <f t="shared" si="59"/>
        <v>1</v>
      </c>
    </row>
    <row r="376" spans="1:6" x14ac:dyDescent="0.15">
      <c r="A376" s="26">
        <f>テスト!B376</f>
        <v>14</v>
      </c>
      <c r="B376" s="4">
        <f>テスト!C376</f>
        <v>21</v>
      </c>
      <c r="C376" s="4">
        <f t="shared" si="63"/>
        <v>14</v>
      </c>
      <c r="D376" s="4">
        <f t="shared" si="64"/>
        <v>21</v>
      </c>
      <c r="E376" s="4" t="str">
        <f t="shared" si="60"/>
        <v>1421</v>
      </c>
      <c r="F376" s="4">
        <f t="shared" si="59"/>
        <v>1</v>
      </c>
    </row>
    <row r="377" spans="1:6" x14ac:dyDescent="0.15">
      <c r="A377" s="26">
        <f>テスト!B377</f>
        <v>15</v>
      </c>
      <c r="B377" s="4">
        <f>テスト!C377</f>
        <v>23</v>
      </c>
      <c r="C377" s="4">
        <f t="shared" si="63"/>
        <v>15</v>
      </c>
      <c r="D377" s="4">
        <f t="shared" si="64"/>
        <v>23</v>
      </c>
      <c r="E377" s="4" t="str">
        <f t="shared" si="60"/>
        <v>1523</v>
      </c>
      <c r="F377" s="4">
        <f t="shared" si="59"/>
        <v>1</v>
      </c>
    </row>
    <row r="378" spans="1:6" x14ac:dyDescent="0.15">
      <c r="A378" s="26">
        <f>テスト!B378</f>
        <v>16</v>
      </c>
      <c r="B378" s="4">
        <f>テスト!C378</f>
        <v>1</v>
      </c>
      <c r="C378" s="4">
        <f t="shared" si="63"/>
        <v>16</v>
      </c>
      <c r="D378" s="4" t="str">
        <f t="shared" si="64"/>
        <v>01</v>
      </c>
      <c r="E378" s="4" t="str">
        <f t="shared" si="60"/>
        <v>1601</v>
      </c>
      <c r="F378" s="4">
        <f t="shared" si="59"/>
        <v>1</v>
      </c>
    </row>
    <row r="379" spans="1:6" x14ac:dyDescent="0.15">
      <c r="A379" s="26">
        <f>テスト!B379</f>
        <v>21</v>
      </c>
      <c r="B379" s="4">
        <f>テスト!C379</f>
        <v>38</v>
      </c>
      <c r="C379" s="4">
        <f t="shared" si="63"/>
        <v>21</v>
      </c>
      <c r="D379" s="4">
        <f t="shared" si="64"/>
        <v>38</v>
      </c>
      <c r="E379" s="4" t="str">
        <f t="shared" si="60"/>
        <v>2138</v>
      </c>
      <c r="F379" s="4">
        <f t="shared" si="59"/>
        <v>1</v>
      </c>
    </row>
    <row r="380" spans="1:6" x14ac:dyDescent="0.15">
      <c r="A380" s="26">
        <f>テスト!B380</f>
        <v>22</v>
      </c>
      <c r="B380" s="4">
        <f>テスト!C380</f>
        <v>8</v>
      </c>
      <c r="C380" s="4">
        <f t="shared" si="63"/>
        <v>22</v>
      </c>
      <c r="D380" s="4" t="str">
        <f t="shared" si="64"/>
        <v>08</v>
      </c>
      <c r="E380" s="4" t="str">
        <f t="shared" si="60"/>
        <v>2208</v>
      </c>
      <c r="F380" s="4">
        <f t="shared" si="59"/>
        <v>1</v>
      </c>
    </row>
    <row r="381" spans="1:6" x14ac:dyDescent="0.15">
      <c r="A381" s="26">
        <f>テスト!B381</f>
        <v>32</v>
      </c>
      <c r="B381" s="4">
        <f>テスト!C381</f>
        <v>17</v>
      </c>
      <c r="C381" s="4">
        <f t="shared" si="63"/>
        <v>32</v>
      </c>
      <c r="D381" s="4">
        <f t="shared" si="64"/>
        <v>17</v>
      </c>
      <c r="E381" s="4" t="str">
        <f t="shared" si="60"/>
        <v>3217</v>
      </c>
      <c r="F381" s="4">
        <f t="shared" si="59"/>
        <v>1</v>
      </c>
    </row>
    <row r="382" spans="1:6" x14ac:dyDescent="0.15">
      <c r="A382" s="26">
        <f>テスト!B382</f>
        <v>23</v>
      </c>
      <c r="B382" s="4">
        <f>テスト!C382</f>
        <v>11</v>
      </c>
      <c r="C382" s="4">
        <f t="shared" si="63"/>
        <v>23</v>
      </c>
      <c r="D382" s="4">
        <f t="shared" si="64"/>
        <v>11</v>
      </c>
      <c r="E382" s="4" t="str">
        <f t="shared" si="60"/>
        <v>2311</v>
      </c>
      <c r="F382" s="4">
        <f t="shared" si="59"/>
        <v>1</v>
      </c>
    </row>
    <row r="383" spans="1:6" x14ac:dyDescent="0.15">
      <c r="A383" s="26">
        <f>テスト!B383</f>
        <v>24</v>
      </c>
      <c r="B383" s="4">
        <f>テスト!C383</f>
        <v>18</v>
      </c>
      <c r="C383" s="4">
        <f t="shared" si="63"/>
        <v>24</v>
      </c>
      <c r="D383" s="4">
        <f t="shared" si="64"/>
        <v>18</v>
      </c>
      <c r="E383" s="4" t="str">
        <f t="shared" si="60"/>
        <v>2418</v>
      </c>
      <c r="F383" s="4">
        <f t="shared" si="59"/>
        <v>1</v>
      </c>
    </row>
    <row r="384" spans="1:6" x14ac:dyDescent="0.15">
      <c r="A384" s="26">
        <f>テスト!B384</f>
        <v>42</v>
      </c>
      <c r="B384" s="4">
        <f>テスト!C384</f>
        <v>6</v>
      </c>
      <c r="C384" s="4">
        <f t="shared" si="63"/>
        <v>42</v>
      </c>
      <c r="D384" s="4" t="str">
        <f t="shared" si="64"/>
        <v>06</v>
      </c>
      <c r="E384" s="4" t="str">
        <f t="shared" si="60"/>
        <v>4206</v>
      </c>
      <c r="F384" s="4">
        <f t="shared" si="59"/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67"/>
  <sheetViews>
    <sheetView workbookViewId="0">
      <selection activeCell="K58" sqref="K58"/>
    </sheetView>
  </sheetViews>
  <sheetFormatPr defaultRowHeight="13.5" x14ac:dyDescent="0.15"/>
  <sheetData>
    <row r="1" spans="1:4" x14ac:dyDescent="0.15">
      <c r="A1" t="s">
        <v>18</v>
      </c>
      <c r="C1" t="s">
        <v>37</v>
      </c>
    </row>
    <row r="2" spans="1:4" x14ac:dyDescent="0.15">
      <c r="A2" t="s">
        <v>27</v>
      </c>
      <c r="C2" t="s">
        <v>64</v>
      </c>
    </row>
    <row r="3" spans="1:4" x14ac:dyDescent="0.15">
      <c r="A3" t="s">
        <v>248</v>
      </c>
      <c r="C3" t="s">
        <v>79</v>
      </c>
      <c r="D3" t="s">
        <v>69</v>
      </c>
    </row>
    <row r="4" spans="1:4" x14ac:dyDescent="0.15">
      <c r="A4" t="s">
        <v>90</v>
      </c>
      <c r="C4" t="s">
        <v>85</v>
      </c>
    </row>
    <row r="5" spans="1:4" x14ac:dyDescent="0.15">
      <c r="A5" t="s">
        <v>102</v>
      </c>
      <c r="C5" t="s">
        <v>106</v>
      </c>
    </row>
    <row r="6" spans="1:4" x14ac:dyDescent="0.15">
      <c r="A6" t="s">
        <v>177</v>
      </c>
      <c r="C6" t="s">
        <v>119</v>
      </c>
    </row>
    <row r="7" spans="1:4" x14ac:dyDescent="0.15">
      <c r="A7" t="s">
        <v>183</v>
      </c>
      <c r="C7" t="s">
        <v>123</v>
      </c>
    </row>
    <row r="8" spans="1:4" x14ac:dyDescent="0.15">
      <c r="A8" t="s">
        <v>209</v>
      </c>
      <c r="C8" t="s">
        <v>193</v>
      </c>
      <c r="D8" t="s">
        <v>122</v>
      </c>
    </row>
    <row r="9" spans="1:4" x14ac:dyDescent="0.15">
      <c r="A9" t="s">
        <v>286</v>
      </c>
      <c r="C9" t="s">
        <v>197</v>
      </c>
    </row>
    <row r="10" spans="1:4" x14ac:dyDescent="0.15">
      <c r="A10" t="s">
        <v>293</v>
      </c>
      <c r="C10" t="s">
        <v>222</v>
      </c>
    </row>
    <row r="11" spans="1:4" x14ac:dyDescent="0.15">
      <c r="A11" t="s">
        <v>316</v>
      </c>
      <c r="C11" t="s">
        <v>246</v>
      </c>
    </row>
    <row r="12" spans="1:4" x14ac:dyDescent="0.15">
      <c r="C12" t="s">
        <v>306</v>
      </c>
    </row>
    <row r="13" spans="1:4" x14ac:dyDescent="0.15">
      <c r="A13" t="s">
        <v>362</v>
      </c>
      <c r="C13" t="s">
        <v>328</v>
      </c>
    </row>
    <row r="14" spans="1:4" x14ac:dyDescent="0.15">
      <c r="C14" t="s">
        <v>358</v>
      </c>
    </row>
    <row r="15" spans="1:4" x14ac:dyDescent="0.15">
      <c r="C15" t="s">
        <v>370</v>
      </c>
    </row>
    <row r="16" spans="1:4" x14ac:dyDescent="0.15">
      <c r="A16" t="s">
        <v>317</v>
      </c>
    </row>
    <row r="25" spans="1:10" x14ac:dyDescent="0.15">
      <c r="A25" t="s">
        <v>39</v>
      </c>
      <c r="B25" t="s">
        <v>506</v>
      </c>
      <c r="C25" t="s">
        <v>405</v>
      </c>
      <c r="D25" t="s">
        <v>508</v>
      </c>
      <c r="E25" t="s">
        <v>104</v>
      </c>
      <c r="F25" t="s">
        <v>534</v>
      </c>
      <c r="G25" t="s">
        <v>85</v>
      </c>
      <c r="H25" t="s">
        <v>548</v>
      </c>
      <c r="I25" t="s">
        <v>414</v>
      </c>
      <c r="J25" t="s">
        <v>563</v>
      </c>
    </row>
    <row r="26" spans="1:10" x14ac:dyDescent="0.15">
      <c r="A26" t="s">
        <v>69</v>
      </c>
      <c r="B26" t="s">
        <v>507</v>
      </c>
      <c r="C26" t="s">
        <v>423</v>
      </c>
      <c r="D26" t="s">
        <v>521</v>
      </c>
      <c r="E26" t="s">
        <v>126</v>
      </c>
      <c r="F26" t="s">
        <v>535</v>
      </c>
      <c r="G26" t="s">
        <v>92</v>
      </c>
      <c r="H26" t="s">
        <v>549</v>
      </c>
      <c r="I26" t="s">
        <v>58</v>
      </c>
      <c r="J26" t="s">
        <v>564</v>
      </c>
    </row>
    <row r="27" spans="1:10" x14ac:dyDescent="0.15">
      <c r="A27" t="s">
        <v>405</v>
      </c>
      <c r="B27" t="s">
        <v>508</v>
      </c>
      <c r="C27" t="s">
        <v>18</v>
      </c>
      <c r="D27" t="s">
        <v>522</v>
      </c>
      <c r="E27" t="s">
        <v>248</v>
      </c>
      <c r="F27" t="s">
        <v>536</v>
      </c>
      <c r="G27" t="s">
        <v>428</v>
      </c>
      <c r="H27" t="s">
        <v>550</v>
      </c>
      <c r="I27" t="s">
        <v>418</v>
      </c>
      <c r="J27" t="s">
        <v>565</v>
      </c>
    </row>
    <row r="28" spans="1:10" x14ac:dyDescent="0.15">
      <c r="A28" t="s">
        <v>255</v>
      </c>
      <c r="B28" t="s">
        <v>509</v>
      </c>
      <c r="C28" t="s">
        <v>51</v>
      </c>
      <c r="D28" t="s">
        <v>523</v>
      </c>
      <c r="E28" t="s">
        <v>416</v>
      </c>
      <c r="F28" t="s">
        <v>537</v>
      </c>
      <c r="G28" t="s">
        <v>28</v>
      </c>
      <c r="H28" t="s">
        <v>551</v>
      </c>
      <c r="I28" t="s">
        <v>405</v>
      </c>
      <c r="J28" t="s">
        <v>566</v>
      </c>
    </row>
    <row r="29" spans="1:10" x14ac:dyDescent="0.15">
      <c r="A29" t="s">
        <v>30</v>
      </c>
      <c r="B29" t="s">
        <v>510</v>
      </c>
      <c r="C29" t="s">
        <v>78</v>
      </c>
      <c r="D29" t="s">
        <v>524</v>
      </c>
      <c r="E29" t="s">
        <v>78</v>
      </c>
      <c r="F29" t="s">
        <v>538</v>
      </c>
      <c r="G29" t="s">
        <v>53</v>
      </c>
      <c r="H29" t="s">
        <v>552</v>
      </c>
      <c r="I29" t="s">
        <v>106</v>
      </c>
      <c r="J29" t="s">
        <v>567</v>
      </c>
    </row>
    <row r="30" spans="1:10" x14ac:dyDescent="0.15">
      <c r="A30" t="s">
        <v>432</v>
      </c>
      <c r="B30" t="s">
        <v>511</v>
      </c>
      <c r="C30" t="s">
        <v>67</v>
      </c>
      <c r="D30" t="s">
        <v>525</v>
      </c>
      <c r="E30" t="s">
        <v>259</v>
      </c>
      <c r="F30" t="s">
        <v>539</v>
      </c>
      <c r="G30" t="s">
        <v>137</v>
      </c>
      <c r="H30" t="s">
        <v>553</v>
      </c>
      <c r="I30" t="s">
        <v>401</v>
      </c>
      <c r="J30" t="s">
        <v>568</v>
      </c>
    </row>
    <row r="31" spans="1:10" x14ac:dyDescent="0.15">
      <c r="A31" t="s">
        <v>110</v>
      </c>
      <c r="B31" t="s">
        <v>512</v>
      </c>
      <c r="C31" t="s">
        <v>131</v>
      </c>
      <c r="D31" t="s">
        <v>526</v>
      </c>
      <c r="E31" t="s">
        <v>133</v>
      </c>
      <c r="F31" t="s">
        <v>540</v>
      </c>
      <c r="G31" t="s">
        <v>140</v>
      </c>
      <c r="H31" t="s">
        <v>554</v>
      </c>
      <c r="I31" t="s">
        <v>151</v>
      </c>
      <c r="J31" t="s">
        <v>569</v>
      </c>
    </row>
    <row r="32" spans="1:10" x14ac:dyDescent="0.15">
      <c r="A32" t="s">
        <v>259</v>
      </c>
      <c r="B32" t="s">
        <v>513</v>
      </c>
      <c r="C32" t="s">
        <v>101</v>
      </c>
      <c r="D32" t="s">
        <v>527</v>
      </c>
      <c r="E32" t="s">
        <v>94</v>
      </c>
      <c r="F32" t="s">
        <v>541</v>
      </c>
      <c r="G32" t="s">
        <v>108</v>
      </c>
      <c r="H32" t="s">
        <v>555</v>
      </c>
      <c r="I32" t="s">
        <v>257</v>
      </c>
      <c r="J32" t="s">
        <v>570</v>
      </c>
    </row>
    <row r="33" spans="1:11" x14ac:dyDescent="0.15">
      <c r="A33" t="s">
        <v>438</v>
      </c>
      <c r="B33" t="s">
        <v>514</v>
      </c>
      <c r="C33" t="s">
        <v>429</v>
      </c>
      <c r="D33" t="s">
        <v>528</v>
      </c>
      <c r="E33" t="s">
        <v>432</v>
      </c>
      <c r="F33" t="s">
        <v>542</v>
      </c>
      <c r="G33" t="s">
        <v>433</v>
      </c>
      <c r="H33" t="s">
        <v>556</v>
      </c>
      <c r="I33" t="s">
        <v>101</v>
      </c>
      <c r="J33" t="s">
        <v>571</v>
      </c>
    </row>
    <row r="34" spans="1:11" x14ac:dyDescent="0.15">
      <c r="A34" t="s">
        <v>446</v>
      </c>
      <c r="B34" t="s">
        <v>515</v>
      </c>
      <c r="C34" t="s">
        <v>442</v>
      </c>
      <c r="D34" t="s">
        <v>529</v>
      </c>
      <c r="E34" t="s">
        <v>446</v>
      </c>
      <c r="F34" t="s">
        <v>515</v>
      </c>
      <c r="G34" t="s">
        <v>157</v>
      </c>
      <c r="H34" t="s">
        <v>557</v>
      </c>
      <c r="I34" t="s">
        <v>446</v>
      </c>
      <c r="J34" t="s">
        <v>572</v>
      </c>
    </row>
    <row r="35" spans="1:11" x14ac:dyDescent="0.15">
      <c r="A35" t="s">
        <v>167</v>
      </c>
      <c r="B35" t="s">
        <v>516</v>
      </c>
      <c r="C35" t="s">
        <v>167</v>
      </c>
      <c r="D35" t="s">
        <v>530</v>
      </c>
      <c r="E35" t="s">
        <v>165</v>
      </c>
      <c r="F35" t="s">
        <v>543</v>
      </c>
      <c r="G35" t="s">
        <v>167</v>
      </c>
      <c r="H35" t="s">
        <v>558</v>
      </c>
      <c r="I35" t="s">
        <v>166</v>
      </c>
      <c r="J35" t="s">
        <v>573</v>
      </c>
    </row>
    <row r="36" spans="1:11" x14ac:dyDescent="0.15">
      <c r="A36" t="s">
        <v>222</v>
      </c>
      <c r="B36" t="s">
        <v>517</v>
      </c>
      <c r="C36" t="s">
        <v>177</v>
      </c>
      <c r="D36" t="s">
        <v>519</v>
      </c>
      <c r="E36" t="s">
        <v>465</v>
      </c>
      <c r="F36" t="s">
        <v>544</v>
      </c>
      <c r="G36" t="s">
        <v>190</v>
      </c>
      <c r="H36" t="s">
        <v>559</v>
      </c>
      <c r="I36" t="s">
        <v>222</v>
      </c>
      <c r="J36" t="s">
        <v>574</v>
      </c>
    </row>
    <row r="37" spans="1:11" x14ac:dyDescent="0.15">
      <c r="A37" t="s">
        <v>233</v>
      </c>
      <c r="B37" t="s">
        <v>518</v>
      </c>
      <c r="C37" t="s">
        <v>218</v>
      </c>
      <c r="D37" t="s">
        <v>531</v>
      </c>
      <c r="E37" t="s">
        <v>229</v>
      </c>
      <c r="F37" t="s">
        <v>545</v>
      </c>
      <c r="G37" t="s">
        <v>211</v>
      </c>
      <c r="H37" t="s">
        <v>560</v>
      </c>
      <c r="I37" t="s">
        <v>185</v>
      </c>
      <c r="J37" t="s">
        <v>575</v>
      </c>
    </row>
    <row r="38" spans="1:11" x14ac:dyDescent="0.15">
      <c r="A38" t="s">
        <v>177</v>
      </c>
      <c r="B38" t="s">
        <v>519</v>
      </c>
      <c r="C38" t="s">
        <v>198</v>
      </c>
      <c r="D38" t="s">
        <v>532</v>
      </c>
      <c r="E38" t="s">
        <v>202</v>
      </c>
      <c r="F38" t="s">
        <v>546</v>
      </c>
      <c r="G38" t="s">
        <v>178</v>
      </c>
      <c r="H38" t="s">
        <v>561</v>
      </c>
      <c r="I38" t="s">
        <v>240</v>
      </c>
      <c r="J38" t="s">
        <v>576</v>
      </c>
    </row>
    <row r="39" spans="1:11" x14ac:dyDescent="0.15">
      <c r="A39" t="s">
        <v>338</v>
      </c>
      <c r="B39" t="s">
        <v>520</v>
      </c>
      <c r="C39" t="s">
        <v>396</v>
      </c>
      <c r="D39" t="s">
        <v>533</v>
      </c>
      <c r="E39" t="s">
        <v>316</v>
      </c>
      <c r="F39" t="s">
        <v>547</v>
      </c>
      <c r="G39" t="s">
        <v>291</v>
      </c>
      <c r="H39" t="s">
        <v>562</v>
      </c>
      <c r="I39" t="s">
        <v>474</v>
      </c>
      <c r="J39" t="s">
        <v>577</v>
      </c>
    </row>
    <row r="40" spans="1:11" s="4" customFormat="1" x14ac:dyDescent="0.15"/>
    <row r="41" spans="1:11" x14ac:dyDescent="0.15">
      <c r="A41" t="s">
        <v>23</v>
      </c>
      <c r="B41" t="s">
        <v>638</v>
      </c>
      <c r="C41" t="s">
        <v>639</v>
      </c>
      <c r="D41">
        <v>2</v>
      </c>
      <c r="E41" t="s">
        <v>640</v>
      </c>
      <c r="F41" t="s">
        <v>581</v>
      </c>
      <c r="G41" t="s">
        <v>582</v>
      </c>
      <c r="J41" t="s">
        <v>601</v>
      </c>
      <c r="K41" t="s">
        <v>641</v>
      </c>
    </row>
    <row r="42" spans="1:11" x14ac:dyDescent="0.15">
      <c r="A42" t="s">
        <v>23</v>
      </c>
      <c r="B42" t="s">
        <v>578</v>
      </c>
      <c r="C42" t="s">
        <v>579</v>
      </c>
      <c r="D42">
        <v>3</v>
      </c>
      <c r="E42" t="s">
        <v>580</v>
      </c>
      <c r="F42" t="s">
        <v>581</v>
      </c>
      <c r="G42" t="s">
        <v>582</v>
      </c>
      <c r="J42" t="s">
        <v>583</v>
      </c>
      <c r="K42" t="s">
        <v>584</v>
      </c>
    </row>
    <row r="43" spans="1:11" x14ac:dyDescent="0.15">
      <c r="A43" t="s">
        <v>23</v>
      </c>
      <c r="B43" t="s">
        <v>28</v>
      </c>
      <c r="C43" t="s">
        <v>585</v>
      </c>
      <c r="D43">
        <v>4</v>
      </c>
      <c r="E43" t="s">
        <v>586</v>
      </c>
      <c r="F43" t="s">
        <v>581</v>
      </c>
      <c r="G43" t="s">
        <v>582</v>
      </c>
      <c r="J43" t="s">
        <v>587</v>
      </c>
      <c r="K43" t="s">
        <v>588</v>
      </c>
    </row>
    <row r="44" spans="1:11" s="4" customFormat="1" x14ac:dyDescent="0.15">
      <c r="A44" t="s">
        <v>23</v>
      </c>
      <c r="B44" t="s">
        <v>642</v>
      </c>
      <c r="C44" t="s">
        <v>618</v>
      </c>
      <c r="D44">
        <v>3</v>
      </c>
      <c r="E44" t="s">
        <v>640</v>
      </c>
      <c r="F44" t="s">
        <v>581</v>
      </c>
      <c r="G44" t="s">
        <v>582</v>
      </c>
      <c r="H44"/>
      <c r="I44"/>
      <c r="J44" t="s">
        <v>643</v>
      </c>
      <c r="K44" t="s">
        <v>644</v>
      </c>
    </row>
    <row r="45" spans="1:11" s="4" customFormat="1" x14ac:dyDescent="0.15">
      <c r="A45" t="s">
        <v>23</v>
      </c>
      <c r="B45" t="s">
        <v>82</v>
      </c>
      <c r="C45" t="s">
        <v>597</v>
      </c>
      <c r="D45">
        <v>5</v>
      </c>
      <c r="E45" t="s">
        <v>590</v>
      </c>
      <c r="F45" t="s">
        <v>581</v>
      </c>
      <c r="G45" t="s">
        <v>582</v>
      </c>
      <c r="H45"/>
      <c r="I45"/>
      <c r="J45" t="s">
        <v>598</v>
      </c>
      <c r="K45" t="s">
        <v>599</v>
      </c>
    </row>
    <row r="46" spans="1:11" s="4" customFormat="1" x14ac:dyDescent="0.15">
      <c r="A46" t="s">
        <v>23</v>
      </c>
      <c r="B46" t="s">
        <v>124</v>
      </c>
      <c r="C46" t="s">
        <v>600</v>
      </c>
      <c r="D46">
        <v>4</v>
      </c>
      <c r="E46" t="s">
        <v>590</v>
      </c>
      <c r="F46" t="s">
        <v>581</v>
      </c>
      <c r="G46" t="s">
        <v>582</v>
      </c>
      <c r="H46"/>
      <c r="I46"/>
      <c r="J46" t="s">
        <v>601</v>
      </c>
      <c r="K46" t="s">
        <v>602</v>
      </c>
    </row>
    <row r="47" spans="1:11" s="4" customFormat="1" x14ac:dyDescent="0.15">
      <c r="A47" t="s">
        <v>23</v>
      </c>
      <c r="B47" t="s">
        <v>127</v>
      </c>
      <c r="C47" t="s">
        <v>603</v>
      </c>
      <c r="D47">
        <v>6</v>
      </c>
      <c r="E47" t="s">
        <v>594</v>
      </c>
      <c r="F47" t="s">
        <v>581</v>
      </c>
      <c r="G47" t="s">
        <v>582</v>
      </c>
      <c r="H47"/>
      <c r="I47"/>
      <c r="J47" t="s">
        <v>604</v>
      </c>
      <c r="K47" t="s">
        <v>605</v>
      </c>
    </row>
    <row r="48" spans="1:11" s="4" customFormat="1" x14ac:dyDescent="0.15"/>
    <row r="49" spans="1:11" x14ac:dyDescent="0.15">
      <c r="A49" t="s">
        <v>23</v>
      </c>
      <c r="B49" t="s">
        <v>578</v>
      </c>
      <c r="C49" t="s">
        <v>579</v>
      </c>
      <c r="D49">
        <v>3</v>
      </c>
      <c r="E49" t="s">
        <v>580</v>
      </c>
      <c r="F49" t="s">
        <v>581</v>
      </c>
      <c r="G49" t="s">
        <v>582</v>
      </c>
      <c r="J49" t="s">
        <v>583</v>
      </c>
      <c r="K49" t="s">
        <v>584</v>
      </c>
    </row>
    <row r="50" spans="1:11" x14ac:dyDescent="0.15">
      <c r="A50" t="s">
        <v>23</v>
      </c>
      <c r="B50" t="s">
        <v>28</v>
      </c>
      <c r="C50" t="s">
        <v>585</v>
      </c>
      <c r="D50">
        <v>4</v>
      </c>
      <c r="E50" t="s">
        <v>586</v>
      </c>
      <c r="F50" t="s">
        <v>581</v>
      </c>
      <c r="G50" t="s">
        <v>582</v>
      </c>
      <c r="J50" t="s">
        <v>587</v>
      </c>
      <c r="K50" t="s">
        <v>588</v>
      </c>
    </row>
    <row r="51" spans="1:11" x14ac:dyDescent="0.15">
      <c r="A51" t="s">
        <v>23</v>
      </c>
      <c r="B51" t="s">
        <v>31</v>
      </c>
      <c r="C51" t="s">
        <v>589</v>
      </c>
      <c r="D51">
        <v>5</v>
      </c>
      <c r="E51" t="s">
        <v>590</v>
      </c>
      <c r="F51" t="s">
        <v>581</v>
      </c>
      <c r="G51" t="s">
        <v>582</v>
      </c>
      <c r="J51" t="s">
        <v>591</v>
      </c>
      <c r="K51" t="s">
        <v>592</v>
      </c>
    </row>
    <row r="52" spans="1:11" x14ac:dyDescent="0.15">
      <c r="A52" t="s">
        <v>23</v>
      </c>
      <c r="B52" t="s">
        <v>80</v>
      </c>
      <c r="C52" t="s">
        <v>593</v>
      </c>
      <c r="D52">
        <v>4</v>
      </c>
      <c r="E52" t="s">
        <v>594</v>
      </c>
      <c r="F52" t="s">
        <v>581</v>
      </c>
      <c r="G52" t="s">
        <v>582</v>
      </c>
      <c r="J52" t="s">
        <v>595</v>
      </c>
      <c r="K52" t="s">
        <v>596</v>
      </c>
    </row>
    <row r="53" spans="1:11" x14ac:dyDescent="0.15">
      <c r="A53" t="s">
        <v>23</v>
      </c>
      <c r="B53" t="s">
        <v>82</v>
      </c>
      <c r="C53" t="s">
        <v>597</v>
      </c>
      <c r="D53">
        <v>5</v>
      </c>
      <c r="E53" t="s">
        <v>590</v>
      </c>
      <c r="F53" t="s">
        <v>581</v>
      </c>
      <c r="G53" t="s">
        <v>582</v>
      </c>
      <c r="J53" t="s">
        <v>598</v>
      </c>
      <c r="K53" t="s">
        <v>599</v>
      </c>
    </row>
    <row r="54" spans="1:11" x14ac:dyDescent="0.15">
      <c r="A54" t="s">
        <v>23</v>
      </c>
      <c r="B54" t="s">
        <v>124</v>
      </c>
      <c r="C54" t="s">
        <v>600</v>
      </c>
      <c r="D54">
        <v>4</v>
      </c>
      <c r="E54" t="s">
        <v>590</v>
      </c>
      <c r="F54" t="s">
        <v>581</v>
      </c>
      <c r="G54" t="s">
        <v>582</v>
      </c>
      <c r="J54" t="s">
        <v>601</v>
      </c>
      <c r="K54" t="s">
        <v>602</v>
      </c>
    </row>
    <row r="55" spans="1:11" x14ac:dyDescent="0.15">
      <c r="A55" t="s">
        <v>23</v>
      </c>
      <c r="B55" t="s">
        <v>127</v>
      </c>
      <c r="C55" t="s">
        <v>603</v>
      </c>
      <c r="D55">
        <v>6</v>
      </c>
      <c r="E55" t="s">
        <v>594</v>
      </c>
      <c r="F55" t="s">
        <v>581</v>
      </c>
      <c r="G55" t="s">
        <v>582</v>
      </c>
      <c r="J55" t="s">
        <v>604</v>
      </c>
      <c r="K55" t="s">
        <v>605</v>
      </c>
    </row>
    <row r="57" spans="1:11" x14ac:dyDescent="0.15">
      <c r="A57" t="s">
        <v>606</v>
      </c>
      <c r="B57" t="s">
        <v>184</v>
      </c>
      <c r="C57" t="s">
        <v>589</v>
      </c>
      <c r="D57">
        <v>5</v>
      </c>
      <c r="E57" t="s">
        <v>607</v>
      </c>
      <c r="F57" t="s">
        <v>581</v>
      </c>
      <c r="G57" t="s">
        <v>608</v>
      </c>
      <c r="J57" t="s">
        <v>609</v>
      </c>
      <c r="K57" t="s">
        <v>610</v>
      </c>
    </row>
    <row r="58" spans="1:11" x14ac:dyDescent="0.15">
      <c r="A58" t="s">
        <v>23</v>
      </c>
      <c r="B58" t="s">
        <v>185</v>
      </c>
      <c r="C58" t="s">
        <v>611</v>
      </c>
      <c r="D58">
        <v>6</v>
      </c>
      <c r="E58" t="s">
        <v>590</v>
      </c>
      <c r="F58" t="s">
        <v>581</v>
      </c>
      <c r="G58" t="s">
        <v>582</v>
      </c>
      <c r="J58" t="s">
        <v>612</v>
      </c>
      <c r="K58" t="s">
        <v>613</v>
      </c>
    </row>
    <row r="59" spans="1:11" x14ac:dyDescent="0.15">
      <c r="A59" t="s">
        <v>606</v>
      </c>
      <c r="B59" t="s">
        <v>614</v>
      </c>
      <c r="C59" t="s">
        <v>615</v>
      </c>
      <c r="D59">
        <v>2</v>
      </c>
      <c r="E59" t="s">
        <v>607</v>
      </c>
      <c r="F59" t="s">
        <v>581</v>
      </c>
      <c r="G59" t="s">
        <v>608</v>
      </c>
      <c r="J59" t="s">
        <v>616</v>
      </c>
      <c r="K59" t="s">
        <v>617</v>
      </c>
    </row>
    <row r="60" spans="1:11" x14ac:dyDescent="0.15">
      <c r="A60" t="s">
        <v>606</v>
      </c>
      <c r="B60" t="s">
        <v>198</v>
      </c>
      <c r="C60" t="s">
        <v>618</v>
      </c>
      <c r="D60">
        <v>3</v>
      </c>
      <c r="E60" t="s">
        <v>607</v>
      </c>
      <c r="F60" t="s">
        <v>581</v>
      </c>
      <c r="G60" t="s">
        <v>608</v>
      </c>
      <c r="J60" t="s">
        <v>601</v>
      </c>
      <c r="K60" t="s">
        <v>619</v>
      </c>
    </row>
    <row r="61" spans="1:11" x14ac:dyDescent="0.15">
      <c r="A61" t="s">
        <v>23</v>
      </c>
      <c r="B61" t="s">
        <v>204</v>
      </c>
      <c r="C61" t="s">
        <v>620</v>
      </c>
      <c r="D61">
        <v>7</v>
      </c>
      <c r="E61" t="s">
        <v>586</v>
      </c>
      <c r="F61" t="s">
        <v>581</v>
      </c>
      <c r="G61" t="s">
        <v>582</v>
      </c>
      <c r="J61" t="s">
        <v>621</v>
      </c>
      <c r="K61" t="s">
        <v>622</v>
      </c>
    </row>
    <row r="62" spans="1:11" x14ac:dyDescent="0.15">
      <c r="A62" t="s">
        <v>606</v>
      </c>
      <c r="B62" t="s">
        <v>211</v>
      </c>
      <c r="C62" t="s">
        <v>623</v>
      </c>
      <c r="D62">
        <v>4</v>
      </c>
      <c r="E62" t="s">
        <v>607</v>
      </c>
      <c r="F62" t="s">
        <v>581</v>
      </c>
      <c r="G62" t="s">
        <v>608</v>
      </c>
      <c r="J62" t="s">
        <v>624</v>
      </c>
      <c r="K62" t="s">
        <v>625</v>
      </c>
    </row>
    <row r="63" spans="1:11" x14ac:dyDescent="0.15">
      <c r="A63" t="s">
        <v>606</v>
      </c>
      <c r="B63" t="s">
        <v>626</v>
      </c>
      <c r="C63" t="s">
        <v>627</v>
      </c>
      <c r="D63">
        <v>5</v>
      </c>
      <c r="E63" t="s">
        <v>607</v>
      </c>
      <c r="F63" t="s">
        <v>581</v>
      </c>
      <c r="G63" t="s">
        <v>608</v>
      </c>
      <c r="J63" t="s">
        <v>628</v>
      </c>
      <c r="K63" t="s">
        <v>629</v>
      </c>
    </row>
    <row r="64" spans="1:11" x14ac:dyDescent="0.15">
      <c r="A64" t="s">
        <v>23</v>
      </c>
      <c r="B64" t="s">
        <v>223</v>
      </c>
      <c r="C64" t="s">
        <v>630</v>
      </c>
      <c r="D64">
        <v>9</v>
      </c>
      <c r="E64" t="s">
        <v>586</v>
      </c>
      <c r="F64" t="s">
        <v>581</v>
      </c>
      <c r="G64" t="s">
        <v>582</v>
      </c>
      <c r="J64" t="s">
        <v>631</v>
      </c>
      <c r="K64" t="s">
        <v>632</v>
      </c>
    </row>
    <row r="66" spans="2:11" x14ac:dyDescent="0.15">
      <c r="B66" t="s">
        <v>287</v>
      </c>
      <c r="C66" t="s">
        <v>633</v>
      </c>
      <c r="D66">
        <v>2</v>
      </c>
      <c r="E66" t="s">
        <v>634</v>
      </c>
      <c r="F66" t="s">
        <v>581</v>
      </c>
      <c r="G66" t="s">
        <v>582</v>
      </c>
      <c r="H66" t="s">
        <v>635</v>
      </c>
      <c r="J66" t="s">
        <v>601</v>
      </c>
      <c r="K66" t="s">
        <v>636</v>
      </c>
    </row>
    <row r="67" spans="2:11" x14ac:dyDescent="0.15">
      <c r="B67" t="s">
        <v>309</v>
      </c>
      <c r="C67" t="s">
        <v>597</v>
      </c>
      <c r="D67">
        <v>5</v>
      </c>
      <c r="E67" t="s">
        <v>590</v>
      </c>
      <c r="F67" t="s">
        <v>581</v>
      </c>
      <c r="G67" t="s">
        <v>582</v>
      </c>
      <c r="J67" t="s">
        <v>612</v>
      </c>
      <c r="K67" t="s">
        <v>637</v>
      </c>
    </row>
  </sheetData>
  <sortState ref="AF1:AF50">
    <sortCondition ref="AF1"/>
  </sortState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1"/>
  <sheetViews>
    <sheetView topLeftCell="B1" workbookViewId="0">
      <selection activeCell="L13" sqref="L13"/>
    </sheetView>
  </sheetViews>
  <sheetFormatPr defaultRowHeight="13.5" x14ac:dyDescent="0.15"/>
  <cols>
    <col min="1" max="2" width="16.875" bestFit="1" customWidth="1"/>
    <col min="3" max="3" width="6.125" bestFit="1" customWidth="1"/>
    <col min="4" max="4" width="5.5" bestFit="1" customWidth="1"/>
    <col min="5" max="5" width="3.75" bestFit="1" customWidth="1"/>
    <col min="6" max="6" width="2.625" customWidth="1"/>
    <col min="9" max="10" width="9" style="4"/>
  </cols>
  <sheetData>
    <row r="1" spans="1:21" s="4" customFormat="1" ht="14.25" thickBot="1" x14ac:dyDescent="0.2">
      <c r="A1" s="4" t="s">
        <v>719</v>
      </c>
    </row>
    <row r="2" spans="1:21" s="4" customFormat="1" ht="14.25" thickBot="1" x14ac:dyDescent="0.2">
      <c r="A2" s="56" t="s">
        <v>682</v>
      </c>
      <c r="B2" s="73" t="s">
        <v>683</v>
      </c>
      <c r="C2" s="74"/>
      <c r="D2" s="74"/>
      <c r="E2" s="75"/>
    </row>
    <row r="3" spans="1:21" x14ac:dyDescent="0.15">
      <c r="A3" s="33" t="s">
        <v>31</v>
      </c>
      <c r="B3" s="5" t="s">
        <v>674</v>
      </c>
      <c r="C3" s="6" t="s">
        <v>639</v>
      </c>
      <c r="D3" s="6" t="s">
        <v>640</v>
      </c>
      <c r="E3" s="28" t="s">
        <v>581</v>
      </c>
      <c r="F3" s="11"/>
      <c r="I3" s="11"/>
      <c r="J3" s="11"/>
      <c r="K3" t="s">
        <v>679</v>
      </c>
      <c r="L3" t="s">
        <v>262</v>
      </c>
      <c r="M3" t="s">
        <v>263</v>
      </c>
      <c r="N3" t="s">
        <v>264</v>
      </c>
      <c r="O3" t="s">
        <v>265</v>
      </c>
      <c r="P3" t="s">
        <v>266</v>
      </c>
      <c r="Q3" t="s">
        <v>267</v>
      </c>
      <c r="R3" t="s">
        <v>268</v>
      </c>
      <c r="S3" t="s">
        <v>269</v>
      </c>
      <c r="T3" t="s">
        <v>168</v>
      </c>
      <c r="U3" t="s">
        <v>680</v>
      </c>
    </row>
    <row r="4" spans="1:21" x14ac:dyDescent="0.15">
      <c r="A4" s="45" t="s">
        <v>414</v>
      </c>
      <c r="B4" s="13" t="s">
        <v>648</v>
      </c>
      <c r="C4" s="10" t="s">
        <v>649</v>
      </c>
      <c r="D4" s="10" t="s">
        <v>650</v>
      </c>
      <c r="E4" s="29" t="s">
        <v>581</v>
      </c>
      <c r="K4" s="11" t="s">
        <v>704</v>
      </c>
      <c r="L4" s="11" t="s">
        <v>711</v>
      </c>
      <c r="U4" t="s">
        <v>442</v>
      </c>
    </row>
    <row r="5" spans="1:21" x14ac:dyDescent="0.15">
      <c r="A5" s="45" t="s">
        <v>37</v>
      </c>
      <c r="B5" s="13" t="s">
        <v>675</v>
      </c>
      <c r="C5" s="10" t="s">
        <v>615</v>
      </c>
      <c r="D5" s="10" t="s">
        <v>651</v>
      </c>
      <c r="E5" s="29" t="s">
        <v>581</v>
      </c>
      <c r="K5" t="s">
        <v>705</v>
      </c>
      <c r="L5" t="s">
        <v>712</v>
      </c>
      <c r="U5" t="s">
        <v>443</v>
      </c>
    </row>
    <row r="6" spans="1:21" x14ac:dyDescent="0.15">
      <c r="A6" s="45" t="s">
        <v>251</v>
      </c>
      <c r="B6" s="13" t="s">
        <v>700</v>
      </c>
      <c r="C6" s="10" t="s">
        <v>701</v>
      </c>
      <c r="D6" s="10" t="s">
        <v>702</v>
      </c>
      <c r="E6" s="29" t="s">
        <v>690</v>
      </c>
      <c r="K6" t="s">
        <v>706</v>
      </c>
      <c r="L6" t="s">
        <v>713</v>
      </c>
      <c r="U6" t="s">
        <v>444</v>
      </c>
    </row>
    <row r="7" spans="1:21" x14ac:dyDescent="0.15">
      <c r="A7" s="45" t="s">
        <v>71</v>
      </c>
      <c r="B7" s="13" t="s">
        <v>703</v>
      </c>
      <c r="C7" s="10" t="s">
        <v>597</v>
      </c>
      <c r="D7" s="10" t="s">
        <v>652</v>
      </c>
      <c r="E7" s="29" t="s">
        <v>647</v>
      </c>
      <c r="K7" t="s">
        <v>707</v>
      </c>
      <c r="L7" t="s">
        <v>708</v>
      </c>
      <c r="U7" t="s">
        <v>445</v>
      </c>
    </row>
    <row r="8" spans="1:21" s="4" customFormat="1" x14ac:dyDescent="0.15">
      <c r="A8" s="45" t="s">
        <v>80</v>
      </c>
      <c r="B8" s="13" t="s">
        <v>642</v>
      </c>
      <c r="C8" s="10" t="s">
        <v>618</v>
      </c>
      <c r="D8" s="10" t="s">
        <v>640</v>
      </c>
      <c r="E8" s="29" t="s">
        <v>581</v>
      </c>
      <c r="K8" t="s">
        <v>709</v>
      </c>
      <c r="L8" t="s">
        <v>710</v>
      </c>
    </row>
    <row r="9" spans="1:21" x14ac:dyDescent="0.15">
      <c r="A9" s="45" t="s">
        <v>418</v>
      </c>
      <c r="B9" s="13" t="s">
        <v>676</v>
      </c>
      <c r="C9" s="10" t="s">
        <v>593</v>
      </c>
      <c r="D9" s="10" t="s">
        <v>651</v>
      </c>
      <c r="E9" s="29" t="s">
        <v>581</v>
      </c>
      <c r="K9" s="11" t="s">
        <v>714</v>
      </c>
      <c r="L9" s="11" t="s">
        <v>715</v>
      </c>
      <c r="U9" t="s">
        <v>446</v>
      </c>
    </row>
    <row r="10" spans="1:21" x14ac:dyDescent="0.15">
      <c r="A10" s="45" t="s">
        <v>686</v>
      </c>
      <c r="B10" s="13" t="s">
        <v>692</v>
      </c>
      <c r="C10" s="10" t="s">
        <v>623</v>
      </c>
      <c r="D10" s="10" t="s">
        <v>673</v>
      </c>
      <c r="E10" s="29" t="s">
        <v>647</v>
      </c>
      <c r="K10" s="11" t="s">
        <v>716</v>
      </c>
      <c r="L10" s="11" t="s">
        <v>717</v>
      </c>
      <c r="U10" t="s">
        <v>447</v>
      </c>
    </row>
    <row r="11" spans="1:21" x14ac:dyDescent="0.15">
      <c r="A11" s="45" t="s">
        <v>127</v>
      </c>
      <c r="B11" s="13" t="s">
        <v>656</v>
      </c>
      <c r="C11" s="10" t="s">
        <v>657</v>
      </c>
      <c r="D11" s="10" t="s">
        <v>594</v>
      </c>
      <c r="E11" s="29" t="s">
        <v>581</v>
      </c>
      <c r="K11" s="11" t="s">
        <v>718</v>
      </c>
      <c r="L11" s="11" t="s">
        <v>722</v>
      </c>
      <c r="U11" t="s">
        <v>448</v>
      </c>
    </row>
    <row r="12" spans="1:21" x14ac:dyDescent="0.15">
      <c r="A12" s="45" t="s">
        <v>106</v>
      </c>
      <c r="B12" s="13" t="s">
        <v>677</v>
      </c>
      <c r="C12" s="10" t="s">
        <v>658</v>
      </c>
      <c r="D12" s="10" t="s">
        <v>654</v>
      </c>
      <c r="E12" s="29" t="s">
        <v>581</v>
      </c>
      <c r="K12" s="11" t="s">
        <v>720</v>
      </c>
      <c r="L12" s="11" t="s">
        <v>721</v>
      </c>
      <c r="U12" t="s">
        <v>157</v>
      </c>
    </row>
    <row r="13" spans="1:21" x14ac:dyDescent="0.15">
      <c r="A13" s="45" t="s">
        <v>255</v>
      </c>
      <c r="B13" s="13" t="s">
        <v>659</v>
      </c>
      <c r="C13" s="10" t="s">
        <v>627</v>
      </c>
      <c r="D13" s="10" t="s">
        <v>660</v>
      </c>
      <c r="E13" s="29" t="s">
        <v>581</v>
      </c>
      <c r="K13" s="11" t="s">
        <v>779</v>
      </c>
      <c r="L13" s="11" t="s">
        <v>780</v>
      </c>
      <c r="U13" t="s">
        <v>159</v>
      </c>
    </row>
    <row r="14" spans="1:21" x14ac:dyDescent="0.15">
      <c r="A14" s="45" t="s">
        <v>132</v>
      </c>
      <c r="B14" s="13" t="s">
        <v>663</v>
      </c>
      <c r="C14" s="10" t="s">
        <v>661</v>
      </c>
      <c r="D14" s="10" t="s">
        <v>652</v>
      </c>
      <c r="E14" s="29" t="s">
        <v>645</v>
      </c>
      <c r="U14" t="s">
        <v>163</v>
      </c>
    </row>
    <row r="15" spans="1:21" x14ac:dyDescent="0.15">
      <c r="A15" s="45" t="s">
        <v>131</v>
      </c>
      <c r="B15" s="13" t="s">
        <v>678</v>
      </c>
      <c r="C15" s="10" t="s">
        <v>664</v>
      </c>
      <c r="D15" s="10" t="s">
        <v>665</v>
      </c>
      <c r="E15" s="29" t="s">
        <v>581</v>
      </c>
      <c r="U15" t="s">
        <v>164</v>
      </c>
    </row>
    <row r="16" spans="1:21" x14ac:dyDescent="0.15">
      <c r="A16" s="45" t="s">
        <v>258</v>
      </c>
      <c r="B16" s="13" t="s">
        <v>667</v>
      </c>
      <c r="C16" s="10" t="s">
        <v>668</v>
      </c>
      <c r="D16" s="10" t="s">
        <v>662</v>
      </c>
      <c r="E16" s="29" t="s">
        <v>645</v>
      </c>
      <c r="U16" t="s">
        <v>165</v>
      </c>
    </row>
    <row r="17" spans="1:21" x14ac:dyDescent="0.15">
      <c r="A17" s="45" t="s">
        <v>435</v>
      </c>
      <c r="B17" s="13" t="s">
        <v>669</v>
      </c>
      <c r="C17" s="10" t="s">
        <v>670</v>
      </c>
      <c r="D17" s="10" t="s">
        <v>666</v>
      </c>
      <c r="E17" s="29" t="s">
        <v>581</v>
      </c>
      <c r="T17" t="s">
        <v>166</v>
      </c>
    </row>
    <row r="18" spans="1:21" ht="14.25" thickBot="1" x14ac:dyDescent="0.2">
      <c r="A18" s="57" t="s">
        <v>437</v>
      </c>
      <c r="B18" s="48" t="s">
        <v>671</v>
      </c>
      <c r="C18" s="49" t="s">
        <v>672</v>
      </c>
      <c r="D18" s="49" t="s">
        <v>662</v>
      </c>
      <c r="E18" s="51" t="s">
        <v>645</v>
      </c>
      <c r="U18" t="s">
        <v>167</v>
      </c>
    </row>
    <row r="19" spans="1:21" ht="14.25" thickBot="1" x14ac:dyDescent="0.2">
      <c r="A19" s="52" t="s">
        <v>450</v>
      </c>
      <c r="B19" s="23" t="s">
        <v>684</v>
      </c>
      <c r="C19" s="24" t="s">
        <v>685</v>
      </c>
      <c r="D19" s="24" t="s">
        <v>655</v>
      </c>
      <c r="E19" s="50" t="s">
        <v>647</v>
      </c>
      <c r="K19" t="s">
        <v>33</v>
      </c>
      <c r="L19" t="s">
        <v>35</v>
      </c>
      <c r="M19" t="s">
        <v>38</v>
      </c>
      <c r="N19" t="s">
        <v>40</v>
      </c>
      <c r="O19" t="s">
        <v>42</v>
      </c>
      <c r="P19" t="s">
        <v>44</v>
      </c>
      <c r="Q19" t="s">
        <v>46</v>
      </c>
      <c r="R19" t="s">
        <v>48</v>
      </c>
      <c r="S19" t="s">
        <v>50</v>
      </c>
      <c r="T19" t="s">
        <v>52</v>
      </c>
      <c r="U19" t="s">
        <v>282</v>
      </c>
    </row>
    <row r="20" spans="1:21" x14ac:dyDescent="0.15">
      <c r="A20" s="58" t="s">
        <v>310</v>
      </c>
      <c r="B20" s="25" t="s">
        <v>696</v>
      </c>
      <c r="C20" s="15" t="s">
        <v>697</v>
      </c>
      <c r="D20" s="15" t="s">
        <v>698</v>
      </c>
      <c r="E20" s="55" t="s">
        <v>646</v>
      </c>
      <c r="K20" t="s">
        <v>176</v>
      </c>
      <c r="L20" t="s">
        <v>185</v>
      </c>
      <c r="M20" t="s">
        <v>177</v>
      </c>
      <c r="N20" t="s">
        <v>184</v>
      </c>
      <c r="O20" t="s">
        <v>178</v>
      </c>
      <c r="P20" t="s">
        <v>449</v>
      </c>
      <c r="Q20" t="s">
        <v>179</v>
      </c>
      <c r="R20" t="s">
        <v>182</v>
      </c>
      <c r="S20" t="s">
        <v>180</v>
      </c>
      <c r="T20" t="s">
        <v>181</v>
      </c>
    </row>
    <row r="21" spans="1:21" x14ac:dyDescent="0.15">
      <c r="A21" s="45" t="s">
        <v>695</v>
      </c>
      <c r="B21" s="13" t="s">
        <v>693</v>
      </c>
      <c r="C21" s="10" t="s">
        <v>694</v>
      </c>
      <c r="D21" s="10" t="s">
        <v>653</v>
      </c>
      <c r="E21" s="29" t="s">
        <v>647</v>
      </c>
      <c r="K21" t="s">
        <v>191</v>
      </c>
      <c r="L21" t="s">
        <v>451</v>
      </c>
      <c r="M21" t="s">
        <v>189</v>
      </c>
      <c r="N21" t="s">
        <v>187</v>
      </c>
      <c r="O21" t="s">
        <v>452</v>
      </c>
      <c r="P21" t="s">
        <v>186</v>
      </c>
      <c r="Q21" t="s">
        <v>192</v>
      </c>
      <c r="R21" t="s">
        <v>453</v>
      </c>
      <c r="S21" t="s">
        <v>450</v>
      </c>
      <c r="T21" t="s">
        <v>188</v>
      </c>
      <c r="U21" t="s">
        <v>282</v>
      </c>
    </row>
    <row r="22" spans="1:21" ht="14.25" thickBot="1" x14ac:dyDescent="0.2">
      <c r="A22" s="46" t="s">
        <v>317</v>
      </c>
      <c r="B22" s="7" t="s">
        <v>687</v>
      </c>
      <c r="C22" s="21" t="s">
        <v>688</v>
      </c>
      <c r="D22" s="21" t="s">
        <v>689</v>
      </c>
      <c r="E22" s="44" t="s">
        <v>690</v>
      </c>
      <c r="K22" t="s">
        <v>196</v>
      </c>
      <c r="L22" t="s">
        <v>202</v>
      </c>
      <c r="M22" t="s">
        <v>197</v>
      </c>
      <c r="N22" t="s">
        <v>201</v>
      </c>
      <c r="O22" t="s">
        <v>198</v>
      </c>
      <c r="P22" t="s">
        <v>195</v>
      </c>
      <c r="Q22" t="s">
        <v>194</v>
      </c>
      <c r="R22" t="s">
        <v>204</v>
      </c>
      <c r="S22" t="s">
        <v>200</v>
      </c>
      <c r="T22" t="s">
        <v>203</v>
      </c>
      <c r="U22" t="s">
        <v>282</v>
      </c>
    </row>
    <row r="23" spans="1:21" x14ac:dyDescent="0.15">
      <c r="K23" t="s">
        <v>215</v>
      </c>
      <c r="L23" t="s">
        <v>206</v>
      </c>
      <c r="M23" t="s">
        <v>214</v>
      </c>
      <c r="N23" t="s">
        <v>211</v>
      </c>
      <c r="O23" t="s">
        <v>213</v>
      </c>
      <c r="P23" t="s">
        <v>208</v>
      </c>
      <c r="Q23" t="s">
        <v>207</v>
      </c>
      <c r="R23" t="s">
        <v>212</v>
      </c>
      <c r="S23" t="s">
        <v>210</v>
      </c>
      <c r="T23" t="s">
        <v>205</v>
      </c>
      <c r="U23" t="s">
        <v>282</v>
      </c>
    </row>
    <row r="24" spans="1:21" x14ac:dyDescent="0.15">
      <c r="K24" t="s">
        <v>216</v>
      </c>
      <c r="L24" t="s">
        <v>454</v>
      </c>
      <c r="M24" t="s">
        <v>219</v>
      </c>
      <c r="N24" t="s">
        <v>223</v>
      </c>
      <c r="O24" t="s">
        <v>455</v>
      </c>
      <c r="P24" t="s">
        <v>222</v>
      </c>
      <c r="Q24" t="s">
        <v>220</v>
      </c>
      <c r="R24" t="s">
        <v>221</v>
      </c>
      <c r="S24" t="s">
        <v>218</v>
      </c>
      <c r="T24" t="s">
        <v>456</v>
      </c>
      <c r="U24" t="s">
        <v>282</v>
      </c>
    </row>
    <row r="25" spans="1:21" x14ac:dyDescent="0.15">
      <c r="K25" t="s">
        <v>224</v>
      </c>
      <c r="L25" t="s">
        <v>225</v>
      </c>
      <c r="M25" t="s">
        <v>226</v>
      </c>
      <c r="N25" t="s">
        <v>227</v>
      </c>
      <c r="O25" t="s">
        <v>228</v>
      </c>
      <c r="P25" t="s">
        <v>229</v>
      </c>
      <c r="Q25" t="s">
        <v>232</v>
      </c>
      <c r="R25" t="s">
        <v>235</v>
      </c>
      <c r="S25" t="s">
        <v>238</v>
      </c>
      <c r="T25" t="s">
        <v>241</v>
      </c>
      <c r="U25" t="s">
        <v>282</v>
      </c>
    </row>
    <row r="26" spans="1:21" x14ac:dyDescent="0.15">
      <c r="K26" t="s">
        <v>230</v>
      </c>
      <c r="L26" t="s">
        <v>457</v>
      </c>
      <c r="M26" t="s">
        <v>236</v>
      </c>
      <c r="N26" t="s">
        <v>402</v>
      </c>
      <c r="O26" t="s">
        <v>243</v>
      </c>
      <c r="P26" t="s">
        <v>410</v>
      </c>
      <c r="Q26" t="s">
        <v>233</v>
      </c>
      <c r="R26" t="s">
        <v>275</v>
      </c>
      <c r="S26" t="s">
        <v>239</v>
      </c>
      <c r="T26" t="s">
        <v>458</v>
      </c>
      <c r="U26" t="s">
        <v>282</v>
      </c>
    </row>
    <row r="27" spans="1:21" x14ac:dyDescent="0.15">
      <c r="K27" t="s">
        <v>459</v>
      </c>
      <c r="L27" t="s">
        <v>231</v>
      </c>
      <c r="M27" t="s">
        <v>190</v>
      </c>
      <c r="N27" t="s">
        <v>234</v>
      </c>
      <c r="O27" t="s">
        <v>199</v>
      </c>
      <c r="P27" t="s">
        <v>237</v>
      </c>
      <c r="Q27" t="s">
        <v>209</v>
      </c>
      <c r="R27" t="s">
        <v>240</v>
      </c>
      <c r="S27" t="s">
        <v>217</v>
      </c>
      <c r="T27" t="s">
        <v>242</v>
      </c>
      <c r="U27" t="s">
        <v>282</v>
      </c>
    </row>
    <row r="28" spans="1:21" x14ac:dyDescent="0.15">
      <c r="K28" t="s">
        <v>244</v>
      </c>
      <c r="L28" t="s">
        <v>460</v>
      </c>
      <c r="M28" t="s">
        <v>247</v>
      </c>
      <c r="N28" t="s">
        <v>461</v>
      </c>
      <c r="O28" t="s">
        <v>246</v>
      </c>
      <c r="P28" t="s">
        <v>462</v>
      </c>
      <c r="Q28" t="s">
        <v>245</v>
      </c>
      <c r="R28" t="s">
        <v>463</v>
      </c>
      <c r="S28" t="s">
        <v>464</v>
      </c>
      <c r="T28" t="s">
        <v>465</v>
      </c>
      <c r="U28" t="s">
        <v>282</v>
      </c>
    </row>
    <row r="29" spans="1:21" x14ac:dyDescent="0.15">
      <c r="U29" t="s">
        <v>282</v>
      </c>
    </row>
    <row r="30" spans="1:21" x14ac:dyDescent="0.15">
      <c r="K30" t="s">
        <v>86</v>
      </c>
      <c r="L30" t="s">
        <v>87</v>
      </c>
      <c r="M30" t="s">
        <v>89</v>
      </c>
      <c r="N30" t="s">
        <v>91</v>
      </c>
      <c r="O30" t="s">
        <v>93</v>
      </c>
      <c r="P30" t="s">
        <v>95</v>
      </c>
      <c r="Q30" t="s">
        <v>96</v>
      </c>
      <c r="R30" t="s">
        <v>98</v>
      </c>
      <c r="S30" t="s">
        <v>99</v>
      </c>
      <c r="T30" t="s">
        <v>100</v>
      </c>
      <c r="U30" t="s">
        <v>282</v>
      </c>
    </row>
    <row r="31" spans="1:21" x14ac:dyDescent="0.15">
      <c r="K31" t="s">
        <v>351</v>
      </c>
      <c r="L31" t="s">
        <v>286</v>
      </c>
      <c r="M31" t="s">
        <v>466</v>
      </c>
      <c r="N31" t="s">
        <v>467</v>
      </c>
      <c r="O31" t="s">
        <v>291</v>
      </c>
      <c r="P31" t="s">
        <v>290</v>
      </c>
      <c r="Q31" t="s">
        <v>285</v>
      </c>
      <c r="R31" t="s">
        <v>287</v>
      </c>
      <c r="S31" t="s">
        <v>288</v>
      </c>
      <c r="T31" t="s">
        <v>292</v>
      </c>
      <c r="U31" t="s">
        <v>681</v>
      </c>
    </row>
    <row r="32" spans="1:21" x14ac:dyDescent="0.15">
      <c r="K32" t="s">
        <v>469</v>
      </c>
      <c r="L32" t="s">
        <v>352</v>
      </c>
      <c r="M32" t="s">
        <v>468</v>
      </c>
      <c r="N32" t="s">
        <v>296</v>
      </c>
      <c r="O32" t="s">
        <v>300</v>
      </c>
      <c r="P32" t="s">
        <v>298</v>
      </c>
      <c r="Q32" t="s">
        <v>301</v>
      </c>
      <c r="R32" t="s">
        <v>297</v>
      </c>
      <c r="S32" t="s">
        <v>295</v>
      </c>
      <c r="T32" t="s">
        <v>299</v>
      </c>
      <c r="U32" t="s">
        <v>282</v>
      </c>
    </row>
    <row r="33" spans="11:21" x14ac:dyDescent="0.15">
      <c r="K33" t="s">
        <v>305</v>
      </c>
      <c r="L33" t="s">
        <v>306</v>
      </c>
      <c r="M33" t="s">
        <v>353</v>
      </c>
      <c r="N33" t="s">
        <v>470</v>
      </c>
      <c r="O33" t="s">
        <v>409</v>
      </c>
      <c r="P33" t="s">
        <v>307</v>
      </c>
      <c r="Q33" t="s">
        <v>308</v>
      </c>
      <c r="R33" t="s">
        <v>471</v>
      </c>
      <c r="S33" t="s">
        <v>304</v>
      </c>
      <c r="T33" t="s">
        <v>311</v>
      </c>
      <c r="U33" t="s">
        <v>282</v>
      </c>
    </row>
    <row r="34" spans="11:21" x14ac:dyDescent="0.15">
      <c r="K34" t="s">
        <v>314</v>
      </c>
      <c r="L34" t="s">
        <v>407</v>
      </c>
      <c r="M34" t="s">
        <v>317</v>
      </c>
      <c r="N34" t="s">
        <v>474</v>
      </c>
      <c r="O34" t="s">
        <v>316</v>
      </c>
      <c r="P34" t="s">
        <v>473</v>
      </c>
      <c r="Q34" t="s">
        <v>472</v>
      </c>
      <c r="R34" t="s">
        <v>312</v>
      </c>
      <c r="S34" t="s">
        <v>315</v>
      </c>
      <c r="T34" t="s">
        <v>320</v>
      </c>
      <c r="U34" t="s">
        <v>282</v>
      </c>
    </row>
    <row r="35" spans="11:21" x14ac:dyDescent="0.15">
      <c r="K35" t="s">
        <v>324</v>
      </c>
      <c r="L35" t="s">
        <v>321</v>
      </c>
      <c r="M35" t="s">
        <v>406</v>
      </c>
      <c r="N35" t="s">
        <v>326</v>
      </c>
      <c r="O35" t="s">
        <v>412</v>
      </c>
      <c r="P35" t="s">
        <v>325</v>
      </c>
      <c r="Q35" t="s">
        <v>476</v>
      </c>
      <c r="R35" t="s">
        <v>475</v>
      </c>
      <c r="S35" t="s">
        <v>477</v>
      </c>
      <c r="T35" t="s">
        <v>328</v>
      </c>
      <c r="U35" t="s">
        <v>282</v>
      </c>
    </row>
    <row r="36" spans="11:21" x14ac:dyDescent="0.15">
      <c r="K36" t="s">
        <v>332</v>
      </c>
      <c r="L36" t="s">
        <v>478</v>
      </c>
      <c r="M36" t="s">
        <v>334</v>
      </c>
      <c r="N36" t="s">
        <v>336</v>
      </c>
      <c r="O36" t="s">
        <v>479</v>
      </c>
      <c r="P36" t="s">
        <v>338</v>
      </c>
      <c r="Q36" t="s">
        <v>411</v>
      </c>
      <c r="R36" t="s">
        <v>480</v>
      </c>
      <c r="S36" t="s">
        <v>337</v>
      </c>
      <c r="T36" t="s">
        <v>404</v>
      </c>
      <c r="U36" t="s">
        <v>282</v>
      </c>
    </row>
    <row r="37" spans="11:21" x14ac:dyDescent="0.15">
      <c r="K37" t="s">
        <v>488</v>
      </c>
      <c r="L37" t="s">
        <v>486</v>
      </c>
      <c r="M37" t="s">
        <v>482</v>
      </c>
      <c r="N37" t="s">
        <v>487</v>
      </c>
      <c r="O37" t="s">
        <v>360</v>
      </c>
      <c r="P37" t="s">
        <v>358</v>
      </c>
      <c r="Q37" t="s">
        <v>484</v>
      </c>
      <c r="R37" t="s">
        <v>481</v>
      </c>
      <c r="S37" t="s">
        <v>485</v>
      </c>
      <c r="T37" t="s">
        <v>483</v>
      </c>
      <c r="U37" t="s">
        <v>282</v>
      </c>
    </row>
    <row r="38" spans="11:21" x14ac:dyDescent="0.15">
      <c r="K38" t="s">
        <v>489</v>
      </c>
      <c r="L38" t="s">
        <v>490</v>
      </c>
      <c r="M38" t="s">
        <v>370</v>
      </c>
      <c r="N38" t="s">
        <v>491</v>
      </c>
      <c r="O38" t="s">
        <v>492</v>
      </c>
      <c r="P38" t="s">
        <v>493</v>
      </c>
      <c r="Q38" t="s">
        <v>494</v>
      </c>
      <c r="R38" t="s">
        <v>495</v>
      </c>
      <c r="S38" t="s">
        <v>374</v>
      </c>
      <c r="T38" t="s">
        <v>496</v>
      </c>
      <c r="U38" t="s">
        <v>282</v>
      </c>
    </row>
    <row r="39" spans="11:21" x14ac:dyDescent="0.15">
      <c r="K39" t="s">
        <v>497</v>
      </c>
      <c r="L39" t="s">
        <v>498</v>
      </c>
      <c r="M39" t="s">
        <v>500</v>
      </c>
      <c r="N39" t="s">
        <v>499</v>
      </c>
      <c r="O39" t="s">
        <v>504</v>
      </c>
      <c r="P39" t="s">
        <v>501</v>
      </c>
      <c r="Q39" t="s">
        <v>505</v>
      </c>
      <c r="R39" t="s">
        <v>502</v>
      </c>
      <c r="S39" t="s">
        <v>503</v>
      </c>
      <c r="T39" t="s">
        <v>396</v>
      </c>
      <c r="U39" t="s">
        <v>282</v>
      </c>
    </row>
    <row r="40" spans="11:21" x14ac:dyDescent="0.15">
      <c r="U40" t="s">
        <v>282</v>
      </c>
    </row>
    <row r="41" spans="11:21" x14ac:dyDescent="0.15">
      <c r="U41" t="s">
        <v>282</v>
      </c>
    </row>
  </sheetData>
  <mergeCells count="1">
    <mergeCell ref="B2:E2"/>
  </mergeCells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362"/>
  <sheetViews>
    <sheetView workbookViewId="0">
      <pane ySplit="2" topLeftCell="A3" activePane="bottomLeft" state="frozen"/>
      <selection pane="bottomLeft" activeCell="L15" sqref="L15"/>
    </sheetView>
  </sheetViews>
  <sheetFormatPr defaultRowHeight="13.5" x14ac:dyDescent="0.15"/>
  <cols>
    <col min="3" max="3" width="2.875" bestFit="1" customWidth="1"/>
    <col min="4" max="5" width="2.75" bestFit="1" customWidth="1"/>
    <col min="6" max="6" width="2.625" bestFit="1" customWidth="1"/>
    <col min="7" max="7" width="2.75" bestFit="1" customWidth="1"/>
    <col min="8" max="8" width="4.125" bestFit="1" customWidth="1"/>
    <col min="9" max="9" width="4" bestFit="1" customWidth="1"/>
    <col min="10" max="11" width="3.875" bestFit="1" customWidth="1"/>
    <col min="12" max="13" width="4.125" bestFit="1" customWidth="1"/>
    <col min="14" max="14" width="3.875" bestFit="1" customWidth="1"/>
    <col min="15" max="17" width="4" bestFit="1" customWidth="1"/>
    <col min="18" max="20" width="5.25" bestFit="1" customWidth="1"/>
    <col min="21" max="21" width="5.125" bestFit="1" customWidth="1"/>
    <col min="22" max="22" width="5.375" bestFit="1" customWidth="1"/>
    <col min="23" max="23" width="3.75" bestFit="1" customWidth="1"/>
    <col min="24" max="24" width="2.75" bestFit="1" customWidth="1"/>
    <col min="25" max="25" width="3.5" bestFit="1" customWidth="1"/>
  </cols>
  <sheetData>
    <row r="1" spans="1:25" s="4" customFormat="1" x14ac:dyDescent="0.15">
      <c r="C1" s="4" t="s">
        <v>736</v>
      </c>
      <c r="D1" s="4" t="s">
        <v>737</v>
      </c>
      <c r="E1" s="4" t="s">
        <v>738</v>
      </c>
      <c r="F1" s="4" t="s">
        <v>739</v>
      </c>
      <c r="G1" s="4" t="s">
        <v>657</v>
      </c>
      <c r="H1" s="4" t="s">
        <v>740</v>
      </c>
      <c r="I1" s="4" t="s">
        <v>741</v>
      </c>
      <c r="J1" s="4" t="s">
        <v>742</v>
      </c>
      <c r="K1" s="4" t="s">
        <v>743</v>
      </c>
      <c r="L1" s="4" t="s">
        <v>744</v>
      </c>
      <c r="M1" s="4" t="s">
        <v>23</v>
      </c>
      <c r="N1" s="4" t="s">
        <v>11</v>
      </c>
      <c r="O1" s="4" t="s">
        <v>36</v>
      </c>
      <c r="P1" s="4" t="s">
        <v>4</v>
      </c>
      <c r="Q1" s="4" t="s">
        <v>54</v>
      </c>
      <c r="R1" s="4" t="s">
        <v>340</v>
      </c>
      <c r="S1" s="4" t="s">
        <v>342</v>
      </c>
      <c r="T1" s="4" t="s">
        <v>344</v>
      </c>
      <c r="U1" s="4" t="s">
        <v>346</v>
      </c>
      <c r="V1" s="4" t="s">
        <v>348</v>
      </c>
      <c r="W1" s="4" t="s">
        <v>350</v>
      </c>
      <c r="X1" s="4" t="s">
        <v>745</v>
      </c>
      <c r="Y1" s="4" t="s">
        <v>746</v>
      </c>
    </row>
    <row r="2" spans="1:25" s="4" customFormat="1" x14ac:dyDescent="0.15">
      <c r="C2" s="4">
        <f>COUNTIF($B:$B,C1)</f>
        <v>47</v>
      </c>
      <c r="D2" s="4">
        <f t="shared" ref="D2:Y2" si="0">COUNTIF($B:$B,D1)</f>
        <v>49</v>
      </c>
      <c r="E2" s="4">
        <f t="shared" si="0"/>
        <v>45</v>
      </c>
      <c r="F2" s="4">
        <f t="shared" si="0"/>
        <v>40</v>
      </c>
      <c r="G2" s="4">
        <f t="shared" si="0"/>
        <v>44</v>
      </c>
      <c r="H2" s="4">
        <f t="shared" si="0"/>
        <v>1</v>
      </c>
      <c r="I2" s="4">
        <f t="shared" si="0"/>
        <v>0</v>
      </c>
      <c r="J2" s="4">
        <f t="shared" si="0"/>
        <v>3</v>
      </c>
      <c r="K2" s="4">
        <f>COUNTIF($B:$B,K1)</f>
        <v>2</v>
      </c>
      <c r="L2" s="4">
        <f t="shared" si="0"/>
        <v>1</v>
      </c>
      <c r="M2" s="4">
        <f t="shared" si="0"/>
        <v>19</v>
      </c>
      <c r="N2" s="4">
        <f>COUNTIF($B:$B,N1)</f>
        <v>19</v>
      </c>
      <c r="O2" s="4">
        <f t="shared" si="0"/>
        <v>22</v>
      </c>
      <c r="P2" s="4">
        <f t="shared" si="0"/>
        <v>21</v>
      </c>
      <c r="Q2" s="4">
        <f t="shared" si="0"/>
        <v>19</v>
      </c>
      <c r="R2" s="4">
        <f t="shared" si="0"/>
        <v>0</v>
      </c>
      <c r="S2" s="4">
        <f t="shared" si="0"/>
        <v>3</v>
      </c>
      <c r="T2" s="4">
        <f t="shared" si="0"/>
        <v>0</v>
      </c>
      <c r="U2" s="4">
        <f t="shared" si="0"/>
        <v>0</v>
      </c>
      <c r="V2" s="4">
        <f t="shared" si="0"/>
        <v>2</v>
      </c>
      <c r="W2" s="4">
        <f t="shared" si="0"/>
        <v>0</v>
      </c>
      <c r="X2" s="4">
        <f t="shared" si="0"/>
        <v>16</v>
      </c>
      <c r="Y2" s="4">
        <f t="shared" si="0"/>
        <v>7</v>
      </c>
    </row>
    <row r="3" spans="1:25" x14ac:dyDescent="0.15">
      <c r="A3" t="s">
        <v>165</v>
      </c>
      <c r="B3" t="s">
        <v>776</v>
      </c>
    </row>
    <row r="4" spans="1:25" x14ac:dyDescent="0.15">
      <c r="A4" t="s">
        <v>165</v>
      </c>
      <c r="B4" s="4" t="s">
        <v>755</v>
      </c>
    </row>
    <row r="5" spans="1:25" x14ac:dyDescent="0.15">
      <c r="A5" t="s">
        <v>165</v>
      </c>
      <c r="B5" s="4" t="s">
        <v>755</v>
      </c>
    </row>
    <row r="6" spans="1:25" x14ac:dyDescent="0.15">
      <c r="A6" t="s">
        <v>165</v>
      </c>
      <c r="B6" s="4" t="s">
        <v>755</v>
      </c>
    </row>
    <row r="7" spans="1:25" x14ac:dyDescent="0.15">
      <c r="A7" t="s">
        <v>167</v>
      </c>
      <c r="B7" s="4" t="s">
        <v>749</v>
      </c>
    </row>
    <row r="8" spans="1:25" x14ac:dyDescent="0.15">
      <c r="A8" t="s">
        <v>167</v>
      </c>
      <c r="B8" s="4" t="s">
        <v>749</v>
      </c>
    </row>
    <row r="9" spans="1:25" x14ac:dyDescent="0.15">
      <c r="A9" t="s">
        <v>166</v>
      </c>
      <c r="B9" s="4" t="s">
        <v>769</v>
      </c>
    </row>
    <row r="10" spans="1:25" x14ac:dyDescent="0.15">
      <c r="A10" t="s">
        <v>166</v>
      </c>
      <c r="B10" s="4" t="s">
        <v>769</v>
      </c>
    </row>
    <row r="11" spans="1:25" x14ac:dyDescent="0.15">
      <c r="A11" t="s">
        <v>166</v>
      </c>
      <c r="B11" s="4" t="s">
        <v>769</v>
      </c>
    </row>
    <row r="12" spans="1:25" x14ac:dyDescent="0.15">
      <c r="A12" t="s">
        <v>166</v>
      </c>
      <c r="B12" s="4" t="s">
        <v>769</v>
      </c>
    </row>
    <row r="13" spans="1:25" x14ac:dyDescent="0.15">
      <c r="A13" t="s">
        <v>164</v>
      </c>
      <c r="B13" s="4" t="s">
        <v>752</v>
      </c>
    </row>
    <row r="14" spans="1:25" x14ac:dyDescent="0.15">
      <c r="A14" t="s">
        <v>164</v>
      </c>
      <c r="B14" s="4" t="s">
        <v>752</v>
      </c>
    </row>
    <row r="15" spans="1:25" x14ac:dyDescent="0.15">
      <c r="A15" t="s">
        <v>164</v>
      </c>
      <c r="B15" s="4" t="s">
        <v>752</v>
      </c>
    </row>
    <row r="16" spans="1:25" x14ac:dyDescent="0.15">
      <c r="A16" t="s">
        <v>164</v>
      </c>
      <c r="B16" s="4" t="s">
        <v>773</v>
      </c>
    </row>
    <row r="17" spans="1:2" x14ac:dyDescent="0.15">
      <c r="A17" t="s">
        <v>163</v>
      </c>
      <c r="B17" s="4" t="s">
        <v>753</v>
      </c>
    </row>
    <row r="18" spans="1:2" x14ac:dyDescent="0.15">
      <c r="A18" t="s">
        <v>163</v>
      </c>
      <c r="B18" s="4" t="s">
        <v>762</v>
      </c>
    </row>
    <row r="19" spans="1:2" x14ac:dyDescent="0.15">
      <c r="A19" t="s">
        <v>163</v>
      </c>
      <c r="B19" s="4" t="s">
        <v>753</v>
      </c>
    </row>
    <row r="20" spans="1:2" x14ac:dyDescent="0.15">
      <c r="A20" t="s">
        <v>429</v>
      </c>
      <c r="B20" s="4" t="s">
        <v>739</v>
      </c>
    </row>
    <row r="21" spans="1:2" x14ac:dyDescent="0.15">
      <c r="A21" t="s">
        <v>429</v>
      </c>
      <c r="B21" s="4" t="s">
        <v>739</v>
      </c>
    </row>
    <row r="22" spans="1:2" x14ac:dyDescent="0.15">
      <c r="A22" t="s">
        <v>429</v>
      </c>
      <c r="B22" s="4" t="s">
        <v>739</v>
      </c>
    </row>
    <row r="23" spans="1:2" x14ac:dyDescent="0.15">
      <c r="A23" t="s">
        <v>429</v>
      </c>
      <c r="B23" s="4" t="s">
        <v>739</v>
      </c>
    </row>
    <row r="24" spans="1:2" x14ac:dyDescent="0.15">
      <c r="A24" t="s">
        <v>426</v>
      </c>
      <c r="B24" s="4" t="s">
        <v>739</v>
      </c>
    </row>
    <row r="25" spans="1:2" x14ac:dyDescent="0.15">
      <c r="A25" t="s">
        <v>426</v>
      </c>
      <c r="B25" s="4" t="s">
        <v>739</v>
      </c>
    </row>
    <row r="26" spans="1:2" x14ac:dyDescent="0.15">
      <c r="A26" t="s">
        <v>426</v>
      </c>
      <c r="B26" s="4" t="s">
        <v>739</v>
      </c>
    </row>
    <row r="27" spans="1:2" x14ac:dyDescent="0.15">
      <c r="A27" t="s">
        <v>460</v>
      </c>
      <c r="B27" s="4" t="s">
        <v>348</v>
      </c>
    </row>
    <row r="28" spans="1:2" x14ac:dyDescent="0.15">
      <c r="A28" t="s">
        <v>439</v>
      </c>
      <c r="B28" s="4" t="s">
        <v>11</v>
      </c>
    </row>
    <row r="29" spans="1:2" x14ac:dyDescent="0.15">
      <c r="A29" t="s">
        <v>443</v>
      </c>
      <c r="B29" s="4" t="s">
        <v>752</v>
      </c>
    </row>
    <row r="30" spans="1:2" x14ac:dyDescent="0.15">
      <c r="A30" t="s">
        <v>443</v>
      </c>
      <c r="B30" s="4" t="s">
        <v>752</v>
      </c>
    </row>
    <row r="31" spans="1:2" x14ac:dyDescent="0.15">
      <c r="A31" t="s">
        <v>441</v>
      </c>
      <c r="B31" s="4" t="s">
        <v>4</v>
      </c>
    </row>
    <row r="32" spans="1:2" x14ac:dyDescent="0.15">
      <c r="A32" t="s">
        <v>441</v>
      </c>
      <c r="B32" s="4" t="s">
        <v>4</v>
      </c>
    </row>
    <row r="33" spans="1:2" x14ac:dyDescent="0.15">
      <c r="A33" t="s">
        <v>433</v>
      </c>
      <c r="B33" s="4" t="s">
        <v>54</v>
      </c>
    </row>
    <row r="34" spans="1:2" x14ac:dyDescent="0.15">
      <c r="A34" t="s">
        <v>436</v>
      </c>
      <c r="B34" s="4" t="s">
        <v>4</v>
      </c>
    </row>
    <row r="35" spans="1:2" x14ac:dyDescent="0.15">
      <c r="A35" t="s">
        <v>448</v>
      </c>
      <c r="B35" s="4" t="s">
        <v>745</v>
      </c>
    </row>
    <row r="36" spans="1:2" x14ac:dyDescent="0.15">
      <c r="A36" t="s">
        <v>448</v>
      </c>
      <c r="B36" s="4" t="s">
        <v>745</v>
      </c>
    </row>
    <row r="37" spans="1:2" x14ac:dyDescent="0.15">
      <c r="A37" t="s">
        <v>417</v>
      </c>
      <c r="B37" s="4" t="s">
        <v>737</v>
      </c>
    </row>
    <row r="38" spans="1:2" x14ac:dyDescent="0.15">
      <c r="A38" t="s">
        <v>442</v>
      </c>
      <c r="B38" s="4" t="s">
        <v>753</v>
      </c>
    </row>
    <row r="39" spans="1:2" x14ac:dyDescent="0.15">
      <c r="A39" t="s">
        <v>442</v>
      </c>
      <c r="B39" s="4" t="s">
        <v>762</v>
      </c>
    </row>
    <row r="40" spans="1:2" x14ac:dyDescent="0.15">
      <c r="A40" t="s">
        <v>442</v>
      </c>
      <c r="B40" s="4" t="s">
        <v>753</v>
      </c>
    </row>
    <row r="41" spans="1:2" x14ac:dyDescent="0.15">
      <c r="A41" t="s">
        <v>39</v>
      </c>
      <c r="B41" s="4" t="s">
        <v>737</v>
      </c>
    </row>
    <row r="42" spans="1:2" x14ac:dyDescent="0.15">
      <c r="A42" t="s">
        <v>676</v>
      </c>
      <c r="B42" s="4" t="s">
        <v>738</v>
      </c>
    </row>
    <row r="43" spans="1:2" x14ac:dyDescent="0.15">
      <c r="A43" t="s">
        <v>676</v>
      </c>
      <c r="B43" s="4" t="s">
        <v>738</v>
      </c>
    </row>
    <row r="44" spans="1:2" x14ac:dyDescent="0.15">
      <c r="A44" t="s">
        <v>444</v>
      </c>
      <c r="B44" s="4" t="s">
        <v>755</v>
      </c>
    </row>
    <row r="45" spans="1:2" x14ac:dyDescent="0.15">
      <c r="A45" t="s">
        <v>444</v>
      </c>
      <c r="B45" s="4" t="s">
        <v>777</v>
      </c>
    </row>
    <row r="46" spans="1:2" x14ac:dyDescent="0.15">
      <c r="A46" t="s">
        <v>444</v>
      </c>
      <c r="B46" s="4" t="s">
        <v>755</v>
      </c>
    </row>
    <row r="47" spans="1:2" x14ac:dyDescent="0.15">
      <c r="A47" t="s">
        <v>440</v>
      </c>
      <c r="B47" s="4" t="s">
        <v>36</v>
      </c>
    </row>
    <row r="48" spans="1:2" x14ac:dyDescent="0.15">
      <c r="A48" t="s">
        <v>446</v>
      </c>
      <c r="B48" s="4" t="s">
        <v>749</v>
      </c>
    </row>
    <row r="49" spans="1:2" x14ac:dyDescent="0.15">
      <c r="A49" t="s">
        <v>446</v>
      </c>
      <c r="B49" s="4" t="s">
        <v>749</v>
      </c>
    </row>
    <row r="50" spans="1:2" x14ac:dyDescent="0.15">
      <c r="A50" t="s">
        <v>446</v>
      </c>
      <c r="B50" s="4" t="s">
        <v>749</v>
      </c>
    </row>
    <row r="51" spans="1:2" x14ac:dyDescent="0.15">
      <c r="A51" t="s">
        <v>446</v>
      </c>
      <c r="B51" s="4" t="s">
        <v>749</v>
      </c>
    </row>
    <row r="52" spans="1:2" x14ac:dyDescent="0.15">
      <c r="A52" t="s">
        <v>451</v>
      </c>
      <c r="B52" s="4" t="s">
        <v>737</v>
      </c>
    </row>
    <row r="53" spans="1:2" x14ac:dyDescent="0.15">
      <c r="A53" t="s">
        <v>462</v>
      </c>
      <c r="B53" s="4" t="s">
        <v>342</v>
      </c>
    </row>
    <row r="54" spans="1:2" x14ac:dyDescent="0.15">
      <c r="A54" t="s">
        <v>462</v>
      </c>
      <c r="B54" s="4" t="s">
        <v>342</v>
      </c>
    </row>
    <row r="55" spans="1:2" x14ac:dyDescent="0.15">
      <c r="A55" t="s">
        <v>462</v>
      </c>
      <c r="B55" s="4" t="s">
        <v>342</v>
      </c>
    </row>
    <row r="56" spans="1:2" x14ac:dyDescent="0.15">
      <c r="A56" t="s">
        <v>470</v>
      </c>
      <c r="B56" s="4" t="s">
        <v>738</v>
      </c>
    </row>
    <row r="57" spans="1:2" x14ac:dyDescent="0.15">
      <c r="A57" t="s">
        <v>415</v>
      </c>
      <c r="B57" s="4" t="s">
        <v>737</v>
      </c>
    </row>
    <row r="58" spans="1:2" x14ac:dyDescent="0.15">
      <c r="A58" t="s">
        <v>424</v>
      </c>
      <c r="B58" s="4" t="s">
        <v>739</v>
      </c>
    </row>
    <row r="59" spans="1:2" x14ac:dyDescent="0.15">
      <c r="A59" t="s">
        <v>424</v>
      </c>
      <c r="B59" s="4" t="s">
        <v>739</v>
      </c>
    </row>
    <row r="60" spans="1:2" x14ac:dyDescent="0.15">
      <c r="A60" t="s">
        <v>474</v>
      </c>
      <c r="B60" s="4" t="s">
        <v>745</v>
      </c>
    </row>
    <row r="61" spans="1:2" x14ac:dyDescent="0.15">
      <c r="A61" t="s">
        <v>259</v>
      </c>
      <c r="B61" s="4" t="s">
        <v>54</v>
      </c>
    </row>
    <row r="62" spans="1:2" x14ac:dyDescent="0.15">
      <c r="A62" t="s">
        <v>259</v>
      </c>
      <c r="B62" s="4" t="s">
        <v>54</v>
      </c>
    </row>
    <row r="63" spans="1:2" x14ac:dyDescent="0.15">
      <c r="A63" t="s">
        <v>419</v>
      </c>
      <c r="B63" s="4" t="s">
        <v>738</v>
      </c>
    </row>
    <row r="64" spans="1:2" x14ac:dyDescent="0.15">
      <c r="A64" t="s">
        <v>419</v>
      </c>
      <c r="B64" s="4" t="s">
        <v>738</v>
      </c>
    </row>
    <row r="65" spans="1:2" x14ac:dyDescent="0.15">
      <c r="A65" t="s">
        <v>419</v>
      </c>
      <c r="B65" s="4" t="s">
        <v>738</v>
      </c>
    </row>
    <row r="66" spans="1:2" x14ac:dyDescent="0.15">
      <c r="A66" t="s">
        <v>422</v>
      </c>
      <c r="B66" s="4" t="s">
        <v>657</v>
      </c>
    </row>
    <row r="67" spans="1:2" x14ac:dyDescent="0.15">
      <c r="A67" t="s">
        <v>422</v>
      </c>
      <c r="B67" s="4" t="s">
        <v>657</v>
      </c>
    </row>
    <row r="68" spans="1:2" x14ac:dyDescent="0.15">
      <c r="A68" t="s">
        <v>422</v>
      </c>
      <c r="B68" s="4" t="s">
        <v>657</v>
      </c>
    </row>
    <row r="69" spans="1:2" x14ac:dyDescent="0.15">
      <c r="A69" t="s">
        <v>69</v>
      </c>
      <c r="B69" s="4" t="s">
        <v>738</v>
      </c>
    </row>
    <row r="70" spans="1:2" x14ac:dyDescent="0.15">
      <c r="A70" t="s">
        <v>69</v>
      </c>
      <c r="B70" s="4" t="s">
        <v>738</v>
      </c>
    </row>
    <row r="71" spans="1:2" x14ac:dyDescent="0.15">
      <c r="A71" t="s">
        <v>498</v>
      </c>
      <c r="B71" s="4" t="s">
        <v>742</v>
      </c>
    </row>
    <row r="72" spans="1:2" x14ac:dyDescent="0.15">
      <c r="A72" t="s">
        <v>416</v>
      </c>
      <c r="B72" s="4" t="s">
        <v>737</v>
      </c>
    </row>
    <row r="73" spans="1:2" x14ac:dyDescent="0.15">
      <c r="A73" t="s">
        <v>416</v>
      </c>
      <c r="B73" s="4" t="s">
        <v>737</v>
      </c>
    </row>
    <row r="74" spans="1:2" x14ac:dyDescent="0.15">
      <c r="A74" t="s">
        <v>466</v>
      </c>
      <c r="B74" s="4" t="s">
        <v>736</v>
      </c>
    </row>
    <row r="75" spans="1:2" x14ac:dyDescent="0.15">
      <c r="A75" t="s">
        <v>445</v>
      </c>
      <c r="B75" s="4" t="s">
        <v>769</v>
      </c>
    </row>
    <row r="76" spans="1:2" x14ac:dyDescent="0.15">
      <c r="A76" t="s">
        <v>445</v>
      </c>
      <c r="B76" s="4" t="s">
        <v>769</v>
      </c>
    </row>
    <row r="77" spans="1:2" x14ac:dyDescent="0.15">
      <c r="A77" t="s">
        <v>445</v>
      </c>
      <c r="B77" s="4" t="s">
        <v>769</v>
      </c>
    </row>
    <row r="78" spans="1:2" x14ac:dyDescent="0.15">
      <c r="A78" t="s">
        <v>445</v>
      </c>
      <c r="B78" s="4" t="s">
        <v>769</v>
      </c>
    </row>
    <row r="79" spans="1:2" x14ac:dyDescent="0.15">
      <c r="A79" t="s">
        <v>431</v>
      </c>
      <c r="B79" s="4" t="s">
        <v>4</v>
      </c>
    </row>
    <row r="80" spans="1:2" x14ac:dyDescent="0.15">
      <c r="A80" t="s">
        <v>675</v>
      </c>
      <c r="B80" s="4" t="s">
        <v>737</v>
      </c>
    </row>
    <row r="81" spans="1:2" x14ac:dyDescent="0.15">
      <c r="A81" t="s">
        <v>675</v>
      </c>
      <c r="B81" s="4" t="s">
        <v>737</v>
      </c>
    </row>
    <row r="82" spans="1:2" x14ac:dyDescent="0.15">
      <c r="A82" t="s">
        <v>675</v>
      </c>
      <c r="B82" s="4" t="s">
        <v>737</v>
      </c>
    </row>
    <row r="83" spans="1:2" x14ac:dyDescent="0.15">
      <c r="A83" t="s">
        <v>464</v>
      </c>
      <c r="B83" s="4" t="s">
        <v>745</v>
      </c>
    </row>
    <row r="84" spans="1:2" x14ac:dyDescent="0.15">
      <c r="A84" t="s">
        <v>425</v>
      </c>
      <c r="B84" s="4" t="s">
        <v>738</v>
      </c>
    </row>
    <row r="85" spans="1:2" x14ac:dyDescent="0.15">
      <c r="A85" t="s">
        <v>425</v>
      </c>
      <c r="B85" s="4" t="s">
        <v>738</v>
      </c>
    </row>
    <row r="86" spans="1:2" x14ac:dyDescent="0.15">
      <c r="A86" t="s">
        <v>674</v>
      </c>
      <c r="B86" s="4" t="s">
        <v>736</v>
      </c>
    </row>
    <row r="87" spans="1:2" x14ac:dyDescent="0.15">
      <c r="A87" t="s">
        <v>338</v>
      </c>
      <c r="B87" s="4" t="s">
        <v>54</v>
      </c>
    </row>
    <row r="88" spans="1:2" x14ac:dyDescent="0.15">
      <c r="A88" t="s">
        <v>142</v>
      </c>
      <c r="B88" s="4" t="s">
        <v>36</v>
      </c>
    </row>
    <row r="89" spans="1:2" x14ac:dyDescent="0.15">
      <c r="A89" t="s">
        <v>142</v>
      </c>
      <c r="B89" s="4" t="s">
        <v>36</v>
      </c>
    </row>
    <row r="90" spans="1:2" x14ac:dyDescent="0.15">
      <c r="A90" t="s">
        <v>142</v>
      </c>
      <c r="B90" s="4" t="s">
        <v>36</v>
      </c>
    </row>
    <row r="91" spans="1:2" x14ac:dyDescent="0.15">
      <c r="A91" t="s">
        <v>142</v>
      </c>
      <c r="B91" s="4" t="s">
        <v>36</v>
      </c>
    </row>
    <row r="92" spans="1:2" x14ac:dyDescent="0.15">
      <c r="A92" t="s">
        <v>678</v>
      </c>
      <c r="B92" s="4" t="s">
        <v>753</v>
      </c>
    </row>
    <row r="93" spans="1:2" x14ac:dyDescent="0.15">
      <c r="A93" t="s">
        <v>108</v>
      </c>
      <c r="B93" s="4" t="s">
        <v>766</v>
      </c>
    </row>
    <row r="94" spans="1:2" x14ac:dyDescent="0.15">
      <c r="A94" t="s">
        <v>108</v>
      </c>
      <c r="B94" s="4" t="s">
        <v>766</v>
      </c>
    </row>
    <row r="95" spans="1:2" x14ac:dyDescent="0.15">
      <c r="A95" t="s">
        <v>108</v>
      </c>
      <c r="B95" s="4" t="s">
        <v>766</v>
      </c>
    </row>
    <row r="96" spans="1:2" x14ac:dyDescent="0.15">
      <c r="A96" t="s">
        <v>26</v>
      </c>
      <c r="B96" s="4" t="s">
        <v>767</v>
      </c>
    </row>
    <row r="97" spans="1:2" x14ac:dyDescent="0.15">
      <c r="A97" t="s">
        <v>26</v>
      </c>
      <c r="B97" s="4" t="s">
        <v>767</v>
      </c>
    </row>
    <row r="98" spans="1:2" x14ac:dyDescent="0.15">
      <c r="A98" t="s">
        <v>26</v>
      </c>
      <c r="B98" s="4" t="s">
        <v>767</v>
      </c>
    </row>
    <row r="99" spans="1:2" x14ac:dyDescent="0.15">
      <c r="A99" t="s">
        <v>235</v>
      </c>
      <c r="B99" s="4" t="s">
        <v>755</v>
      </c>
    </row>
    <row r="100" spans="1:2" x14ac:dyDescent="0.15">
      <c r="A100" t="s">
        <v>76</v>
      </c>
      <c r="B100" s="4" t="s">
        <v>765</v>
      </c>
    </row>
    <row r="101" spans="1:2" x14ac:dyDescent="0.15">
      <c r="A101" t="s">
        <v>187</v>
      </c>
      <c r="B101" s="4" t="s">
        <v>764</v>
      </c>
    </row>
    <row r="102" spans="1:2" x14ac:dyDescent="0.15">
      <c r="A102" t="s">
        <v>45</v>
      </c>
      <c r="B102" s="4" t="s">
        <v>764</v>
      </c>
    </row>
    <row r="103" spans="1:2" x14ac:dyDescent="0.15">
      <c r="A103" t="s">
        <v>178</v>
      </c>
      <c r="B103" s="4" t="s">
        <v>767</v>
      </c>
    </row>
    <row r="104" spans="1:2" x14ac:dyDescent="0.15">
      <c r="A104" t="s">
        <v>178</v>
      </c>
      <c r="B104" s="4" t="s">
        <v>767</v>
      </c>
    </row>
    <row r="105" spans="1:2" x14ac:dyDescent="0.15">
      <c r="A105" t="s">
        <v>196</v>
      </c>
      <c r="B105" s="4" t="s">
        <v>765</v>
      </c>
    </row>
    <row r="106" spans="1:2" x14ac:dyDescent="0.15">
      <c r="A106" t="s">
        <v>703</v>
      </c>
      <c r="B106" s="4" t="s">
        <v>765</v>
      </c>
    </row>
    <row r="107" spans="1:2" x14ac:dyDescent="0.15">
      <c r="A107" t="s">
        <v>244</v>
      </c>
      <c r="B107" s="4" t="s">
        <v>771</v>
      </c>
    </row>
    <row r="108" spans="1:2" x14ac:dyDescent="0.15">
      <c r="A108" t="s">
        <v>305</v>
      </c>
      <c r="B108" s="4" t="s">
        <v>765</v>
      </c>
    </row>
    <row r="109" spans="1:2" x14ac:dyDescent="0.15">
      <c r="A109" t="s">
        <v>64</v>
      </c>
      <c r="B109" s="4" t="s">
        <v>765</v>
      </c>
    </row>
    <row r="110" spans="1:2" x14ac:dyDescent="0.15">
      <c r="A110" t="s">
        <v>192</v>
      </c>
      <c r="B110" s="4" t="s">
        <v>764</v>
      </c>
    </row>
    <row r="111" spans="1:2" x14ac:dyDescent="0.15">
      <c r="A111" t="s">
        <v>88</v>
      </c>
      <c r="B111" s="4" t="s">
        <v>754</v>
      </c>
    </row>
    <row r="112" spans="1:2" x14ac:dyDescent="0.15">
      <c r="A112" t="s">
        <v>88</v>
      </c>
      <c r="B112" s="4" t="s">
        <v>754</v>
      </c>
    </row>
    <row r="113" spans="1:2" x14ac:dyDescent="0.15">
      <c r="A113" t="s">
        <v>642</v>
      </c>
      <c r="B113" s="4" t="s">
        <v>765</v>
      </c>
    </row>
    <row r="114" spans="1:2" x14ac:dyDescent="0.15">
      <c r="A114" t="s">
        <v>7</v>
      </c>
      <c r="B114" s="4" t="s">
        <v>774</v>
      </c>
    </row>
    <row r="115" spans="1:2" x14ac:dyDescent="0.15">
      <c r="A115" t="s">
        <v>7</v>
      </c>
      <c r="B115" s="4" t="s">
        <v>767</v>
      </c>
    </row>
    <row r="116" spans="1:2" x14ac:dyDescent="0.15">
      <c r="A116" t="s">
        <v>493</v>
      </c>
      <c r="B116" s="4" t="s">
        <v>767</v>
      </c>
    </row>
    <row r="117" spans="1:2" x14ac:dyDescent="0.15">
      <c r="A117" t="s">
        <v>659</v>
      </c>
      <c r="B117" s="4" t="s">
        <v>766</v>
      </c>
    </row>
    <row r="118" spans="1:2" x14ac:dyDescent="0.15">
      <c r="A118" t="s">
        <v>659</v>
      </c>
      <c r="B118" s="4" t="s">
        <v>766</v>
      </c>
    </row>
    <row r="119" spans="1:2" x14ac:dyDescent="0.15">
      <c r="A119" t="s">
        <v>227</v>
      </c>
      <c r="B119" s="4" t="s">
        <v>775</v>
      </c>
    </row>
    <row r="120" spans="1:2" x14ac:dyDescent="0.15">
      <c r="A120" t="s">
        <v>227</v>
      </c>
      <c r="B120" s="4" t="s">
        <v>775</v>
      </c>
    </row>
    <row r="121" spans="1:2" x14ac:dyDescent="0.15">
      <c r="A121" t="s">
        <v>27</v>
      </c>
      <c r="B121" s="4" t="s">
        <v>767</v>
      </c>
    </row>
    <row r="122" spans="1:2" x14ac:dyDescent="0.15">
      <c r="A122" t="s">
        <v>229</v>
      </c>
      <c r="B122" s="4" t="s">
        <v>753</v>
      </c>
    </row>
    <row r="123" spans="1:2" x14ac:dyDescent="0.15">
      <c r="A123" t="s">
        <v>656</v>
      </c>
      <c r="B123" s="4" t="s">
        <v>766</v>
      </c>
    </row>
    <row r="124" spans="1:2" x14ac:dyDescent="0.15">
      <c r="A124" t="s">
        <v>656</v>
      </c>
      <c r="B124" s="4" t="s">
        <v>766</v>
      </c>
    </row>
    <row r="125" spans="1:2" x14ac:dyDescent="0.15">
      <c r="A125" t="s">
        <v>656</v>
      </c>
      <c r="B125" s="4" t="s">
        <v>766</v>
      </c>
    </row>
    <row r="126" spans="1:2" x14ac:dyDescent="0.15">
      <c r="A126" t="s">
        <v>253</v>
      </c>
      <c r="B126" s="4" t="s">
        <v>754</v>
      </c>
    </row>
    <row r="127" spans="1:2" x14ac:dyDescent="0.15">
      <c r="A127" t="s">
        <v>243</v>
      </c>
      <c r="B127" s="4" t="s">
        <v>752</v>
      </c>
    </row>
    <row r="128" spans="1:2" x14ac:dyDescent="0.15">
      <c r="A128" t="s">
        <v>243</v>
      </c>
      <c r="B128" s="4" t="s">
        <v>752</v>
      </c>
    </row>
    <row r="129" spans="1:2" x14ac:dyDescent="0.15">
      <c r="A129" t="s">
        <v>73</v>
      </c>
      <c r="B129" s="4" t="s">
        <v>765</v>
      </c>
    </row>
    <row r="130" spans="1:2" x14ac:dyDescent="0.15">
      <c r="A130" t="s">
        <v>77</v>
      </c>
      <c r="B130" s="4" t="s">
        <v>765</v>
      </c>
    </row>
    <row r="131" spans="1:2" x14ac:dyDescent="0.15">
      <c r="A131" t="s">
        <v>115</v>
      </c>
      <c r="B131" s="4" t="s">
        <v>766</v>
      </c>
    </row>
    <row r="132" spans="1:2" x14ac:dyDescent="0.15">
      <c r="A132" t="s">
        <v>115</v>
      </c>
      <c r="B132" s="4" t="s">
        <v>766</v>
      </c>
    </row>
    <row r="133" spans="1:2" x14ac:dyDescent="0.15">
      <c r="A133" t="s">
        <v>115</v>
      </c>
      <c r="B133" s="4" t="s">
        <v>760</v>
      </c>
    </row>
    <row r="134" spans="1:2" x14ac:dyDescent="0.15">
      <c r="A134" t="s">
        <v>146</v>
      </c>
      <c r="B134" s="4" t="s">
        <v>769</v>
      </c>
    </row>
    <row r="135" spans="1:2" x14ac:dyDescent="0.15">
      <c r="A135" t="s">
        <v>146</v>
      </c>
      <c r="B135" s="4" t="s">
        <v>769</v>
      </c>
    </row>
    <row r="136" spans="1:2" x14ac:dyDescent="0.15">
      <c r="A136" t="s">
        <v>146</v>
      </c>
      <c r="B136" s="4" t="s">
        <v>769</v>
      </c>
    </row>
    <row r="137" spans="1:2" x14ac:dyDescent="0.15">
      <c r="A137" t="s">
        <v>324</v>
      </c>
      <c r="B137" s="4" t="s">
        <v>766</v>
      </c>
    </row>
    <row r="138" spans="1:2" x14ac:dyDescent="0.15">
      <c r="A138" t="s">
        <v>56</v>
      </c>
      <c r="B138" s="4" t="s">
        <v>757</v>
      </c>
    </row>
    <row r="139" spans="1:2" x14ac:dyDescent="0.15">
      <c r="A139" t="s">
        <v>56</v>
      </c>
      <c r="B139" s="4" t="s">
        <v>757</v>
      </c>
    </row>
    <row r="140" spans="1:2" x14ac:dyDescent="0.15">
      <c r="A140" t="s">
        <v>56</v>
      </c>
      <c r="B140" s="4" t="s">
        <v>757</v>
      </c>
    </row>
    <row r="141" spans="1:2" x14ac:dyDescent="0.15">
      <c r="A141" t="s">
        <v>56</v>
      </c>
      <c r="B141" s="4" t="s">
        <v>757</v>
      </c>
    </row>
    <row r="142" spans="1:2" x14ac:dyDescent="0.15">
      <c r="A142" t="s">
        <v>56</v>
      </c>
      <c r="B142" s="4" t="s">
        <v>757</v>
      </c>
    </row>
    <row r="143" spans="1:2" x14ac:dyDescent="0.15">
      <c r="A143" t="s">
        <v>449</v>
      </c>
      <c r="B143" s="4" t="s">
        <v>767</v>
      </c>
    </row>
    <row r="144" spans="1:2" x14ac:dyDescent="0.15">
      <c r="A144" t="s">
        <v>241</v>
      </c>
      <c r="B144" s="4" t="s">
        <v>749</v>
      </c>
    </row>
    <row r="145" spans="1:2" x14ac:dyDescent="0.15">
      <c r="A145" t="s">
        <v>200</v>
      </c>
      <c r="B145" s="4" t="s">
        <v>765</v>
      </c>
    </row>
    <row r="146" spans="1:2" x14ac:dyDescent="0.15">
      <c r="A146" t="s">
        <v>185</v>
      </c>
      <c r="B146" s="4" t="s">
        <v>767</v>
      </c>
    </row>
    <row r="147" spans="1:2" x14ac:dyDescent="0.15">
      <c r="A147" t="s">
        <v>699</v>
      </c>
      <c r="B147" s="4" t="s">
        <v>765</v>
      </c>
    </row>
    <row r="148" spans="1:2" x14ac:dyDescent="0.15">
      <c r="A148" t="s">
        <v>9</v>
      </c>
      <c r="B148" s="4" t="s">
        <v>767</v>
      </c>
    </row>
    <row r="149" spans="1:2" x14ac:dyDescent="0.15">
      <c r="A149" t="s">
        <v>9</v>
      </c>
      <c r="B149" s="4" t="s">
        <v>767</v>
      </c>
    </row>
    <row r="150" spans="1:2" x14ac:dyDescent="0.15">
      <c r="A150" t="s">
        <v>9</v>
      </c>
      <c r="B150" s="4" t="s">
        <v>767</v>
      </c>
    </row>
    <row r="151" spans="1:2" x14ac:dyDescent="0.15">
      <c r="A151" t="s">
        <v>728</v>
      </c>
      <c r="B151" s="4" t="s">
        <v>748</v>
      </c>
    </row>
    <row r="152" spans="1:2" x14ac:dyDescent="0.15">
      <c r="A152" t="s">
        <v>728</v>
      </c>
      <c r="B152" s="4" t="s">
        <v>748</v>
      </c>
    </row>
    <row r="153" spans="1:2" x14ac:dyDescent="0.15">
      <c r="A153" t="s">
        <v>728</v>
      </c>
      <c r="B153" s="4" t="s">
        <v>748</v>
      </c>
    </row>
    <row r="154" spans="1:2" x14ac:dyDescent="0.15">
      <c r="A154" t="s">
        <v>332</v>
      </c>
      <c r="B154" s="4" t="s">
        <v>752</v>
      </c>
    </row>
    <row r="155" spans="1:2" x14ac:dyDescent="0.15">
      <c r="A155" t="s">
        <v>32</v>
      </c>
      <c r="B155" s="4" t="s">
        <v>767</v>
      </c>
    </row>
    <row r="156" spans="1:2" x14ac:dyDescent="0.15">
      <c r="A156" t="s">
        <v>212</v>
      </c>
      <c r="B156" s="4" t="s">
        <v>754</v>
      </c>
    </row>
    <row r="157" spans="1:2" x14ac:dyDescent="0.15">
      <c r="A157" t="s">
        <v>212</v>
      </c>
      <c r="B157" s="4" t="s">
        <v>754</v>
      </c>
    </row>
    <row r="158" spans="1:2" x14ac:dyDescent="0.15">
      <c r="A158" t="s">
        <v>18</v>
      </c>
      <c r="B158" s="4" t="s">
        <v>767</v>
      </c>
    </row>
    <row r="159" spans="1:2" x14ac:dyDescent="0.15">
      <c r="A159" t="s">
        <v>18</v>
      </c>
      <c r="B159" s="4" t="s">
        <v>767</v>
      </c>
    </row>
    <row r="160" spans="1:2" x14ac:dyDescent="0.15">
      <c r="A160" t="s">
        <v>18</v>
      </c>
      <c r="B160" s="4" t="s">
        <v>767</v>
      </c>
    </row>
    <row r="161" spans="1:2" x14ac:dyDescent="0.15">
      <c r="A161" t="s">
        <v>248</v>
      </c>
      <c r="B161" s="4" t="s">
        <v>767</v>
      </c>
    </row>
    <row r="162" spans="1:2" x14ac:dyDescent="0.15">
      <c r="A162" t="s">
        <v>248</v>
      </c>
      <c r="B162" s="4" t="s">
        <v>767</v>
      </c>
    </row>
    <row r="163" spans="1:2" x14ac:dyDescent="0.15">
      <c r="A163" t="s">
        <v>248</v>
      </c>
      <c r="B163" s="4" t="s">
        <v>767</v>
      </c>
    </row>
    <row r="164" spans="1:2" x14ac:dyDescent="0.15">
      <c r="A164" t="s">
        <v>129</v>
      </c>
      <c r="B164" s="4" t="s">
        <v>762</v>
      </c>
    </row>
    <row r="165" spans="1:2" x14ac:dyDescent="0.15">
      <c r="A165" t="s">
        <v>129</v>
      </c>
      <c r="B165" s="4" t="s">
        <v>753</v>
      </c>
    </row>
    <row r="166" spans="1:2" x14ac:dyDescent="0.15">
      <c r="A166" t="s">
        <v>129</v>
      </c>
      <c r="B166" s="4" t="s">
        <v>753</v>
      </c>
    </row>
    <row r="167" spans="1:2" x14ac:dyDescent="0.15">
      <c r="A167" t="s">
        <v>405</v>
      </c>
      <c r="B167" s="4" t="s">
        <v>754</v>
      </c>
    </row>
    <row r="168" spans="1:2" x14ac:dyDescent="0.15">
      <c r="A168" t="s">
        <v>427</v>
      </c>
      <c r="B168" s="4" t="s">
        <v>766</v>
      </c>
    </row>
    <row r="169" spans="1:2" x14ac:dyDescent="0.15">
      <c r="A169" t="s">
        <v>427</v>
      </c>
      <c r="B169" s="4" t="s">
        <v>766</v>
      </c>
    </row>
    <row r="170" spans="1:2" x14ac:dyDescent="0.15">
      <c r="A170" t="s">
        <v>505</v>
      </c>
      <c r="B170" s="4" t="s">
        <v>754</v>
      </c>
    </row>
    <row r="171" spans="1:2" x14ac:dyDescent="0.15">
      <c r="A171" t="s">
        <v>206</v>
      </c>
      <c r="B171" s="4" t="s">
        <v>754</v>
      </c>
    </row>
    <row r="172" spans="1:2" x14ac:dyDescent="0.15">
      <c r="A172" t="s">
        <v>84</v>
      </c>
      <c r="B172" s="4" t="s">
        <v>765</v>
      </c>
    </row>
    <row r="173" spans="1:2" x14ac:dyDescent="0.15">
      <c r="A173" t="s">
        <v>84</v>
      </c>
      <c r="B173" s="4" t="s">
        <v>765</v>
      </c>
    </row>
    <row r="174" spans="1:2" x14ac:dyDescent="0.15">
      <c r="A174" t="s">
        <v>84</v>
      </c>
      <c r="B174" s="4" t="s">
        <v>765</v>
      </c>
    </row>
    <row r="175" spans="1:2" x14ac:dyDescent="0.15">
      <c r="A175" t="s">
        <v>84</v>
      </c>
      <c r="B175" s="4" t="s">
        <v>765</v>
      </c>
    </row>
    <row r="176" spans="1:2" x14ac:dyDescent="0.15">
      <c r="A176" t="s">
        <v>734</v>
      </c>
      <c r="B176" s="4" t="s">
        <v>766</v>
      </c>
    </row>
    <row r="177" spans="1:2" x14ac:dyDescent="0.15">
      <c r="A177" t="s">
        <v>734</v>
      </c>
      <c r="B177" s="4" t="s">
        <v>766</v>
      </c>
    </row>
    <row r="178" spans="1:2" x14ac:dyDescent="0.15">
      <c r="A178" t="s">
        <v>123</v>
      </c>
      <c r="B178" s="4" t="s">
        <v>766</v>
      </c>
    </row>
    <row r="179" spans="1:2" x14ac:dyDescent="0.15">
      <c r="A179" t="s">
        <v>123</v>
      </c>
      <c r="B179" s="4" t="s">
        <v>766</v>
      </c>
    </row>
    <row r="180" spans="1:2" x14ac:dyDescent="0.15">
      <c r="A180" t="s">
        <v>123</v>
      </c>
      <c r="B180" s="4" t="s">
        <v>766</v>
      </c>
    </row>
    <row r="181" spans="1:2" x14ac:dyDescent="0.15">
      <c r="A181" t="s">
        <v>104</v>
      </c>
      <c r="B181" s="4" t="s">
        <v>754</v>
      </c>
    </row>
    <row r="182" spans="1:2" x14ac:dyDescent="0.15">
      <c r="A182" t="s">
        <v>104</v>
      </c>
      <c r="B182" s="4" t="s">
        <v>754</v>
      </c>
    </row>
    <row r="183" spans="1:2" x14ac:dyDescent="0.15">
      <c r="A183" t="s">
        <v>257</v>
      </c>
      <c r="B183" s="4" t="s">
        <v>753</v>
      </c>
    </row>
    <row r="184" spans="1:2" x14ac:dyDescent="0.15">
      <c r="A184" t="s">
        <v>257</v>
      </c>
      <c r="B184" s="4" t="s">
        <v>753</v>
      </c>
    </row>
    <row r="185" spans="1:2" x14ac:dyDescent="0.15">
      <c r="A185" t="s">
        <v>257</v>
      </c>
      <c r="B185" s="4" t="s">
        <v>753</v>
      </c>
    </row>
    <row r="186" spans="1:2" x14ac:dyDescent="0.15">
      <c r="A186" t="s">
        <v>304</v>
      </c>
      <c r="B186" s="4" t="s">
        <v>751</v>
      </c>
    </row>
    <row r="187" spans="1:2" x14ac:dyDescent="0.15">
      <c r="A187" t="s">
        <v>304</v>
      </c>
      <c r="B187" s="4" t="s">
        <v>765</v>
      </c>
    </row>
    <row r="188" spans="1:2" x14ac:dyDescent="0.15">
      <c r="A188" t="s">
        <v>79</v>
      </c>
      <c r="B188" s="4" t="s">
        <v>765</v>
      </c>
    </row>
    <row r="189" spans="1:2" x14ac:dyDescent="0.15">
      <c r="A189" t="s">
        <v>79</v>
      </c>
      <c r="B189" s="4" t="s">
        <v>765</v>
      </c>
    </row>
    <row r="190" spans="1:2" x14ac:dyDescent="0.15">
      <c r="A190" t="s">
        <v>78</v>
      </c>
      <c r="B190" s="4" t="s">
        <v>765</v>
      </c>
    </row>
    <row r="191" spans="1:2" x14ac:dyDescent="0.15">
      <c r="A191" t="s">
        <v>249</v>
      </c>
      <c r="B191" s="4" t="s">
        <v>767</v>
      </c>
    </row>
    <row r="192" spans="1:2" x14ac:dyDescent="0.15">
      <c r="A192" t="s">
        <v>249</v>
      </c>
      <c r="B192" s="4" t="s">
        <v>736</v>
      </c>
    </row>
    <row r="193" spans="1:2" x14ac:dyDescent="0.15">
      <c r="A193" t="s">
        <v>186</v>
      </c>
      <c r="B193" s="4" t="s">
        <v>764</v>
      </c>
    </row>
    <row r="194" spans="1:2" x14ac:dyDescent="0.15">
      <c r="A194" t="s">
        <v>62</v>
      </c>
      <c r="B194" s="4" t="s">
        <v>765</v>
      </c>
    </row>
    <row r="195" spans="1:2" x14ac:dyDescent="0.15">
      <c r="A195" t="s">
        <v>62</v>
      </c>
      <c r="B195" s="4" t="s">
        <v>765</v>
      </c>
    </row>
    <row r="196" spans="1:2" x14ac:dyDescent="0.15">
      <c r="A196" t="s">
        <v>62</v>
      </c>
      <c r="B196" s="4" t="s">
        <v>765</v>
      </c>
    </row>
    <row r="197" spans="1:2" x14ac:dyDescent="0.15">
      <c r="A197" t="s">
        <v>216</v>
      </c>
      <c r="B197" s="4" t="s">
        <v>766</v>
      </c>
    </row>
    <row r="198" spans="1:2" x14ac:dyDescent="0.15">
      <c r="A198" t="s">
        <v>207</v>
      </c>
      <c r="B198" s="4" t="s">
        <v>754</v>
      </c>
    </row>
    <row r="199" spans="1:2" x14ac:dyDescent="0.15">
      <c r="A199" t="s">
        <v>403</v>
      </c>
      <c r="B199" s="4" t="s">
        <v>766</v>
      </c>
    </row>
    <row r="200" spans="1:2" x14ac:dyDescent="0.15">
      <c r="A200" t="s">
        <v>403</v>
      </c>
      <c r="B200" s="4" t="s">
        <v>766</v>
      </c>
    </row>
    <row r="201" spans="1:2" x14ac:dyDescent="0.15">
      <c r="A201" t="s">
        <v>403</v>
      </c>
      <c r="B201" s="4" t="s">
        <v>766</v>
      </c>
    </row>
    <row r="202" spans="1:2" x14ac:dyDescent="0.15">
      <c r="A202" t="s">
        <v>213</v>
      </c>
      <c r="B202" s="4" t="s">
        <v>754</v>
      </c>
    </row>
    <row r="203" spans="1:2" x14ac:dyDescent="0.15">
      <c r="A203" t="s">
        <v>223</v>
      </c>
      <c r="B203" s="4" t="s">
        <v>766</v>
      </c>
    </row>
    <row r="204" spans="1:2" x14ac:dyDescent="0.15">
      <c r="A204" t="s">
        <v>485</v>
      </c>
      <c r="B204" s="4" t="s">
        <v>348</v>
      </c>
    </row>
    <row r="205" spans="1:2" x14ac:dyDescent="0.15">
      <c r="A205" t="s">
        <v>58</v>
      </c>
      <c r="B205" s="4" t="s">
        <v>757</v>
      </c>
    </row>
    <row r="206" spans="1:2" x14ac:dyDescent="0.15">
      <c r="A206" t="s">
        <v>58</v>
      </c>
      <c r="B206" s="4" t="s">
        <v>757</v>
      </c>
    </row>
    <row r="207" spans="1:2" x14ac:dyDescent="0.15">
      <c r="A207" t="s">
        <v>82</v>
      </c>
      <c r="B207" s="4" t="s">
        <v>765</v>
      </c>
    </row>
    <row r="208" spans="1:2" x14ac:dyDescent="0.15">
      <c r="A208" t="s">
        <v>82</v>
      </c>
      <c r="B208" s="4" t="s">
        <v>765</v>
      </c>
    </row>
    <row r="209" spans="1:2" x14ac:dyDescent="0.15">
      <c r="A209" t="s">
        <v>47</v>
      </c>
      <c r="B209" s="4" t="s">
        <v>764</v>
      </c>
    </row>
    <row r="210" spans="1:2" x14ac:dyDescent="0.15">
      <c r="A210" t="s">
        <v>189</v>
      </c>
      <c r="B210" s="4" t="s">
        <v>764</v>
      </c>
    </row>
    <row r="211" spans="1:2" x14ac:dyDescent="0.15">
      <c r="A211" t="s">
        <v>189</v>
      </c>
      <c r="B211" s="4" t="s">
        <v>764</v>
      </c>
    </row>
    <row r="212" spans="1:2" x14ac:dyDescent="0.15">
      <c r="A212" t="s">
        <v>189</v>
      </c>
      <c r="B212" s="4" t="s">
        <v>764</v>
      </c>
    </row>
    <row r="213" spans="1:2" x14ac:dyDescent="0.15">
      <c r="A213" t="s">
        <v>30</v>
      </c>
      <c r="B213" s="4" t="s">
        <v>767</v>
      </c>
    </row>
    <row r="214" spans="1:2" x14ac:dyDescent="0.15">
      <c r="A214" t="s">
        <v>30</v>
      </c>
      <c r="B214" s="4" t="s">
        <v>767</v>
      </c>
    </row>
    <row r="215" spans="1:2" x14ac:dyDescent="0.15">
      <c r="A215" t="s">
        <v>401</v>
      </c>
      <c r="B215" s="4" t="s">
        <v>772</v>
      </c>
    </row>
    <row r="216" spans="1:2" x14ac:dyDescent="0.15">
      <c r="A216" t="s">
        <v>245</v>
      </c>
      <c r="B216" s="4" t="s">
        <v>748</v>
      </c>
    </row>
    <row r="217" spans="1:2" x14ac:dyDescent="0.15">
      <c r="A217" t="s">
        <v>447</v>
      </c>
      <c r="B217" s="4" t="s">
        <v>771</v>
      </c>
    </row>
    <row r="218" spans="1:2" x14ac:dyDescent="0.15">
      <c r="A218" t="s">
        <v>447</v>
      </c>
      <c r="B218" s="4" t="s">
        <v>748</v>
      </c>
    </row>
    <row r="219" spans="1:2" x14ac:dyDescent="0.15">
      <c r="A219" t="s">
        <v>447</v>
      </c>
      <c r="B219" s="4" t="s">
        <v>748</v>
      </c>
    </row>
    <row r="220" spans="1:2" x14ac:dyDescent="0.15">
      <c r="A220" t="s">
        <v>256</v>
      </c>
      <c r="B220" s="4" t="s">
        <v>766</v>
      </c>
    </row>
    <row r="221" spans="1:2" x14ac:dyDescent="0.15">
      <c r="A221" t="s">
        <v>256</v>
      </c>
      <c r="B221" s="4" t="s">
        <v>766</v>
      </c>
    </row>
    <row r="222" spans="1:2" x14ac:dyDescent="0.15">
      <c r="A222" t="s">
        <v>24</v>
      </c>
      <c r="B222" s="4" t="s">
        <v>767</v>
      </c>
    </row>
    <row r="223" spans="1:2" x14ac:dyDescent="0.15">
      <c r="A223" t="s">
        <v>24</v>
      </c>
      <c r="B223" s="4" t="s">
        <v>767</v>
      </c>
    </row>
    <row r="224" spans="1:2" x14ac:dyDescent="0.15">
      <c r="A224" t="s">
        <v>24</v>
      </c>
      <c r="B224" s="4" t="s">
        <v>767</v>
      </c>
    </row>
    <row r="225" spans="1:2" x14ac:dyDescent="0.15">
      <c r="A225" t="s">
        <v>24</v>
      </c>
      <c r="B225" s="4" t="s">
        <v>767</v>
      </c>
    </row>
    <row r="226" spans="1:2" x14ac:dyDescent="0.15">
      <c r="A226" t="s">
        <v>291</v>
      </c>
      <c r="B226" s="4" t="s">
        <v>767</v>
      </c>
    </row>
    <row r="227" spans="1:2" x14ac:dyDescent="0.15">
      <c r="A227" t="s">
        <v>143</v>
      </c>
      <c r="B227" s="4" t="s">
        <v>755</v>
      </c>
    </row>
    <row r="228" spans="1:2" x14ac:dyDescent="0.15">
      <c r="A228" t="s">
        <v>669</v>
      </c>
      <c r="B228" s="4" t="s">
        <v>755</v>
      </c>
    </row>
    <row r="229" spans="1:2" x14ac:dyDescent="0.15">
      <c r="A229" t="s">
        <v>221</v>
      </c>
      <c r="B229" s="4" t="s">
        <v>766</v>
      </c>
    </row>
    <row r="230" spans="1:2" x14ac:dyDescent="0.15">
      <c r="A230" t="s">
        <v>221</v>
      </c>
      <c r="B230" s="4" t="s">
        <v>766</v>
      </c>
    </row>
    <row r="231" spans="1:2" x14ac:dyDescent="0.15">
      <c r="A231" t="s">
        <v>149</v>
      </c>
      <c r="B231" s="4" t="s">
        <v>749</v>
      </c>
    </row>
    <row r="232" spans="1:2" x14ac:dyDescent="0.15">
      <c r="A232" t="s">
        <v>149</v>
      </c>
      <c r="B232" s="4" t="s">
        <v>749</v>
      </c>
    </row>
    <row r="233" spans="1:2" x14ac:dyDescent="0.15">
      <c r="A233" t="s">
        <v>246</v>
      </c>
      <c r="B233" s="4" t="s">
        <v>755</v>
      </c>
    </row>
    <row r="234" spans="1:2" x14ac:dyDescent="0.15">
      <c r="A234" t="s">
        <v>246</v>
      </c>
      <c r="B234" s="4" t="s">
        <v>755</v>
      </c>
    </row>
    <row r="235" spans="1:2" x14ac:dyDescent="0.15">
      <c r="A235" t="s">
        <v>402</v>
      </c>
      <c r="B235" s="4" t="s">
        <v>769</v>
      </c>
    </row>
    <row r="236" spans="1:2" x14ac:dyDescent="0.15">
      <c r="A236" t="s">
        <v>90</v>
      </c>
      <c r="B236" s="4" t="s">
        <v>754</v>
      </c>
    </row>
    <row r="237" spans="1:2" x14ac:dyDescent="0.15">
      <c r="A237" t="s">
        <v>90</v>
      </c>
      <c r="B237" s="4" t="s">
        <v>754</v>
      </c>
    </row>
    <row r="238" spans="1:2" x14ac:dyDescent="0.15">
      <c r="A238" t="s">
        <v>147</v>
      </c>
      <c r="B238" s="4" t="s">
        <v>769</v>
      </c>
    </row>
    <row r="239" spans="1:2" x14ac:dyDescent="0.15">
      <c r="A239" t="s">
        <v>147</v>
      </c>
      <c r="B239" s="4" t="s">
        <v>769</v>
      </c>
    </row>
    <row r="240" spans="1:2" x14ac:dyDescent="0.15">
      <c r="A240" t="s">
        <v>94</v>
      </c>
      <c r="B240" s="4" t="s">
        <v>754</v>
      </c>
    </row>
    <row r="241" spans="1:2" x14ac:dyDescent="0.15">
      <c r="A241" t="s">
        <v>94</v>
      </c>
      <c r="B241" s="4" t="s">
        <v>754</v>
      </c>
    </row>
    <row r="242" spans="1:2" x14ac:dyDescent="0.15">
      <c r="A242" t="s">
        <v>94</v>
      </c>
      <c r="B242" s="4" t="s">
        <v>754</v>
      </c>
    </row>
    <row r="243" spans="1:2" x14ac:dyDescent="0.15">
      <c r="A243" t="s">
        <v>352</v>
      </c>
      <c r="B243" s="4" t="s">
        <v>748</v>
      </c>
    </row>
    <row r="244" spans="1:2" x14ac:dyDescent="0.15">
      <c r="A244" t="s">
        <v>352</v>
      </c>
      <c r="B244" s="4" t="s">
        <v>748</v>
      </c>
    </row>
    <row r="245" spans="1:2" x14ac:dyDescent="0.15">
      <c r="A245" t="s">
        <v>102</v>
      </c>
      <c r="B245" s="4" t="s">
        <v>754</v>
      </c>
    </row>
    <row r="246" spans="1:2" x14ac:dyDescent="0.15">
      <c r="A246" t="s">
        <v>202</v>
      </c>
      <c r="B246" s="4" t="s">
        <v>765</v>
      </c>
    </row>
    <row r="247" spans="1:2" x14ac:dyDescent="0.15">
      <c r="A247" t="s">
        <v>202</v>
      </c>
      <c r="B247" s="4" t="s">
        <v>765</v>
      </c>
    </row>
    <row r="248" spans="1:2" x14ac:dyDescent="0.15">
      <c r="A248" t="s">
        <v>202</v>
      </c>
      <c r="B248" s="4" t="s">
        <v>765</v>
      </c>
    </row>
    <row r="249" spans="1:2" x14ac:dyDescent="0.15">
      <c r="A249" t="s">
        <v>220</v>
      </c>
      <c r="B249" s="4" t="s">
        <v>766</v>
      </c>
    </row>
    <row r="250" spans="1:2" x14ac:dyDescent="0.15">
      <c r="A250" t="s">
        <v>219</v>
      </c>
      <c r="B250" s="4" t="s">
        <v>766</v>
      </c>
    </row>
    <row r="251" spans="1:2" x14ac:dyDescent="0.15">
      <c r="A251" t="s">
        <v>298</v>
      </c>
      <c r="B251" s="4" t="s">
        <v>764</v>
      </c>
    </row>
    <row r="252" spans="1:2" x14ac:dyDescent="0.15">
      <c r="A252" t="s">
        <v>230</v>
      </c>
      <c r="B252" s="4" t="s">
        <v>753</v>
      </c>
    </row>
    <row r="253" spans="1:2" x14ac:dyDescent="0.15">
      <c r="A253" t="s">
        <v>648</v>
      </c>
      <c r="B253" s="4" t="s">
        <v>767</v>
      </c>
    </row>
    <row r="254" spans="1:2" x14ac:dyDescent="0.15">
      <c r="A254" t="s">
        <v>648</v>
      </c>
      <c r="B254" s="4" t="s">
        <v>767</v>
      </c>
    </row>
    <row r="255" spans="1:2" x14ac:dyDescent="0.15">
      <c r="A255" t="s">
        <v>648</v>
      </c>
      <c r="B255" s="4" t="s">
        <v>767</v>
      </c>
    </row>
    <row r="256" spans="1:2" x14ac:dyDescent="0.15">
      <c r="A256" t="s">
        <v>197</v>
      </c>
      <c r="B256" s="4" t="s">
        <v>765</v>
      </c>
    </row>
    <row r="257" spans="1:2" x14ac:dyDescent="0.15">
      <c r="A257" t="s">
        <v>49</v>
      </c>
      <c r="B257" s="4" t="s">
        <v>764</v>
      </c>
    </row>
    <row r="258" spans="1:2" x14ac:dyDescent="0.15">
      <c r="A258" t="s">
        <v>49</v>
      </c>
      <c r="B258" s="4" t="s">
        <v>764</v>
      </c>
    </row>
    <row r="259" spans="1:2" x14ac:dyDescent="0.15">
      <c r="A259" t="s">
        <v>254</v>
      </c>
      <c r="B259" s="4" t="s">
        <v>754</v>
      </c>
    </row>
    <row r="260" spans="1:2" x14ac:dyDescent="0.15">
      <c r="A260" t="s">
        <v>295</v>
      </c>
      <c r="B260" s="4" t="s">
        <v>764</v>
      </c>
    </row>
    <row r="261" spans="1:2" x14ac:dyDescent="0.15">
      <c r="A261" t="s">
        <v>188</v>
      </c>
      <c r="B261" s="4" t="s">
        <v>764</v>
      </c>
    </row>
    <row r="262" spans="1:2" x14ac:dyDescent="0.15">
      <c r="A262" t="s">
        <v>228</v>
      </c>
      <c r="B262" s="4" t="s">
        <v>770</v>
      </c>
    </row>
    <row r="263" spans="1:2" x14ac:dyDescent="0.15">
      <c r="A263" t="s">
        <v>151</v>
      </c>
      <c r="B263" s="4" t="s">
        <v>749</v>
      </c>
    </row>
    <row r="264" spans="1:2" x14ac:dyDescent="0.15">
      <c r="A264" t="s">
        <v>151</v>
      </c>
      <c r="B264" s="4" t="s">
        <v>749</v>
      </c>
    </row>
    <row r="265" spans="1:2" x14ac:dyDescent="0.15">
      <c r="A265" t="s">
        <v>151</v>
      </c>
      <c r="B265" s="4" t="s">
        <v>749</v>
      </c>
    </row>
    <row r="266" spans="1:2" x14ac:dyDescent="0.15">
      <c r="A266" t="s">
        <v>34</v>
      </c>
      <c r="B266" s="4" t="s">
        <v>764</v>
      </c>
    </row>
    <row r="267" spans="1:2" x14ac:dyDescent="0.15">
      <c r="A267" t="s">
        <v>34</v>
      </c>
      <c r="B267" s="4" t="s">
        <v>764</v>
      </c>
    </row>
    <row r="268" spans="1:2" x14ac:dyDescent="0.15">
      <c r="A268" t="s">
        <v>16</v>
      </c>
      <c r="B268" s="4" t="s">
        <v>767</v>
      </c>
    </row>
    <row r="269" spans="1:2" x14ac:dyDescent="0.15">
      <c r="A269" t="s">
        <v>285</v>
      </c>
      <c r="B269" s="4" t="s">
        <v>767</v>
      </c>
    </row>
    <row r="270" spans="1:2" x14ac:dyDescent="0.15">
      <c r="A270" t="s">
        <v>135</v>
      </c>
      <c r="B270" s="4" t="s">
        <v>752</v>
      </c>
    </row>
    <row r="271" spans="1:2" x14ac:dyDescent="0.15">
      <c r="A271" t="s">
        <v>135</v>
      </c>
      <c r="B271" s="4" t="s">
        <v>752</v>
      </c>
    </row>
    <row r="272" spans="1:2" x14ac:dyDescent="0.15">
      <c r="A272" t="s">
        <v>29</v>
      </c>
      <c r="B272" s="4" t="s">
        <v>767</v>
      </c>
    </row>
    <row r="273" spans="1:2" x14ac:dyDescent="0.15">
      <c r="A273" t="s">
        <v>83</v>
      </c>
      <c r="B273" s="4" t="s">
        <v>765</v>
      </c>
    </row>
    <row r="274" spans="1:2" x14ac:dyDescent="0.15">
      <c r="A274" t="s">
        <v>217</v>
      </c>
      <c r="B274" s="4" t="s">
        <v>766</v>
      </c>
    </row>
    <row r="275" spans="1:2" x14ac:dyDescent="0.15">
      <c r="A275" t="s">
        <v>137</v>
      </c>
      <c r="B275" s="4" t="s">
        <v>752</v>
      </c>
    </row>
    <row r="276" spans="1:2" x14ac:dyDescent="0.15">
      <c r="A276" t="s">
        <v>137</v>
      </c>
      <c r="B276" s="4" t="s">
        <v>752</v>
      </c>
    </row>
    <row r="277" spans="1:2" x14ac:dyDescent="0.15">
      <c r="A277" t="s">
        <v>59</v>
      </c>
      <c r="B277" s="4" t="s">
        <v>764</v>
      </c>
    </row>
    <row r="278" spans="1:2" x14ac:dyDescent="0.15">
      <c r="A278" t="s">
        <v>59</v>
      </c>
      <c r="B278" s="4" t="s">
        <v>764</v>
      </c>
    </row>
    <row r="279" spans="1:2" x14ac:dyDescent="0.15">
      <c r="A279" t="s">
        <v>59</v>
      </c>
      <c r="B279" s="4" t="s">
        <v>764</v>
      </c>
    </row>
    <row r="280" spans="1:2" x14ac:dyDescent="0.15">
      <c r="A280" t="s">
        <v>85</v>
      </c>
      <c r="B280" s="4" t="s">
        <v>765</v>
      </c>
    </row>
    <row r="281" spans="1:2" x14ac:dyDescent="0.15">
      <c r="A281" t="s">
        <v>85</v>
      </c>
      <c r="B281" s="4" t="s">
        <v>765</v>
      </c>
    </row>
    <row r="282" spans="1:2" x14ac:dyDescent="0.15">
      <c r="A282" t="s">
        <v>12</v>
      </c>
      <c r="B282" s="4" t="s">
        <v>767</v>
      </c>
    </row>
    <row r="283" spans="1:2" x14ac:dyDescent="0.15">
      <c r="A283" t="s">
        <v>12</v>
      </c>
      <c r="B283" s="4" t="s">
        <v>767</v>
      </c>
    </row>
    <row r="284" spans="1:2" x14ac:dyDescent="0.15">
      <c r="A284" t="s">
        <v>671</v>
      </c>
      <c r="B284" s="4" t="s">
        <v>769</v>
      </c>
    </row>
    <row r="285" spans="1:2" x14ac:dyDescent="0.15">
      <c r="A285" t="s">
        <v>671</v>
      </c>
      <c r="B285" s="4" t="s">
        <v>769</v>
      </c>
    </row>
    <row r="286" spans="1:2" x14ac:dyDescent="0.15">
      <c r="A286" t="s">
        <v>671</v>
      </c>
      <c r="B286" s="4" t="s">
        <v>769</v>
      </c>
    </row>
    <row r="287" spans="1:2" x14ac:dyDescent="0.15">
      <c r="A287" t="s">
        <v>224</v>
      </c>
      <c r="B287" s="4" t="s">
        <v>768</v>
      </c>
    </row>
    <row r="288" spans="1:2" x14ac:dyDescent="0.15">
      <c r="A288" t="s">
        <v>232</v>
      </c>
      <c r="B288" s="4" t="s">
        <v>752</v>
      </c>
    </row>
    <row r="289" spans="1:2" x14ac:dyDescent="0.15">
      <c r="A289" t="s">
        <v>252</v>
      </c>
      <c r="B289" s="4" t="s">
        <v>754</v>
      </c>
    </row>
    <row r="290" spans="1:2" x14ac:dyDescent="0.15">
      <c r="A290" t="s">
        <v>252</v>
      </c>
      <c r="B290" s="4" t="s">
        <v>754</v>
      </c>
    </row>
    <row r="291" spans="1:2" x14ac:dyDescent="0.15">
      <c r="A291" t="s">
        <v>191</v>
      </c>
      <c r="B291" s="4" t="s">
        <v>764</v>
      </c>
    </row>
    <row r="292" spans="1:2" x14ac:dyDescent="0.15">
      <c r="A292" t="s">
        <v>191</v>
      </c>
      <c r="B292" s="4" t="s">
        <v>764</v>
      </c>
    </row>
    <row r="293" spans="1:2" x14ac:dyDescent="0.15">
      <c r="A293" t="s">
        <v>191</v>
      </c>
      <c r="B293" s="4" t="s">
        <v>764</v>
      </c>
    </row>
    <row r="294" spans="1:2" x14ac:dyDescent="0.15">
      <c r="A294" t="s">
        <v>119</v>
      </c>
      <c r="B294" s="4" t="s">
        <v>766</v>
      </c>
    </row>
    <row r="295" spans="1:2" x14ac:dyDescent="0.15">
      <c r="A295" t="s">
        <v>20</v>
      </c>
      <c r="B295" s="4" t="s">
        <v>767</v>
      </c>
    </row>
    <row r="296" spans="1:2" x14ac:dyDescent="0.15">
      <c r="A296" t="s">
        <v>421</v>
      </c>
      <c r="B296" s="4" t="s">
        <v>754</v>
      </c>
    </row>
    <row r="297" spans="1:2" x14ac:dyDescent="0.15">
      <c r="A297" t="s">
        <v>125</v>
      </c>
      <c r="B297" s="4" t="s">
        <v>766</v>
      </c>
    </row>
    <row r="298" spans="1:2" x14ac:dyDescent="0.15">
      <c r="A298" t="s">
        <v>41</v>
      </c>
      <c r="B298" s="4" t="s">
        <v>764</v>
      </c>
    </row>
    <row r="299" spans="1:2" x14ac:dyDescent="0.15">
      <c r="A299" t="s">
        <v>41</v>
      </c>
      <c r="B299" s="4" t="s">
        <v>764</v>
      </c>
    </row>
    <row r="300" spans="1:2" x14ac:dyDescent="0.15">
      <c r="A300" t="s">
        <v>423</v>
      </c>
      <c r="B300" s="4" t="s">
        <v>766</v>
      </c>
    </row>
    <row r="301" spans="1:2" x14ac:dyDescent="0.15">
      <c r="A301" t="s">
        <v>423</v>
      </c>
      <c r="B301" s="4" t="s">
        <v>766</v>
      </c>
    </row>
    <row r="302" spans="1:2" x14ac:dyDescent="0.15">
      <c r="A302" t="s">
        <v>423</v>
      </c>
      <c r="B302" s="4" t="s">
        <v>766</v>
      </c>
    </row>
    <row r="303" spans="1:2" x14ac:dyDescent="0.15">
      <c r="A303" t="s">
        <v>60</v>
      </c>
      <c r="B303" s="4" t="s">
        <v>764</v>
      </c>
    </row>
    <row r="304" spans="1:2" x14ac:dyDescent="0.15">
      <c r="A304" t="s">
        <v>60</v>
      </c>
      <c r="B304" s="4" t="s">
        <v>764</v>
      </c>
    </row>
    <row r="305" spans="1:2" x14ac:dyDescent="0.15">
      <c r="A305" t="s">
        <v>97</v>
      </c>
      <c r="B305" s="4" t="s">
        <v>754</v>
      </c>
    </row>
    <row r="306" spans="1:2" x14ac:dyDescent="0.15">
      <c r="A306" t="s">
        <v>97</v>
      </c>
      <c r="B306" s="4" t="s">
        <v>754</v>
      </c>
    </row>
    <row r="307" spans="1:2" x14ac:dyDescent="0.15">
      <c r="A307" t="s">
        <v>113</v>
      </c>
      <c r="B307" s="4" t="s">
        <v>766</v>
      </c>
    </row>
    <row r="308" spans="1:2" x14ac:dyDescent="0.15">
      <c r="A308" t="s">
        <v>181</v>
      </c>
      <c r="B308" s="4" t="s">
        <v>767</v>
      </c>
    </row>
    <row r="309" spans="1:2" x14ac:dyDescent="0.15">
      <c r="A309" t="s">
        <v>92</v>
      </c>
      <c r="B309" s="4" t="s">
        <v>754</v>
      </c>
    </row>
    <row r="310" spans="1:2" x14ac:dyDescent="0.15">
      <c r="A310" t="s">
        <v>92</v>
      </c>
      <c r="B310" s="4" t="s">
        <v>754</v>
      </c>
    </row>
    <row r="311" spans="1:2" x14ac:dyDescent="0.15">
      <c r="A311" t="s">
        <v>92</v>
      </c>
      <c r="B311" s="4" t="s">
        <v>754</v>
      </c>
    </row>
    <row r="312" spans="1:2" x14ac:dyDescent="0.15">
      <c r="A312" t="s">
        <v>250</v>
      </c>
      <c r="B312" s="4" t="s">
        <v>757</v>
      </c>
    </row>
    <row r="313" spans="1:2" x14ac:dyDescent="0.15">
      <c r="A313" t="s">
        <v>250</v>
      </c>
      <c r="B313" s="4" t="s">
        <v>764</v>
      </c>
    </row>
    <row r="314" spans="1:2" x14ac:dyDescent="0.15">
      <c r="A314" t="s">
        <v>53</v>
      </c>
      <c r="B314" s="4" t="s">
        <v>764</v>
      </c>
    </row>
    <row r="315" spans="1:2" x14ac:dyDescent="0.15">
      <c r="A315" t="s">
        <v>194</v>
      </c>
      <c r="B315" s="4" t="s">
        <v>765</v>
      </c>
    </row>
    <row r="316" spans="1:2" x14ac:dyDescent="0.15">
      <c r="A316" t="s">
        <v>184</v>
      </c>
      <c r="B316" s="4" t="s">
        <v>767</v>
      </c>
    </row>
    <row r="317" spans="1:2" x14ac:dyDescent="0.15">
      <c r="A317" t="s">
        <v>184</v>
      </c>
      <c r="B317" s="4" t="s">
        <v>767</v>
      </c>
    </row>
    <row r="318" spans="1:2" x14ac:dyDescent="0.15">
      <c r="A318" t="s">
        <v>296</v>
      </c>
      <c r="B318" s="4" t="s">
        <v>764</v>
      </c>
    </row>
    <row r="319" spans="1:2" x14ac:dyDescent="0.15">
      <c r="A319" t="s">
        <v>296</v>
      </c>
      <c r="B319" s="4" t="s">
        <v>764</v>
      </c>
    </row>
    <row r="320" spans="1:2" x14ac:dyDescent="0.15">
      <c r="A320" t="s">
        <v>234</v>
      </c>
      <c r="B320" s="4" t="s">
        <v>752</v>
      </c>
    </row>
    <row r="321" spans="1:2" x14ac:dyDescent="0.15">
      <c r="A321" t="s">
        <v>110</v>
      </c>
      <c r="B321" s="4" t="s">
        <v>766</v>
      </c>
    </row>
    <row r="322" spans="1:2" x14ac:dyDescent="0.15">
      <c r="A322" t="s">
        <v>306</v>
      </c>
      <c r="B322" s="4" t="s">
        <v>765</v>
      </c>
    </row>
    <row r="323" spans="1:2" x14ac:dyDescent="0.15">
      <c r="A323" t="s">
        <v>663</v>
      </c>
      <c r="B323" s="4" t="s">
        <v>753</v>
      </c>
    </row>
    <row r="324" spans="1:2" x14ac:dyDescent="0.15">
      <c r="A324" t="s">
        <v>432</v>
      </c>
      <c r="B324" s="4" t="s">
        <v>755</v>
      </c>
    </row>
    <row r="325" spans="1:2" x14ac:dyDescent="0.15">
      <c r="A325" t="s">
        <v>358</v>
      </c>
      <c r="B325" s="4" t="s">
        <v>755</v>
      </c>
    </row>
    <row r="326" spans="1:2" x14ac:dyDescent="0.15">
      <c r="A326" t="s">
        <v>358</v>
      </c>
      <c r="B326" s="4" t="s">
        <v>777</v>
      </c>
    </row>
    <row r="327" spans="1:2" x14ac:dyDescent="0.15">
      <c r="A327" t="s">
        <v>43</v>
      </c>
      <c r="B327" s="4" t="s">
        <v>764</v>
      </c>
    </row>
    <row r="328" spans="1:2" x14ac:dyDescent="0.15">
      <c r="A328" t="s">
        <v>157</v>
      </c>
      <c r="B328" s="4" t="s">
        <v>747</v>
      </c>
    </row>
    <row r="329" spans="1:2" x14ac:dyDescent="0.15">
      <c r="A329" t="s">
        <v>157</v>
      </c>
      <c r="B329" s="4" t="s">
        <v>747</v>
      </c>
    </row>
    <row r="330" spans="1:2" x14ac:dyDescent="0.15">
      <c r="A330" t="s">
        <v>157</v>
      </c>
      <c r="B330" s="4" t="s">
        <v>747</v>
      </c>
    </row>
    <row r="331" spans="1:2" x14ac:dyDescent="0.15">
      <c r="A331" t="s">
        <v>157</v>
      </c>
      <c r="B331" s="4" t="s">
        <v>747</v>
      </c>
    </row>
    <row r="332" spans="1:2" x14ac:dyDescent="0.15">
      <c r="A332" t="s">
        <v>413</v>
      </c>
      <c r="B332" s="4" t="s">
        <v>763</v>
      </c>
    </row>
    <row r="333" spans="1:2" x14ac:dyDescent="0.15">
      <c r="A333" t="s">
        <v>413</v>
      </c>
      <c r="B333" s="4" t="s">
        <v>763</v>
      </c>
    </row>
    <row r="334" spans="1:2" x14ac:dyDescent="0.15">
      <c r="A334" t="s">
        <v>177</v>
      </c>
      <c r="B334" s="4" t="s">
        <v>763</v>
      </c>
    </row>
    <row r="335" spans="1:2" x14ac:dyDescent="0.15">
      <c r="A335" t="s">
        <v>233</v>
      </c>
      <c r="B335" s="4" t="s">
        <v>752</v>
      </c>
    </row>
    <row r="336" spans="1:2" x14ac:dyDescent="0.15">
      <c r="A336" t="s">
        <v>133</v>
      </c>
      <c r="B336" s="4" t="s">
        <v>761</v>
      </c>
    </row>
    <row r="337" spans="1:2" x14ac:dyDescent="0.15">
      <c r="A337" t="s">
        <v>133</v>
      </c>
      <c r="B337" s="4" t="s">
        <v>761</v>
      </c>
    </row>
    <row r="338" spans="1:2" x14ac:dyDescent="0.15">
      <c r="A338" t="s">
        <v>121</v>
      </c>
      <c r="B338" s="4" t="s">
        <v>760</v>
      </c>
    </row>
    <row r="339" spans="1:2" x14ac:dyDescent="0.15">
      <c r="A339" t="s">
        <v>121</v>
      </c>
      <c r="B339" s="4" t="s">
        <v>760</v>
      </c>
    </row>
    <row r="340" spans="1:2" x14ac:dyDescent="0.15">
      <c r="A340" t="s">
        <v>121</v>
      </c>
      <c r="B340" s="4" t="s">
        <v>759</v>
      </c>
    </row>
    <row r="341" spans="1:2" x14ac:dyDescent="0.15">
      <c r="A341" t="s">
        <v>57</v>
      </c>
      <c r="B341" s="4" t="s">
        <v>758</v>
      </c>
    </row>
    <row r="342" spans="1:2" x14ac:dyDescent="0.15">
      <c r="A342" t="s">
        <v>57</v>
      </c>
      <c r="B342" s="4" t="s">
        <v>757</v>
      </c>
    </row>
    <row r="343" spans="1:2" x14ac:dyDescent="0.15">
      <c r="A343" t="s">
        <v>198</v>
      </c>
      <c r="B343" s="4" t="s">
        <v>756</v>
      </c>
    </row>
    <row r="344" spans="1:2" x14ac:dyDescent="0.15">
      <c r="A344" t="s">
        <v>237</v>
      </c>
      <c r="B344" s="4" t="s">
        <v>755</v>
      </c>
    </row>
    <row r="345" spans="1:2" x14ac:dyDescent="0.15">
      <c r="A345" t="s">
        <v>237</v>
      </c>
      <c r="B345" s="4" t="s">
        <v>755</v>
      </c>
    </row>
    <row r="346" spans="1:2" x14ac:dyDescent="0.15">
      <c r="A346" t="s">
        <v>101</v>
      </c>
      <c r="B346" s="4" t="s">
        <v>754</v>
      </c>
    </row>
    <row r="347" spans="1:2" x14ac:dyDescent="0.15">
      <c r="A347" t="s">
        <v>210</v>
      </c>
      <c r="B347" s="4" t="s">
        <v>754</v>
      </c>
    </row>
    <row r="348" spans="1:2" x14ac:dyDescent="0.15">
      <c r="A348" t="s">
        <v>205</v>
      </c>
      <c r="B348" s="4" t="s">
        <v>754</v>
      </c>
    </row>
    <row r="349" spans="1:2" x14ac:dyDescent="0.15">
      <c r="A349" t="s">
        <v>231</v>
      </c>
      <c r="B349" s="4" t="s">
        <v>753</v>
      </c>
    </row>
    <row r="350" spans="1:2" x14ac:dyDescent="0.15">
      <c r="A350" t="s">
        <v>667</v>
      </c>
      <c r="B350" s="4" t="s">
        <v>752</v>
      </c>
    </row>
    <row r="351" spans="1:2" x14ac:dyDescent="0.15">
      <c r="A351" t="s">
        <v>667</v>
      </c>
      <c r="B351" s="4" t="s">
        <v>752</v>
      </c>
    </row>
    <row r="352" spans="1:2" x14ac:dyDescent="0.15">
      <c r="A352" t="s">
        <v>730</v>
      </c>
      <c r="B352" s="4" t="s">
        <v>747</v>
      </c>
    </row>
    <row r="353" spans="1:2" x14ac:dyDescent="0.15">
      <c r="A353" t="s">
        <v>203</v>
      </c>
      <c r="B353" s="4" t="s">
        <v>751</v>
      </c>
    </row>
    <row r="354" spans="1:2" x14ac:dyDescent="0.15">
      <c r="A354" t="s">
        <v>226</v>
      </c>
      <c r="B354" s="4" t="s">
        <v>750</v>
      </c>
    </row>
    <row r="355" spans="1:2" x14ac:dyDescent="0.15">
      <c r="A355" t="s">
        <v>226</v>
      </c>
      <c r="B355" s="4" t="s">
        <v>750</v>
      </c>
    </row>
    <row r="356" spans="1:2" x14ac:dyDescent="0.15">
      <c r="A356" t="s">
        <v>731</v>
      </c>
      <c r="B356" s="4" t="s">
        <v>747</v>
      </c>
    </row>
    <row r="357" spans="1:2" x14ac:dyDescent="0.15">
      <c r="A357" t="s">
        <v>731</v>
      </c>
      <c r="B357" s="4" t="s">
        <v>747</v>
      </c>
    </row>
    <row r="358" spans="1:2" x14ac:dyDescent="0.15">
      <c r="A358" t="s">
        <v>430</v>
      </c>
      <c r="B358" s="4" t="s">
        <v>749</v>
      </c>
    </row>
    <row r="359" spans="1:2" x14ac:dyDescent="0.15">
      <c r="A359" t="s">
        <v>430</v>
      </c>
      <c r="B359" s="4" t="s">
        <v>749</v>
      </c>
    </row>
    <row r="360" spans="1:2" x14ac:dyDescent="0.15">
      <c r="A360" t="s">
        <v>430</v>
      </c>
      <c r="B360" s="4" t="s">
        <v>749</v>
      </c>
    </row>
    <row r="361" spans="1:2" x14ac:dyDescent="0.15">
      <c r="A361" t="s">
        <v>247</v>
      </c>
      <c r="B361" s="4" t="s">
        <v>748</v>
      </c>
    </row>
    <row r="362" spans="1:2" x14ac:dyDescent="0.15">
      <c r="A362" t="s">
        <v>247</v>
      </c>
      <c r="B362" s="4" t="s">
        <v>748</v>
      </c>
    </row>
  </sheetData>
  <autoFilter ref="A3:B362"/>
  <sortState ref="A1:A360">
    <sortCondition ref="A1"/>
  </sortState>
  <phoneticPr fontId="1"/>
  <dataValidations count="1">
    <dataValidation type="list" allowBlank="1" showInputMessage="1" showErrorMessage="1" sqref="B20:B362">
      <formula1>$C$1:$Y$1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Sheet3</vt:lpstr>
      <vt:lpstr>Sheet4</vt:lpstr>
      <vt:lpstr>Sheet1</vt:lpstr>
      <vt:lpstr>テスト</vt:lpstr>
      <vt:lpstr>Sheet5</vt:lpstr>
      <vt:lpstr>Sheet6</vt:lpstr>
      <vt:lpstr>Sheet7</vt:lpstr>
      <vt:lpstr>Sheet8</vt:lpstr>
    </vt:vector>
  </TitlesOfParts>
  <Company>*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*</dc:creator>
  <cp:lastModifiedBy>komamura</cp:lastModifiedBy>
  <cp:lastPrinted>2016-06-24T04:24:21Z</cp:lastPrinted>
  <dcterms:created xsi:type="dcterms:W3CDTF">2016-06-06T07:16:36Z</dcterms:created>
  <dcterms:modified xsi:type="dcterms:W3CDTF">2017-12-14T01:36:27Z</dcterms:modified>
</cp:coreProperties>
</file>